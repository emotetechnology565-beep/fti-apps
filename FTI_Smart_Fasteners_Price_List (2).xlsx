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nkaj Gupta\Downloads\VISHWAKARMA\"/>
    </mc:Choice>
  </mc:AlternateContent>
  <xr:revisionPtr revIDLastSave="0" documentId="13_ncr:1_{ACA499C7-9C26-4DA7-88FC-7EFC1180C509}" xr6:coauthVersionLast="47" xr6:coauthVersionMax="47" xr10:uidLastSave="{00000000-0000-0000-0000-000000000000}"/>
  <bookViews>
    <workbookView xWindow="-108" yWindow="-108" windowWidth="23256" windowHeight="12456" tabRatio="740" activeTab="3" xr2:uid="{00000000-000D-0000-FFFF-FFFF00000000}"/>
  </bookViews>
  <sheets>
    <sheet name="SPL MS" sheetId="1" r:id="rId1"/>
    <sheet name="SPL 8.8" sheetId="10" r:id="rId2"/>
    <sheet name="SPL 10.9" sheetId="11" r:id="rId3"/>
    <sheet name="SPL 12.9" sheetId="12" r:id="rId4"/>
    <sheet name="LIST OF GRADES" sheetId="2" r:id="rId5"/>
    <sheet name="TMT BAR PRICE" sheetId="3" r:id="rId6"/>
    <sheet name="FLAT" sheetId="4" r:id="rId7"/>
    <sheet name="SHEET" sheetId="5" r:id="rId8"/>
    <sheet name="AGRICULTURE PARTS" sheetId="6" r:id="rId9"/>
    <sheet name="SEARCHING BAR" sheetId="7" r:id="rId10"/>
    <sheet name="Sheet2" sheetId="8" r:id="rId11"/>
    <sheet name="square" sheetId="9" r:id="rId12"/>
  </sheets>
  <definedNames>
    <definedName name="_xlnm._FilterDatabase" localSheetId="4" hidden="1">'LIST OF GRADES'!$A$1:$G$35</definedName>
    <definedName name="_xlnm._FilterDatabase" localSheetId="10" hidden="1">Sheet2!$A$2:$B$235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0" l="1"/>
  <c r="M431" i="10" s="1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L429" i="12"/>
  <c r="K429" i="12"/>
  <c r="E429" i="12"/>
  <c r="I429" i="12" s="1"/>
  <c r="L428" i="12"/>
  <c r="K428" i="12"/>
  <c r="E428" i="12"/>
  <c r="I428" i="12" s="1"/>
  <c r="L427" i="12"/>
  <c r="K427" i="12"/>
  <c r="E427" i="12"/>
  <c r="I427" i="12" s="1"/>
  <c r="L426" i="12"/>
  <c r="K426" i="12"/>
  <c r="E426" i="12"/>
  <c r="I426" i="12" s="1"/>
  <c r="L425" i="12"/>
  <c r="K425" i="12"/>
  <c r="E425" i="12"/>
  <c r="I425" i="12" s="1"/>
  <c r="L424" i="12"/>
  <c r="K424" i="12"/>
  <c r="E424" i="12"/>
  <c r="I424" i="12" s="1"/>
  <c r="L423" i="12"/>
  <c r="K423" i="12"/>
  <c r="E423" i="12"/>
  <c r="I423" i="12" s="1"/>
  <c r="L422" i="12"/>
  <c r="K422" i="12"/>
  <c r="E422" i="12"/>
  <c r="I422" i="12" s="1"/>
  <c r="L421" i="12"/>
  <c r="K421" i="12"/>
  <c r="E421" i="12"/>
  <c r="I421" i="12" s="1"/>
  <c r="L420" i="12"/>
  <c r="K420" i="12"/>
  <c r="E420" i="12"/>
  <c r="I420" i="12" s="1"/>
  <c r="L419" i="12"/>
  <c r="K419" i="12"/>
  <c r="E419" i="12"/>
  <c r="I419" i="12" s="1"/>
  <c r="L418" i="12"/>
  <c r="K418" i="12"/>
  <c r="E418" i="12"/>
  <c r="I418" i="12" s="1"/>
  <c r="L417" i="12"/>
  <c r="K417" i="12"/>
  <c r="E417" i="12"/>
  <c r="I417" i="12" s="1"/>
  <c r="L416" i="12"/>
  <c r="K416" i="12"/>
  <c r="I416" i="12"/>
  <c r="E416" i="12"/>
  <c r="L415" i="12"/>
  <c r="K415" i="12"/>
  <c r="E415" i="12"/>
  <c r="I415" i="12" s="1"/>
  <c r="L414" i="12"/>
  <c r="K414" i="12"/>
  <c r="E414" i="12"/>
  <c r="I414" i="12" s="1"/>
  <c r="L413" i="12"/>
  <c r="K413" i="12"/>
  <c r="E413" i="12"/>
  <c r="I413" i="12" s="1"/>
  <c r="L412" i="12"/>
  <c r="K412" i="12"/>
  <c r="I412" i="12"/>
  <c r="E412" i="12"/>
  <c r="L411" i="12"/>
  <c r="K411" i="12"/>
  <c r="E411" i="12"/>
  <c r="I411" i="12" s="1"/>
  <c r="L410" i="12"/>
  <c r="K410" i="12"/>
  <c r="E410" i="12"/>
  <c r="I410" i="12" s="1"/>
  <c r="L409" i="12"/>
  <c r="K409" i="12"/>
  <c r="E409" i="12"/>
  <c r="I409" i="12" s="1"/>
  <c r="L408" i="12"/>
  <c r="K408" i="12"/>
  <c r="I408" i="12"/>
  <c r="E408" i="12"/>
  <c r="L407" i="12"/>
  <c r="K407" i="12"/>
  <c r="E407" i="12"/>
  <c r="I407" i="12" s="1"/>
  <c r="L406" i="12"/>
  <c r="K406" i="12"/>
  <c r="E406" i="12"/>
  <c r="I406" i="12" s="1"/>
  <c r="L405" i="12"/>
  <c r="K405" i="12"/>
  <c r="I405" i="12"/>
  <c r="E405" i="12"/>
  <c r="L404" i="12"/>
  <c r="K404" i="12"/>
  <c r="I404" i="12"/>
  <c r="E404" i="12"/>
  <c r="L403" i="12"/>
  <c r="K403" i="12"/>
  <c r="E403" i="12"/>
  <c r="I403" i="12" s="1"/>
  <c r="L402" i="12"/>
  <c r="K402" i="12"/>
  <c r="E402" i="12"/>
  <c r="I402" i="12" s="1"/>
  <c r="L401" i="12"/>
  <c r="K401" i="12"/>
  <c r="E401" i="12"/>
  <c r="I401" i="12" s="1"/>
  <c r="L400" i="12"/>
  <c r="K400" i="12"/>
  <c r="E400" i="12"/>
  <c r="I400" i="12" s="1"/>
  <c r="L399" i="12"/>
  <c r="K399" i="12"/>
  <c r="I399" i="12"/>
  <c r="E399" i="12"/>
  <c r="L398" i="12"/>
  <c r="K398" i="12"/>
  <c r="E398" i="12"/>
  <c r="I398" i="12" s="1"/>
  <c r="L397" i="12"/>
  <c r="K397" i="12"/>
  <c r="I397" i="12"/>
  <c r="E397" i="12"/>
  <c r="L396" i="12"/>
  <c r="K396" i="12"/>
  <c r="E396" i="12"/>
  <c r="I396" i="12" s="1"/>
  <c r="L395" i="12"/>
  <c r="K395" i="12"/>
  <c r="I395" i="12"/>
  <c r="E395" i="12"/>
  <c r="L394" i="12"/>
  <c r="K394" i="12"/>
  <c r="E394" i="12"/>
  <c r="I394" i="12" s="1"/>
  <c r="L393" i="12"/>
  <c r="K393" i="12"/>
  <c r="E393" i="12"/>
  <c r="I393" i="12" s="1"/>
  <c r="L392" i="12"/>
  <c r="K392" i="12"/>
  <c r="I392" i="12"/>
  <c r="E392" i="12"/>
  <c r="L391" i="12"/>
  <c r="K391" i="12"/>
  <c r="I391" i="12"/>
  <c r="E391" i="12"/>
  <c r="L390" i="12"/>
  <c r="K390" i="12"/>
  <c r="E390" i="12"/>
  <c r="I390" i="12" s="1"/>
  <c r="L389" i="12"/>
  <c r="K389" i="12"/>
  <c r="I389" i="12"/>
  <c r="E389" i="12"/>
  <c r="L388" i="12"/>
  <c r="K388" i="12"/>
  <c r="E388" i="12"/>
  <c r="I388" i="12" s="1"/>
  <c r="L387" i="12"/>
  <c r="K387" i="12"/>
  <c r="E387" i="12"/>
  <c r="I387" i="12" s="1"/>
  <c r="L386" i="12"/>
  <c r="K386" i="12"/>
  <c r="E386" i="12"/>
  <c r="I386" i="12" s="1"/>
  <c r="L385" i="12"/>
  <c r="K385" i="12"/>
  <c r="E385" i="12"/>
  <c r="I385" i="12" s="1"/>
  <c r="L384" i="12"/>
  <c r="K384" i="12"/>
  <c r="E384" i="12"/>
  <c r="I384" i="12" s="1"/>
  <c r="L383" i="12"/>
  <c r="K383" i="12"/>
  <c r="E383" i="12"/>
  <c r="I383" i="12" s="1"/>
  <c r="L382" i="12"/>
  <c r="K382" i="12"/>
  <c r="E382" i="12"/>
  <c r="I382" i="12" s="1"/>
  <c r="L381" i="12"/>
  <c r="K381" i="12"/>
  <c r="E381" i="12"/>
  <c r="I381" i="12" s="1"/>
  <c r="L380" i="12"/>
  <c r="K380" i="12"/>
  <c r="I380" i="12"/>
  <c r="E380" i="12"/>
  <c r="L379" i="12"/>
  <c r="K379" i="12"/>
  <c r="E379" i="12"/>
  <c r="I379" i="12" s="1"/>
  <c r="L378" i="12"/>
  <c r="K378" i="12"/>
  <c r="E378" i="12"/>
  <c r="I378" i="12" s="1"/>
  <c r="L377" i="12"/>
  <c r="K377" i="12"/>
  <c r="I377" i="12"/>
  <c r="E377" i="12"/>
  <c r="L376" i="12"/>
  <c r="K376" i="12"/>
  <c r="E376" i="12"/>
  <c r="I376" i="12" s="1"/>
  <c r="L375" i="12"/>
  <c r="K375" i="12"/>
  <c r="I375" i="12"/>
  <c r="E375" i="12"/>
  <c r="L374" i="12"/>
  <c r="K374" i="12"/>
  <c r="E374" i="12"/>
  <c r="I374" i="12" s="1"/>
  <c r="L373" i="12"/>
  <c r="K373" i="12"/>
  <c r="E373" i="12"/>
  <c r="I373" i="12" s="1"/>
  <c r="L372" i="12"/>
  <c r="K372" i="12"/>
  <c r="E372" i="12"/>
  <c r="I372" i="12" s="1"/>
  <c r="L371" i="12"/>
  <c r="K371" i="12"/>
  <c r="E371" i="12"/>
  <c r="I371" i="12" s="1"/>
  <c r="L370" i="12"/>
  <c r="K370" i="12"/>
  <c r="E370" i="12"/>
  <c r="I370" i="12" s="1"/>
  <c r="L369" i="12"/>
  <c r="K369" i="12"/>
  <c r="E369" i="12"/>
  <c r="I369" i="12" s="1"/>
  <c r="L368" i="12"/>
  <c r="K368" i="12"/>
  <c r="E368" i="12"/>
  <c r="I368" i="12" s="1"/>
  <c r="L367" i="12"/>
  <c r="K367" i="12"/>
  <c r="I367" i="12"/>
  <c r="E367" i="12"/>
  <c r="L366" i="12"/>
  <c r="K366" i="12"/>
  <c r="E366" i="12"/>
  <c r="I366" i="12" s="1"/>
  <c r="L365" i="12"/>
  <c r="K365" i="12"/>
  <c r="E365" i="12"/>
  <c r="I365" i="12" s="1"/>
  <c r="L364" i="12"/>
  <c r="K364" i="12"/>
  <c r="E364" i="12"/>
  <c r="I364" i="12" s="1"/>
  <c r="L363" i="12"/>
  <c r="K363" i="12"/>
  <c r="E363" i="12"/>
  <c r="I363" i="12" s="1"/>
  <c r="L362" i="12"/>
  <c r="K362" i="12"/>
  <c r="I362" i="12"/>
  <c r="E362" i="12"/>
  <c r="L361" i="12"/>
  <c r="K361" i="12"/>
  <c r="E361" i="12"/>
  <c r="I361" i="12" s="1"/>
  <c r="L360" i="12"/>
  <c r="K360" i="12"/>
  <c r="E360" i="12"/>
  <c r="I360" i="12" s="1"/>
  <c r="L359" i="12"/>
  <c r="K359" i="12"/>
  <c r="E359" i="12"/>
  <c r="I359" i="12" s="1"/>
  <c r="L358" i="12"/>
  <c r="K358" i="12"/>
  <c r="E358" i="12"/>
  <c r="I358" i="12" s="1"/>
  <c r="L357" i="12"/>
  <c r="K357" i="12"/>
  <c r="I357" i="12"/>
  <c r="E357" i="12"/>
  <c r="L356" i="12"/>
  <c r="K356" i="12"/>
  <c r="E356" i="12"/>
  <c r="I356" i="12" s="1"/>
  <c r="L355" i="12"/>
  <c r="K355" i="12"/>
  <c r="E355" i="12"/>
  <c r="I355" i="12" s="1"/>
  <c r="L354" i="12"/>
  <c r="K354" i="12"/>
  <c r="I354" i="12"/>
  <c r="E354" i="12"/>
  <c r="L353" i="12"/>
  <c r="K353" i="12"/>
  <c r="I353" i="12"/>
  <c r="E353" i="12"/>
  <c r="L352" i="12"/>
  <c r="K352" i="12"/>
  <c r="E352" i="12"/>
  <c r="I352" i="12" s="1"/>
  <c r="L351" i="12"/>
  <c r="K351" i="12"/>
  <c r="I351" i="12"/>
  <c r="E351" i="12"/>
  <c r="L350" i="12"/>
  <c r="K350" i="12"/>
  <c r="E350" i="12"/>
  <c r="I350" i="12" s="1"/>
  <c r="L349" i="12"/>
  <c r="K349" i="12"/>
  <c r="I349" i="12"/>
  <c r="E349" i="12"/>
  <c r="L348" i="12"/>
  <c r="K348" i="12"/>
  <c r="E348" i="12"/>
  <c r="I348" i="12" s="1"/>
  <c r="L347" i="12"/>
  <c r="K347" i="12"/>
  <c r="E347" i="12"/>
  <c r="I347" i="12" s="1"/>
  <c r="L346" i="12"/>
  <c r="K346" i="12"/>
  <c r="I346" i="12"/>
  <c r="E346" i="12"/>
  <c r="L345" i="12"/>
  <c r="K345" i="12"/>
  <c r="I345" i="12"/>
  <c r="E345" i="12"/>
  <c r="L344" i="12"/>
  <c r="K344" i="12"/>
  <c r="I344" i="12"/>
  <c r="E344" i="12"/>
  <c r="L343" i="12"/>
  <c r="K343" i="12"/>
  <c r="E343" i="12"/>
  <c r="I343" i="12" s="1"/>
  <c r="L342" i="12"/>
  <c r="K342" i="12"/>
  <c r="E342" i="12"/>
  <c r="I342" i="12" s="1"/>
  <c r="L341" i="12"/>
  <c r="K341" i="12"/>
  <c r="E341" i="12"/>
  <c r="I341" i="12" s="1"/>
  <c r="L340" i="12"/>
  <c r="K340" i="12"/>
  <c r="E340" i="12"/>
  <c r="I340" i="12" s="1"/>
  <c r="L339" i="12"/>
  <c r="K339" i="12"/>
  <c r="I339" i="12"/>
  <c r="E339" i="12"/>
  <c r="L338" i="12"/>
  <c r="K338" i="12"/>
  <c r="E338" i="12"/>
  <c r="I338" i="12" s="1"/>
  <c r="L337" i="12"/>
  <c r="K337" i="12"/>
  <c r="I337" i="12"/>
  <c r="E337" i="12"/>
  <c r="L336" i="12"/>
  <c r="K336" i="12"/>
  <c r="E336" i="12"/>
  <c r="I336" i="12" s="1"/>
  <c r="L335" i="12"/>
  <c r="K335" i="12"/>
  <c r="E335" i="12"/>
  <c r="I335" i="12" s="1"/>
  <c r="L334" i="12"/>
  <c r="K334" i="12"/>
  <c r="I334" i="12"/>
  <c r="E334" i="12"/>
  <c r="L333" i="12"/>
  <c r="K333" i="12"/>
  <c r="E333" i="12"/>
  <c r="I333" i="12" s="1"/>
  <c r="L332" i="12"/>
  <c r="K332" i="12"/>
  <c r="E332" i="12"/>
  <c r="I332" i="12" s="1"/>
  <c r="L331" i="12"/>
  <c r="K331" i="12"/>
  <c r="E331" i="12"/>
  <c r="I331" i="12" s="1"/>
  <c r="L330" i="12"/>
  <c r="K330" i="12"/>
  <c r="E330" i="12"/>
  <c r="I330" i="12" s="1"/>
  <c r="L329" i="12"/>
  <c r="K329" i="12"/>
  <c r="I329" i="12"/>
  <c r="E329" i="12"/>
  <c r="L328" i="12"/>
  <c r="K328" i="12"/>
  <c r="E328" i="12"/>
  <c r="I328" i="12" s="1"/>
  <c r="L327" i="12"/>
  <c r="K327" i="12"/>
  <c r="E327" i="12"/>
  <c r="I327" i="12" s="1"/>
  <c r="L326" i="12"/>
  <c r="K326" i="12"/>
  <c r="I326" i="12"/>
  <c r="E326" i="12"/>
  <c r="L325" i="12"/>
  <c r="K325" i="12"/>
  <c r="E325" i="12"/>
  <c r="I325" i="12" s="1"/>
  <c r="L324" i="12"/>
  <c r="K324" i="12"/>
  <c r="I324" i="12"/>
  <c r="E324" i="12"/>
  <c r="L323" i="12"/>
  <c r="K323" i="12"/>
  <c r="E323" i="12"/>
  <c r="I323" i="12" s="1"/>
  <c r="L322" i="12"/>
  <c r="K322" i="12"/>
  <c r="E322" i="12"/>
  <c r="I322" i="12" s="1"/>
  <c r="L321" i="12"/>
  <c r="K321" i="12"/>
  <c r="I321" i="12"/>
  <c r="E321" i="12"/>
  <c r="L320" i="12"/>
  <c r="K320" i="12"/>
  <c r="I320" i="12"/>
  <c r="E320" i="12"/>
  <c r="L319" i="12"/>
  <c r="K319" i="12"/>
  <c r="E319" i="12"/>
  <c r="I319" i="12" s="1"/>
  <c r="L318" i="12"/>
  <c r="K318" i="12"/>
  <c r="I318" i="12"/>
  <c r="E318" i="12"/>
  <c r="L317" i="12"/>
  <c r="K317" i="12"/>
  <c r="E317" i="12"/>
  <c r="I317" i="12" s="1"/>
  <c r="L316" i="12"/>
  <c r="K316" i="12"/>
  <c r="E316" i="12"/>
  <c r="I316" i="12" s="1"/>
  <c r="L315" i="12"/>
  <c r="K315" i="12"/>
  <c r="E315" i="12"/>
  <c r="I315" i="12" s="1"/>
  <c r="L314" i="12"/>
  <c r="K314" i="12"/>
  <c r="E314" i="12"/>
  <c r="I314" i="12" s="1"/>
  <c r="L313" i="12"/>
  <c r="K313" i="12"/>
  <c r="I313" i="12"/>
  <c r="E313" i="12"/>
  <c r="L312" i="12"/>
  <c r="K312" i="12"/>
  <c r="E312" i="12"/>
  <c r="I312" i="12" s="1"/>
  <c r="L311" i="12"/>
  <c r="K311" i="12"/>
  <c r="I311" i="12"/>
  <c r="E311" i="12"/>
  <c r="L310" i="12"/>
  <c r="K310" i="12"/>
  <c r="I310" i="12"/>
  <c r="E310" i="12"/>
  <c r="L309" i="12"/>
  <c r="K309" i="12"/>
  <c r="E309" i="12"/>
  <c r="I309" i="12" s="1"/>
  <c r="L308" i="12"/>
  <c r="K308" i="12"/>
  <c r="E308" i="12"/>
  <c r="I308" i="12" s="1"/>
  <c r="L307" i="12"/>
  <c r="K307" i="12"/>
  <c r="E307" i="12"/>
  <c r="I307" i="12" s="1"/>
  <c r="L306" i="12"/>
  <c r="K306" i="12"/>
  <c r="E306" i="12"/>
  <c r="I306" i="12" s="1"/>
  <c r="L305" i="12"/>
  <c r="K305" i="12"/>
  <c r="E305" i="12"/>
  <c r="I305" i="12" s="1"/>
  <c r="L304" i="12"/>
  <c r="K304" i="12"/>
  <c r="E304" i="12"/>
  <c r="I304" i="12" s="1"/>
  <c r="L303" i="12"/>
  <c r="K303" i="12"/>
  <c r="I303" i="12"/>
  <c r="E303" i="12"/>
  <c r="L302" i="12"/>
  <c r="K302" i="12"/>
  <c r="E302" i="12"/>
  <c r="I302" i="12" s="1"/>
  <c r="L301" i="12"/>
  <c r="K301" i="12"/>
  <c r="E301" i="12"/>
  <c r="I301" i="12" s="1"/>
  <c r="L300" i="12"/>
  <c r="K300" i="12"/>
  <c r="E300" i="12"/>
  <c r="I300" i="12" s="1"/>
  <c r="L299" i="12"/>
  <c r="K299" i="12"/>
  <c r="E299" i="12"/>
  <c r="I299" i="12" s="1"/>
  <c r="L298" i="12"/>
  <c r="K298" i="12"/>
  <c r="I298" i="12"/>
  <c r="E298" i="12"/>
  <c r="L297" i="12"/>
  <c r="K297" i="12"/>
  <c r="E297" i="12"/>
  <c r="I297" i="12" s="1"/>
  <c r="L296" i="12"/>
  <c r="K296" i="12"/>
  <c r="E296" i="12"/>
  <c r="I296" i="12" s="1"/>
  <c r="L295" i="12"/>
  <c r="K295" i="12"/>
  <c r="E295" i="12"/>
  <c r="I295" i="12" s="1"/>
  <c r="L294" i="12"/>
  <c r="K294" i="12"/>
  <c r="I294" i="12"/>
  <c r="E294" i="12"/>
  <c r="L293" i="12"/>
  <c r="K293" i="12"/>
  <c r="E293" i="12"/>
  <c r="I293" i="12" s="1"/>
  <c r="L292" i="12"/>
  <c r="K292" i="12"/>
  <c r="E292" i="12"/>
  <c r="I292" i="12" s="1"/>
  <c r="L291" i="12"/>
  <c r="K291" i="12"/>
  <c r="E291" i="12"/>
  <c r="I291" i="12" s="1"/>
  <c r="L290" i="12"/>
  <c r="K290" i="12"/>
  <c r="E290" i="12"/>
  <c r="I290" i="12" s="1"/>
  <c r="L289" i="12"/>
  <c r="K289" i="12"/>
  <c r="E289" i="12"/>
  <c r="I289" i="12" s="1"/>
  <c r="L288" i="12"/>
  <c r="K288" i="12"/>
  <c r="E288" i="12"/>
  <c r="I288" i="12" s="1"/>
  <c r="L287" i="12"/>
  <c r="K287" i="12"/>
  <c r="I287" i="12"/>
  <c r="E287" i="12"/>
  <c r="L286" i="12"/>
  <c r="K286" i="12"/>
  <c r="E286" i="12"/>
  <c r="I286" i="12" s="1"/>
  <c r="L285" i="12"/>
  <c r="K285" i="12"/>
  <c r="I285" i="12"/>
  <c r="E285" i="12"/>
  <c r="L284" i="12"/>
  <c r="K284" i="12"/>
  <c r="E284" i="12"/>
  <c r="I284" i="12" s="1"/>
  <c r="L283" i="12"/>
  <c r="K283" i="12"/>
  <c r="I283" i="12"/>
  <c r="E283" i="12"/>
  <c r="L282" i="12"/>
  <c r="K282" i="12"/>
  <c r="E282" i="12"/>
  <c r="I282" i="12" s="1"/>
  <c r="L281" i="12"/>
  <c r="K281" i="12"/>
  <c r="I281" i="12"/>
  <c r="E281" i="12"/>
  <c r="L280" i="12"/>
  <c r="K280" i="12"/>
  <c r="E280" i="12"/>
  <c r="I280" i="12" s="1"/>
  <c r="L279" i="12"/>
  <c r="K279" i="12"/>
  <c r="E279" i="12"/>
  <c r="I279" i="12" s="1"/>
  <c r="L278" i="12"/>
  <c r="K278" i="12"/>
  <c r="I278" i="12"/>
  <c r="E278" i="12"/>
  <c r="L277" i="12"/>
  <c r="K277" i="12"/>
  <c r="E277" i="12"/>
  <c r="I277" i="12" s="1"/>
  <c r="L276" i="12"/>
  <c r="K276" i="12"/>
  <c r="I276" i="12"/>
  <c r="E276" i="12"/>
  <c r="L275" i="12"/>
  <c r="K275" i="12"/>
  <c r="I275" i="12"/>
  <c r="E275" i="12"/>
  <c r="L274" i="12"/>
  <c r="K274" i="12"/>
  <c r="E274" i="12"/>
  <c r="I274" i="12" s="1"/>
  <c r="L273" i="12"/>
  <c r="K273" i="12"/>
  <c r="E273" i="12"/>
  <c r="I273" i="12" s="1"/>
  <c r="L272" i="12"/>
  <c r="K272" i="12"/>
  <c r="I272" i="12"/>
  <c r="E272" i="12"/>
  <c r="L271" i="12"/>
  <c r="K271" i="12"/>
  <c r="E271" i="12"/>
  <c r="I271" i="12" s="1"/>
  <c r="L270" i="12"/>
  <c r="K270" i="12"/>
  <c r="I270" i="12"/>
  <c r="E270" i="12"/>
  <c r="L269" i="12"/>
  <c r="K269" i="12"/>
  <c r="E269" i="12"/>
  <c r="I269" i="12" s="1"/>
  <c r="L268" i="12"/>
  <c r="K268" i="12"/>
  <c r="E268" i="12"/>
  <c r="I268" i="12" s="1"/>
  <c r="L267" i="12"/>
  <c r="K267" i="12"/>
  <c r="E267" i="12"/>
  <c r="I267" i="12" s="1"/>
  <c r="L266" i="12"/>
  <c r="K266" i="12"/>
  <c r="I266" i="12"/>
  <c r="E266" i="12"/>
  <c r="L265" i="12"/>
  <c r="K265" i="12"/>
  <c r="E265" i="12"/>
  <c r="I265" i="12" s="1"/>
  <c r="L264" i="12"/>
  <c r="K264" i="12"/>
  <c r="I264" i="12"/>
  <c r="E264" i="12"/>
  <c r="L263" i="12"/>
  <c r="K263" i="12"/>
  <c r="E263" i="12"/>
  <c r="I263" i="12" s="1"/>
  <c r="L262" i="12"/>
  <c r="K262" i="12"/>
  <c r="E262" i="12"/>
  <c r="I262" i="12" s="1"/>
  <c r="L261" i="12"/>
  <c r="K261" i="12"/>
  <c r="I261" i="12"/>
  <c r="E261" i="12"/>
  <c r="L260" i="12"/>
  <c r="K260" i="12"/>
  <c r="E260" i="12"/>
  <c r="I260" i="12" s="1"/>
  <c r="L259" i="12"/>
  <c r="K259" i="12"/>
  <c r="I259" i="12"/>
  <c r="E259" i="12"/>
  <c r="L258" i="12"/>
  <c r="K258" i="12"/>
  <c r="E258" i="12"/>
  <c r="I258" i="12" s="1"/>
  <c r="L257" i="12"/>
  <c r="K257" i="12"/>
  <c r="I257" i="12"/>
  <c r="E257" i="12"/>
  <c r="L256" i="12"/>
  <c r="K256" i="12"/>
  <c r="E256" i="12"/>
  <c r="I256" i="12" s="1"/>
  <c r="L255" i="12"/>
  <c r="K255" i="12"/>
  <c r="E255" i="12"/>
  <c r="I255" i="12" s="1"/>
  <c r="L254" i="12"/>
  <c r="K254" i="12"/>
  <c r="E254" i="12"/>
  <c r="I254" i="12" s="1"/>
  <c r="L253" i="12"/>
  <c r="K253" i="12"/>
  <c r="I253" i="12"/>
  <c r="E253" i="12"/>
  <c r="L252" i="12"/>
  <c r="K252" i="12"/>
  <c r="E252" i="12"/>
  <c r="I252" i="12" s="1"/>
  <c r="L251" i="12"/>
  <c r="K251" i="12"/>
  <c r="E251" i="12"/>
  <c r="I251" i="12" s="1"/>
  <c r="L250" i="12"/>
  <c r="K250" i="12"/>
  <c r="E250" i="12"/>
  <c r="I250" i="12" s="1"/>
  <c r="L249" i="12"/>
  <c r="K249" i="12"/>
  <c r="E249" i="12"/>
  <c r="I249" i="12" s="1"/>
  <c r="L248" i="12"/>
  <c r="K248" i="12"/>
  <c r="E248" i="12"/>
  <c r="I248" i="12" s="1"/>
  <c r="L247" i="12"/>
  <c r="K247" i="12"/>
  <c r="E247" i="12"/>
  <c r="I247" i="12" s="1"/>
  <c r="L246" i="12"/>
  <c r="K246" i="12"/>
  <c r="E246" i="12"/>
  <c r="I246" i="12" s="1"/>
  <c r="L245" i="12"/>
  <c r="K245" i="12"/>
  <c r="I245" i="12"/>
  <c r="E245" i="12"/>
  <c r="L244" i="12"/>
  <c r="K244" i="12"/>
  <c r="E244" i="12"/>
  <c r="I244" i="12" s="1"/>
  <c r="L243" i="12"/>
  <c r="K243" i="12"/>
  <c r="E243" i="12"/>
  <c r="I243" i="12" s="1"/>
  <c r="L242" i="12"/>
  <c r="K242" i="12"/>
  <c r="E242" i="12"/>
  <c r="I242" i="12" s="1"/>
  <c r="L241" i="12"/>
  <c r="K241" i="12"/>
  <c r="E241" i="12"/>
  <c r="I241" i="12" s="1"/>
  <c r="L240" i="12"/>
  <c r="K240" i="12"/>
  <c r="I240" i="12"/>
  <c r="E240" i="12"/>
  <c r="L239" i="12"/>
  <c r="K239" i="12"/>
  <c r="E239" i="12"/>
  <c r="I239" i="12" s="1"/>
  <c r="L238" i="12"/>
  <c r="K238" i="12"/>
  <c r="I238" i="12"/>
  <c r="E238" i="12"/>
  <c r="L237" i="12"/>
  <c r="K237" i="12"/>
  <c r="I237" i="12"/>
  <c r="E237" i="12"/>
  <c r="L236" i="12"/>
  <c r="K236" i="12"/>
  <c r="E236" i="12"/>
  <c r="I236" i="12" s="1"/>
  <c r="L235" i="12"/>
  <c r="K235" i="12"/>
  <c r="E235" i="12"/>
  <c r="I235" i="12" s="1"/>
  <c r="L234" i="12"/>
  <c r="K234" i="12"/>
  <c r="I234" i="12"/>
  <c r="E234" i="12"/>
  <c r="L233" i="12"/>
  <c r="K233" i="12"/>
  <c r="I233" i="12"/>
  <c r="E233" i="12"/>
  <c r="L232" i="12"/>
  <c r="K232" i="12"/>
  <c r="I232" i="12"/>
  <c r="E232" i="12"/>
  <c r="L231" i="12"/>
  <c r="K231" i="12"/>
  <c r="E231" i="12"/>
  <c r="I231" i="12" s="1"/>
  <c r="L230" i="12"/>
  <c r="K230" i="12"/>
  <c r="I230" i="12"/>
  <c r="E230" i="12"/>
  <c r="L229" i="12"/>
  <c r="K229" i="12"/>
  <c r="I229" i="12"/>
  <c r="E229" i="12"/>
  <c r="L228" i="12"/>
  <c r="K228" i="12"/>
  <c r="I228" i="12"/>
  <c r="E228" i="12"/>
  <c r="L227" i="12"/>
  <c r="K227" i="12"/>
  <c r="I227" i="12"/>
  <c r="E227" i="12"/>
  <c r="L226" i="12"/>
  <c r="K226" i="12"/>
  <c r="I226" i="12"/>
  <c r="E226" i="12"/>
  <c r="L225" i="12"/>
  <c r="K225" i="12"/>
  <c r="I225" i="12"/>
  <c r="E225" i="12"/>
  <c r="L224" i="12"/>
  <c r="K224" i="12"/>
  <c r="I224" i="12"/>
  <c r="E224" i="12"/>
  <c r="L223" i="12"/>
  <c r="K223" i="12"/>
  <c r="I223" i="12"/>
  <c r="E223" i="12"/>
  <c r="L222" i="12"/>
  <c r="K222" i="12"/>
  <c r="E222" i="12"/>
  <c r="I222" i="12" s="1"/>
  <c r="L221" i="12"/>
  <c r="K221" i="12"/>
  <c r="I221" i="12"/>
  <c r="E221" i="12"/>
  <c r="L220" i="12"/>
  <c r="K220" i="12"/>
  <c r="E220" i="12"/>
  <c r="I220" i="12" s="1"/>
  <c r="L219" i="12"/>
  <c r="K219" i="12"/>
  <c r="E219" i="12"/>
  <c r="I219" i="12" s="1"/>
  <c r="L218" i="12"/>
  <c r="K218" i="12"/>
  <c r="E218" i="12"/>
  <c r="I218" i="12" s="1"/>
  <c r="L217" i="12"/>
  <c r="K217" i="12"/>
  <c r="E217" i="12"/>
  <c r="I217" i="12" s="1"/>
  <c r="L216" i="12"/>
  <c r="K216" i="12"/>
  <c r="E216" i="12"/>
  <c r="I216" i="12" s="1"/>
  <c r="L215" i="12"/>
  <c r="K215" i="12"/>
  <c r="E215" i="12"/>
  <c r="I215" i="12" s="1"/>
  <c r="L214" i="12"/>
  <c r="K214" i="12"/>
  <c r="E214" i="12"/>
  <c r="I214" i="12" s="1"/>
  <c r="L213" i="12"/>
  <c r="K213" i="12"/>
  <c r="I213" i="12"/>
  <c r="E213" i="12"/>
  <c r="L212" i="12"/>
  <c r="K212" i="12"/>
  <c r="E212" i="12"/>
  <c r="I212" i="12" s="1"/>
  <c r="L211" i="12"/>
  <c r="K211" i="12"/>
  <c r="I211" i="12"/>
  <c r="E211" i="12"/>
  <c r="L210" i="12"/>
  <c r="K210" i="12"/>
  <c r="E210" i="12"/>
  <c r="I210" i="12" s="1"/>
  <c r="L209" i="12"/>
  <c r="K209" i="12"/>
  <c r="E209" i="12"/>
  <c r="I209" i="12" s="1"/>
  <c r="L208" i="12"/>
  <c r="K208" i="12"/>
  <c r="E208" i="12"/>
  <c r="I208" i="12" s="1"/>
  <c r="L207" i="12"/>
  <c r="K207" i="12"/>
  <c r="E207" i="12"/>
  <c r="I207" i="12" s="1"/>
  <c r="L206" i="12"/>
  <c r="K206" i="12"/>
  <c r="E206" i="12"/>
  <c r="I206" i="12" s="1"/>
  <c r="L205" i="12"/>
  <c r="K205" i="12"/>
  <c r="E205" i="12"/>
  <c r="I205" i="12" s="1"/>
  <c r="L204" i="12"/>
  <c r="K204" i="12"/>
  <c r="E204" i="12"/>
  <c r="I204" i="12" s="1"/>
  <c r="L203" i="12"/>
  <c r="K203" i="12"/>
  <c r="E203" i="12"/>
  <c r="I203" i="12" s="1"/>
  <c r="L202" i="12"/>
  <c r="K202" i="12"/>
  <c r="E202" i="12"/>
  <c r="I202" i="12" s="1"/>
  <c r="L201" i="12"/>
  <c r="K201" i="12"/>
  <c r="E201" i="12"/>
  <c r="I201" i="12" s="1"/>
  <c r="L200" i="12"/>
  <c r="K200" i="12"/>
  <c r="E200" i="12"/>
  <c r="I200" i="12" s="1"/>
  <c r="L199" i="12"/>
  <c r="K199" i="12"/>
  <c r="E199" i="12"/>
  <c r="I199" i="12" s="1"/>
  <c r="L198" i="12"/>
  <c r="K198" i="12"/>
  <c r="E198" i="12"/>
  <c r="I198" i="12" s="1"/>
  <c r="L197" i="12"/>
  <c r="K197" i="12"/>
  <c r="E197" i="12"/>
  <c r="I197" i="12" s="1"/>
  <c r="L196" i="12"/>
  <c r="K196" i="12"/>
  <c r="E196" i="12"/>
  <c r="I196" i="12" s="1"/>
  <c r="L195" i="12"/>
  <c r="K195" i="12"/>
  <c r="E195" i="12"/>
  <c r="I195" i="12" s="1"/>
  <c r="L194" i="12"/>
  <c r="K194" i="12"/>
  <c r="E194" i="12"/>
  <c r="I194" i="12" s="1"/>
  <c r="L193" i="12"/>
  <c r="K193" i="12"/>
  <c r="E193" i="12"/>
  <c r="I193" i="12" s="1"/>
  <c r="L192" i="12"/>
  <c r="K192" i="12"/>
  <c r="E192" i="12"/>
  <c r="I192" i="12" s="1"/>
  <c r="L191" i="12"/>
  <c r="K191" i="12"/>
  <c r="E191" i="12"/>
  <c r="I191" i="12" s="1"/>
  <c r="L190" i="12"/>
  <c r="K190" i="12"/>
  <c r="E190" i="12"/>
  <c r="I190" i="12" s="1"/>
  <c r="L189" i="12"/>
  <c r="K189" i="12"/>
  <c r="E189" i="12"/>
  <c r="I189" i="12" s="1"/>
  <c r="L188" i="12"/>
  <c r="K188" i="12"/>
  <c r="E188" i="12"/>
  <c r="I188" i="12" s="1"/>
  <c r="L187" i="12"/>
  <c r="K187" i="12"/>
  <c r="E187" i="12"/>
  <c r="I187" i="12" s="1"/>
  <c r="L186" i="12"/>
  <c r="K186" i="12"/>
  <c r="E186" i="12"/>
  <c r="I186" i="12" s="1"/>
  <c r="L185" i="12"/>
  <c r="K185" i="12"/>
  <c r="E185" i="12"/>
  <c r="I185" i="12" s="1"/>
  <c r="L184" i="12"/>
  <c r="K184" i="12"/>
  <c r="E184" i="12"/>
  <c r="I184" i="12" s="1"/>
  <c r="L183" i="12"/>
  <c r="K183" i="12"/>
  <c r="E183" i="12"/>
  <c r="I183" i="12" s="1"/>
  <c r="L182" i="12"/>
  <c r="K182" i="12"/>
  <c r="E182" i="12"/>
  <c r="I182" i="12" s="1"/>
  <c r="L181" i="12"/>
  <c r="K181" i="12"/>
  <c r="E181" i="12"/>
  <c r="I181" i="12" s="1"/>
  <c r="L180" i="12"/>
  <c r="K180" i="12"/>
  <c r="E180" i="12"/>
  <c r="I180" i="12" s="1"/>
  <c r="L179" i="12"/>
  <c r="K179" i="12"/>
  <c r="E179" i="12"/>
  <c r="I179" i="12" s="1"/>
  <c r="L178" i="12"/>
  <c r="K178" i="12"/>
  <c r="E178" i="12"/>
  <c r="I178" i="12" s="1"/>
  <c r="L177" i="12"/>
  <c r="K177" i="12"/>
  <c r="E177" i="12"/>
  <c r="I177" i="12" s="1"/>
  <c r="L176" i="12"/>
  <c r="K176" i="12"/>
  <c r="E176" i="12"/>
  <c r="I176" i="12" s="1"/>
  <c r="L175" i="12"/>
  <c r="K175" i="12"/>
  <c r="E175" i="12"/>
  <c r="I175" i="12" s="1"/>
  <c r="L174" i="12"/>
  <c r="K174" i="12"/>
  <c r="E174" i="12"/>
  <c r="I174" i="12" s="1"/>
  <c r="L173" i="12"/>
  <c r="K173" i="12"/>
  <c r="E173" i="12"/>
  <c r="I173" i="12" s="1"/>
  <c r="L172" i="12"/>
  <c r="K172" i="12"/>
  <c r="E172" i="12"/>
  <c r="I172" i="12" s="1"/>
  <c r="L171" i="12"/>
  <c r="K171" i="12"/>
  <c r="E171" i="12"/>
  <c r="I171" i="12" s="1"/>
  <c r="L170" i="12"/>
  <c r="K170" i="12"/>
  <c r="E170" i="12"/>
  <c r="I170" i="12" s="1"/>
  <c r="L169" i="12"/>
  <c r="K169" i="12"/>
  <c r="E169" i="12"/>
  <c r="I169" i="12" s="1"/>
  <c r="L168" i="12"/>
  <c r="K168" i="12"/>
  <c r="E168" i="12"/>
  <c r="I168" i="12" s="1"/>
  <c r="L167" i="12"/>
  <c r="K167" i="12"/>
  <c r="E167" i="12"/>
  <c r="I167" i="12" s="1"/>
  <c r="L166" i="12"/>
  <c r="K166" i="12"/>
  <c r="E166" i="12"/>
  <c r="I166" i="12" s="1"/>
  <c r="L165" i="12"/>
  <c r="K165" i="12"/>
  <c r="E165" i="12"/>
  <c r="I165" i="12" s="1"/>
  <c r="L164" i="12"/>
  <c r="K164" i="12"/>
  <c r="E164" i="12"/>
  <c r="I164" i="12" s="1"/>
  <c r="L163" i="12"/>
  <c r="K163" i="12"/>
  <c r="E163" i="12"/>
  <c r="I163" i="12" s="1"/>
  <c r="L162" i="12"/>
  <c r="K162" i="12"/>
  <c r="E162" i="12"/>
  <c r="I162" i="12" s="1"/>
  <c r="L161" i="12"/>
  <c r="K161" i="12"/>
  <c r="E161" i="12"/>
  <c r="I161" i="12" s="1"/>
  <c r="L160" i="12"/>
  <c r="K160" i="12"/>
  <c r="E160" i="12"/>
  <c r="I160" i="12" s="1"/>
  <c r="L159" i="12"/>
  <c r="K159" i="12"/>
  <c r="E159" i="12"/>
  <c r="I159" i="12" s="1"/>
  <c r="L158" i="12"/>
  <c r="K158" i="12"/>
  <c r="E158" i="12"/>
  <c r="I158" i="12" s="1"/>
  <c r="L157" i="12"/>
  <c r="K157" i="12"/>
  <c r="E157" i="12"/>
  <c r="I157" i="12" s="1"/>
  <c r="L156" i="12"/>
  <c r="K156" i="12"/>
  <c r="E156" i="12"/>
  <c r="I156" i="12" s="1"/>
  <c r="L155" i="12"/>
  <c r="K155" i="12"/>
  <c r="E155" i="12"/>
  <c r="I155" i="12" s="1"/>
  <c r="L154" i="12"/>
  <c r="K154" i="12"/>
  <c r="E154" i="12"/>
  <c r="I154" i="12" s="1"/>
  <c r="L153" i="12"/>
  <c r="K153" i="12"/>
  <c r="E153" i="12"/>
  <c r="I153" i="12" s="1"/>
  <c r="L152" i="12"/>
  <c r="K152" i="12"/>
  <c r="E152" i="12"/>
  <c r="I152" i="12" s="1"/>
  <c r="L151" i="12"/>
  <c r="K151" i="12"/>
  <c r="E151" i="12"/>
  <c r="I151" i="12" s="1"/>
  <c r="L150" i="12"/>
  <c r="K150" i="12"/>
  <c r="E150" i="12"/>
  <c r="I150" i="12" s="1"/>
  <c r="L149" i="12"/>
  <c r="K149" i="12"/>
  <c r="E149" i="12"/>
  <c r="I149" i="12" s="1"/>
  <c r="L148" i="12"/>
  <c r="K148" i="12"/>
  <c r="E148" i="12"/>
  <c r="I148" i="12" s="1"/>
  <c r="L147" i="12"/>
  <c r="K147" i="12"/>
  <c r="E147" i="12"/>
  <c r="I147" i="12" s="1"/>
  <c r="L146" i="12"/>
  <c r="K146" i="12"/>
  <c r="E146" i="12"/>
  <c r="I146" i="12" s="1"/>
  <c r="L145" i="12"/>
  <c r="K145" i="12"/>
  <c r="E145" i="12"/>
  <c r="I145" i="12" s="1"/>
  <c r="L144" i="12"/>
  <c r="K144" i="12"/>
  <c r="E144" i="12"/>
  <c r="I144" i="12" s="1"/>
  <c r="L143" i="12"/>
  <c r="K143" i="12"/>
  <c r="E143" i="12"/>
  <c r="I143" i="12" s="1"/>
  <c r="L142" i="12"/>
  <c r="K142" i="12"/>
  <c r="E142" i="12"/>
  <c r="I142" i="12" s="1"/>
  <c r="L141" i="12"/>
  <c r="K141" i="12"/>
  <c r="E141" i="12"/>
  <c r="I141" i="12" s="1"/>
  <c r="L140" i="12"/>
  <c r="K140" i="12"/>
  <c r="E140" i="12"/>
  <c r="I140" i="12" s="1"/>
  <c r="L139" i="12"/>
  <c r="K139" i="12"/>
  <c r="E139" i="12"/>
  <c r="I139" i="12" s="1"/>
  <c r="L138" i="12"/>
  <c r="K138" i="12"/>
  <c r="E138" i="12"/>
  <c r="I138" i="12" s="1"/>
  <c r="L137" i="12"/>
  <c r="K137" i="12"/>
  <c r="E137" i="12"/>
  <c r="I137" i="12" s="1"/>
  <c r="L136" i="12"/>
  <c r="K136" i="12"/>
  <c r="E136" i="12"/>
  <c r="I136" i="12" s="1"/>
  <c r="L135" i="12"/>
  <c r="K135" i="12"/>
  <c r="E135" i="12"/>
  <c r="I135" i="12" s="1"/>
  <c r="L134" i="12"/>
  <c r="K134" i="12"/>
  <c r="E134" i="12"/>
  <c r="I134" i="12" s="1"/>
  <c r="L133" i="12"/>
  <c r="K133" i="12"/>
  <c r="E133" i="12"/>
  <c r="I133" i="12" s="1"/>
  <c r="L132" i="12"/>
  <c r="K132" i="12"/>
  <c r="E132" i="12"/>
  <c r="I132" i="12" s="1"/>
  <c r="L131" i="12"/>
  <c r="K131" i="12"/>
  <c r="E131" i="12"/>
  <c r="I131" i="12" s="1"/>
  <c r="L130" i="12"/>
  <c r="K130" i="12"/>
  <c r="E130" i="12"/>
  <c r="I130" i="12" s="1"/>
  <c r="L129" i="12"/>
  <c r="K129" i="12"/>
  <c r="E129" i="12"/>
  <c r="I129" i="12" s="1"/>
  <c r="L128" i="12"/>
  <c r="K128" i="12"/>
  <c r="E128" i="12"/>
  <c r="I128" i="12" s="1"/>
  <c r="L127" i="12"/>
  <c r="K127" i="12"/>
  <c r="E127" i="12"/>
  <c r="I127" i="12" s="1"/>
  <c r="L126" i="12"/>
  <c r="K126" i="12"/>
  <c r="E126" i="12"/>
  <c r="I126" i="12" s="1"/>
  <c r="L125" i="12"/>
  <c r="K125" i="12"/>
  <c r="E125" i="12"/>
  <c r="I125" i="12" s="1"/>
  <c r="L124" i="12"/>
  <c r="K124" i="12"/>
  <c r="E124" i="12"/>
  <c r="I124" i="12" s="1"/>
  <c r="L123" i="12"/>
  <c r="K123" i="12"/>
  <c r="E123" i="12"/>
  <c r="I123" i="12" s="1"/>
  <c r="L122" i="12"/>
  <c r="K122" i="12"/>
  <c r="E122" i="12"/>
  <c r="I122" i="12" s="1"/>
  <c r="L121" i="12"/>
  <c r="K121" i="12"/>
  <c r="E121" i="12"/>
  <c r="I121" i="12" s="1"/>
  <c r="L120" i="12"/>
  <c r="K120" i="12"/>
  <c r="E120" i="12"/>
  <c r="I120" i="12" s="1"/>
  <c r="L119" i="12"/>
  <c r="K119" i="12"/>
  <c r="E119" i="12"/>
  <c r="I119" i="12" s="1"/>
  <c r="L118" i="12"/>
  <c r="K118" i="12"/>
  <c r="E118" i="12"/>
  <c r="I118" i="12" s="1"/>
  <c r="L117" i="12"/>
  <c r="K117" i="12"/>
  <c r="E117" i="12"/>
  <c r="I117" i="12" s="1"/>
  <c r="L116" i="12"/>
  <c r="K116" i="12"/>
  <c r="E116" i="12"/>
  <c r="I116" i="12" s="1"/>
  <c r="L115" i="12"/>
  <c r="K115" i="12"/>
  <c r="E115" i="12"/>
  <c r="I115" i="12" s="1"/>
  <c r="L114" i="12"/>
  <c r="K114" i="12"/>
  <c r="E114" i="12"/>
  <c r="I114" i="12" s="1"/>
  <c r="L113" i="12"/>
  <c r="K113" i="12"/>
  <c r="E113" i="12"/>
  <c r="I113" i="12" s="1"/>
  <c r="L112" i="12"/>
  <c r="K112" i="12"/>
  <c r="E112" i="12"/>
  <c r="I112" i="12" s="1"/>
  <c r="L111" i="12"/>
  <c r="K111" i="12"/>
  <c r="E111" i="12"/>
  <c r="I111" i="12" s="1"/>
  <c r="L110" i="12"/>
  <c r="K110" i="12"/>
  <c r="E110" i="12"/>
  <c r="I110" i="12" s="1"/>
  <c r="L109" i="12"/>
  <c r="K109" i="12"/>
  <c r="E109" i="12"/>
  <c r="I109" i="12" s="1"/>
  <c r="L108" i="12"/>
  <c r="K108" i="12"/>
  <c r="E108" i="12"/>
  <c r="I108" i="12" s="1"/>
  <c r="L107" i="12"/>
  <c r="K107" i="12"/>
  <c r="E107" i="12"/>
  <c r="I107" i="12" s="1"/>
  <c r="L106" i="12"/>
  <c r="K106" i="12"/>
  <c r="E106" i="12"/>
  <c r="I106" i="12" s="1"/>
  <c r="L105" i="12"/>
  <c r="K105" i="12"/>
  <c r="E105" i="12"/>
  <c r="I105" i="12" s="1"/>
  <c r="L104" i="12"/>
  <c r="K104" i="12"/>
  <c r="E104" i="12"/>
  <c r="I104" i="12" s="1"/>
  <c r="L103" i="12"/>
  <c r="K103" i="12"/>
  <c r="E103" i="12"/>
  <c r="I103" i="12" s="1"/>
  <c r="L102" i="12"/>
  <c r="K102" i="12"/>
  <c r="E102" i="12"/>
  <c r="I102" i="12" s="1"/>
  <c r="L101" i="12"/>
  <c r="K101" i="12"/>
  <c r="E101" i="12"/>
  <c r="I101" i="12" s="1"/>
  <c r="L100" i="12"/>
  <c r="K100" i="12"/>
  <c r="E100" i="12"/>
  <c r="I100" i="12" s="1"/>
  <c r="L99" i="12"/>
  <c r="K99" i="12"/>
  <c r="E99" i="12"/>
  <c r="I99" i="12" s="1"/>
  <c r="L98" i="12"/>
  <c r="K98" i="12"/>
  <c r="E98" i="12"/>
  <c r="I98" i="12" s="1"/>
  <c r="L97" i="12"/>
  <c r="K97" i="12"/>
  <c r="E97" i="12"/>
  <c r="I97" i="12" s="1"/>
  <c r="L96" i="12"/>
  <c r="K96" i="12"/>
  <c r="E96" i="12"/>
  <c r="I96" i="12" s="1"/>
  <c r="L95" i="12"/>
  <c r="K95" i="12"/>
  <c r="E95" i="12"/>
  <c r="I95" i="12" s="1"/>
  <c r="L94" i="12"/>
  <c r="K94" i="12"/>
  <c r="E94" i="12"/>
  <c r="I94" i="12" s="1"/>
  <c r="L93" i="12"/>
  <c r="K93" i="12"/>
  <c r="E93" i="12"/>
  <c r="I93" i="12" s="1"/>
  <c r="L92" i="12"/>
  <c r="K92" i="12"/>
  <c r="E92" i="12"/>
  <c r="I92" i="12" s="1"/>
  <c r="L91" i="12"/>
  <c r="K91" i="12"/>
  <c r="E91" i="12"/>
  <c r="I91" i="12" s="1"/>
  <c r="L90" i="12"/>
  <c r="K90" i="12"/>
  <c r="E90" i="12"/>
  <c r="I90" i="12" s="1"/>
  <c r="L89" i="12"/>
  <c r="K89" i="12"/>
  <c r="E89" i="12"/>
  <c r="I89" i="12" s="1"/>
  <c r="L88" i="12"/>
  <c r="K88" i="12"/>
  <c r="E88" i="12"/>
  <c r="I88" i="12" s="1"/>
  <c r="L87" i="12"/>
  <c r="K87" i="12"/>
  <c r="E87" i="12"/>
  <c r="I87" i="12" s="1"/>
  <c r="L86" i="12"/>
  <c r="K86" i="12"/>
  <c r="E86" i="12"/>
  <c r="I86" i="12" s="1"/>
  <c r="L85" i="12"/>
  <c r="K85" i="12"/>
  <c r="E85" i="12"/>
  <c r="I85" i="12" s="1"/>
  <c r="L84" i="12"/>
  <c r="K84" i="12"/>
  <c r="E84" i="12"/>
  <c r="I84" i="12" s="1"/>
  <c r="L83" i="12"/>
  <c r="K83" i="12"/>
  <c r="E83" i="12"/>
  <c r="I83" i="12" s="1"/>
  <c r="L82" i="12"/>
  <c r="K82" i="12"/>
  <c r="E82" i="12"/>
  <c r="I82" i="12" s="1"/>
  <c r="L81" i="12"/>
  <c r="K81" i="12"/>
  <c r="E81" i="12"/>
  <c r="I81" i="12" s="1"/>
  <c r="L80" i="12"/>
  <c r="K80" i="12"/>
  <c r="E80" i="12"/>
  <c r="I80" i="12" s="1"/>
  <c r="L79" i="12"/>
  <c r="K79" i="12"/>
  <c r="E79" i="12"/>
  <c r="I79" i="12" s="1"/>
  <c r="L78" i="12"/>
  <c r="K78" i="12"/>
  <c r="E78" i="12"/>
  <c r="I78" i="12" s="1"/>
  <c r="L77" i="12"/>
  <c r="K77" i="12"/>
  <c r="E77" i="12"/>
  <c r="I77" i="12" s="1"/>
  <c r="L76" i="12"/>
  <c r="K76" i="12"/>
  <c r="E76" i="12"/>
  <c r="I76" i="12" s="1"/>
  <c r="L75" i="12"/>
  <c r="K75" i="12"/>
  <c r="E75" i="12"/>
  <c r="I75" i="12" s="1"/>
  <c r="L74" i="12"/>
  <c r="K74" i="12"/>
  <c r="E74" i="12"/>
  <c r="I74" i="12" s="1"/>
  <c r="L73" i="12"/>
  <c r="K73" i="12"/>
  <c r="E73" i="12"/>
  <c r="I73" i="12" s="1"/>
  <c r="L72" i="12"/>
  <c r="K72" i="12"/>
  <c r="E72" i="12"/>
  <c r="I72" i="12" s="1"/>
  <c r="L71" i="12"/>
  <c r="K71" i="12"/>
  <c r="E71" i="12"/>
  <c r="I71" i="12" s="1"/>
  <c r="L70" i="12"/>
  <c r="K70" i="12"/>
  <c r="E70" i="12"/>
  <c r="I70" i="12" s="1"/>
  <c r="L69" i="12"/>
  <c r="K69" i="12"/>
  <c r="E69" i="12"/>
  <c r="I69" i="12" s="1"/>
  <c r="L68" i="12"/>
  <c r="K68" i="12"/>
  <c r="E68" i="12"/>
  <c r="I68" i="12" s="1"/>
  <c r="L67" i="12"/>
  <c r="K67" i="12"/>
  <c r="E67" i="12"/>
  <c r="I67" i="12" s="1"/>
  <c r="L66" i="12"/>
  <c r="K66" i="12"/>
  <c r="E66" i="12"/>
  <c r="I66" i="12" s="1"/>
  <c r="L65" i="12"/>
  <c r="K65" i="12"/>
  <c r="E65" i="12"/>
  <c r="I65" i="12" s="1"/>
  <c r="L64" i="12"/>
  <c r="K64" i="12"/>
  <c r="E64" i="12"/>
  <c r="I64" i="12" s="1"/>
  <c r="L63" i="12"/>
  <c r="K63" i="12"/>
  <c r="E63" i="12"/>
  <c r="I63" i="12" s="1"/>
  <c r="L62" i="12"/>
  <c r="K62" i="12"/>
  <c r="E62" i="12"/>
  <c r="I62" i="12" s="1"/>
  <c r="L61" i="12"/>
  <c r="K61" i="12"/>
  <c r="E61" i="12"/>
  <c r="I61" i="12" s="1"/>
  <c r="L60" i="12"/>
  <c r="K60" i="12"/>
  <c r="E60" i="12"/>
  <c r="I60" i="12" s="1"/>
  <c r="L59" i="12"/>
  <c r="K59" i="12"/>
  <c r="E59" i="12"/>
  <c r="I59" i="12" s="1"/>
  <c r="L58" i="12"/>
  <c r="K58" i="12"/>
  <c r="E58" i="12"/>
  <c r="I58" i="12" s="1"/>
  <c r="L57" i="12"/>
  <c r="K57" i="12"/>
  <c r="E57" i="12"/>
  <c r="I57" i="12" s="1"/>
  <c r="L56" i="12"/>
  <c r="K56" i="12"/>
  <c r="E56" i="12"/>
  <c r="I56" i="12" s="1"/>
  <c r="L55" i="12"/>
  <c r="K55" i="12"/>
  <c r="E55" i="12"/>
  <c r="I55" i="12" s="1"/>
  <c r="L54" i="12"/>
  <c r="K54" i="12"/>
  <c r="E54" i="12"/>
  <c r="I54" i="12" s="1"/>
  <c r="L53" i="12"/>
  <c r="K53" i="12"/>
  <c r="E53" i="12"/>
  <c r="I53" i="12" s="1"/>
  <c r="L52" i="12"/>
  <c r="K52" i="12"/>
  <c r="E52" i="12"/>
  <c r="I52" i="12" s="1"/>
  <c r="L51" i="12"/>
  <c r="K51" i="12"/>
  <c r="E51" i="12"/>
  <c r="I51" i="12" s="1"/>
  <c r="L50" i="12"/>
  <c r="K50" i="12"/>
  <c r="E50" i="12"/>
  <c r="I50" i="12" s="1"/>
  <c r="L49" i="12"/>
  <c r="K49" i="12"/>
  <c r="E49" i="12"/>
  <c r="I49" i="12" s="1"/>
  <c r="L48" i="12"/>
  <c r="K48" i="12"/>
  <c r="E48" i="12"/>
  <c r="I48" i="12" s="1"/>
  <c r="L47" i="12"/>
  <c r="K47" i="12"/>
  <c r="E47" i="12"/>
  <c r="I47" i="12" s="1"/>
  <c r="L46" i="12"/>
  <c r="K46" i="12"/>
  <c r="E46" i="12"/>
  <c r="I46" i="12" s="1"/>
  <c r="L45" i="12"/>
  <c r="K45" i="12"/>
  <c r="E45" i="12"/>
  <c r="I45" i="12" s="1"/>
  <c r="L44" i="12"/>
  <c r="K44" i="12"/>
  <c r="E44" i="12"/>
  <c r="I44" i="12" s="1"/>
  <c r="L43" i="12"/>
  <c r="K43" i="12"/>
  <c r="E43" i="12"/>
  <c r="I43" i="12" s="1"/>
  <c r="L42" i="12"/>
  <c r="K42" i="12"/>
  <c r="E42" i="12"/>
  <c r="I42" i="12" s="1"/>
  <c r="L41" i="12"/>
  <c r="K41" i="12"/>
  <c r="E41" i="12"/>
  <c r="I41" i="12" s="1"/>
  <c r="L40" i="12"/>
  <c r="K40" i="12"/>
  <c r="E40" i="12"/>
  <c r="I40" i="12" s="1"/>
  <c r="L39" i="12"/>
  <c r="K39" i="12"/>
  <c r="E39" i="12"/>
  <c r="I39" i="12" s="1"/>
  <c r="L38" i="12"/>
  <c r="K38" i="12"/>
  <c r="E38" i="12"/>
  <c r="I38" i="12" s="1"/>
  <c r="L37" i="12"/>
  <c r="K37" i="12"/>
  <c r="E37" i="12"/>
  <c r="I37" i="12" s="1"/>
  <c r="L36" i="12"/>
  <c r="K36" i="12"/>
  <c r="E36" i="12"/>
  <c r="I36" i="12" s="1"/>
  <c r="L35" i="12"/>
  <c r="K35" i="12"/>
  <c r="E35" i="12"/>
  <c r="I35" i="12" s="1"/>
  <c r="L34" i="12"/>
  <c r="K34" i="12"/>
  <c r="E34" i="12"/>
  <c r="I34" i="12" s="1"/>
  <c r="L33" i="12"/>
  <c r="K33" i="12"/>
  <c r="E33" i="12"/>
  <c r="I33" i="12" s="1"/>
  <c r="L32" i="12"/>
  <c r="K32" i="12"/>
  <c r="E32" i="12"/>
  <c r="I32" i="12" s="1"/>
  <c r="L31" i="12"/>
  <c r="K31" i="12"/>
  <c r="E31" i="12"/>
  <c r="I31" i="12" s="1"/>
  <c r="L30" i="12"/>
  <c r="K30" i="12"/>
  <c r="E30" i="12"/>
  <c r="I30" i="12" s="1"/>
  <c r="L29" i="12"/>
  <c r="K29" i="12"/>
  <c r="E29" i="12"/>
  <c r="I29" i="12" s="1"/>
  <c r="L28" i="12"/>
  <c r="K28" i="12"/>
  <c r="E28" i="12"/>
  <c r="I28" i="12" s="1"/>
  <c r="L27" i="12"/>
  <c r="K27" i="12"/>
  <c r="E27" i="12"/>
  <c r="I27" i="12" s="1"/>
  <c r="L26" i="12"/>
  <c r="K26" i="12"/>
  <c r="E26" i="12"/>
  <c r="I26" i="12" s="1"/>
  <c r="L25" i="12"/>
  <c r="K25" i="12"/>
  <c r="E25" i="12"/>
  <c r="I25" i="12" s="1"/>
  <c r="L24" i="12"/>
  <c r="K24" i="12"/>
  <c r="E24" i="12"/>
  <c r="I24" i="12" s="1"/>
  <c r="L23" i="12"/>
  <c r="K23" i="12"/>
  <c r="E23" i="12"/>
  <c r="I23" i="12" s="1"/>
  <c r="L22" i="12"/>
  <c r="K22" i="12"/>
  <c r="E22" i="12"/>
  <c r="I22" i="12" s="1"/>
  <c r="L21" i="12"/>
  <c r="K21" i="12"/>
  <c r="E21" i="12"/>
  <c r="I21" i="12" s="1"/>
  <c r="L20" i="12"/>
  <c r="K20" i="12"/>
  <c r="E20" i="12"/>
  <c r="I20" i="12" s="1"/>
  <c r="L19" i="12"/>
  <c r="K19" i="12"/>
  <c r="E19" i="12"/>
  <c r="I19" i="12" s="1"/>
  <c r="L18" i="12"/>
  <c r="K18" i="12"/>
  <c r="E18" i="12"/>
  <c r="I18" i="12" s="1"/>
  <c r="L17" i="12"/>
  <c r="K17" i="12"/>
  <c r="E17" i="12"/>
  <c r="I17" i="12" s="1"/>
  <c r="L16" i="12"/>
  <c r="K16" i="12"/>
  <c r="E16" i="12"/>
  <c r="I16" i="12" s="1"/>
  <c r="L15" i="12"/>
  <c r="K15" i="12"/>
  <c r="E15" i="12"/>
  <c r="I15" i="12" s="1"/>
  <c r="L14" i="12"/>
  <c r="K14" i="12"/>
  <c r="E14" i="12"/>
  <c r="I14" i="12" s="1"/>
  <c r="L13" i="12"/>
  <c r="K13" i="12"/>
  <c r="E13" i="12"/>
  <c r="I13" i="12" s="1"/>
  <c r="L12" i="12"/>
  <c r="K12" i="12"/>
  <c r="E12" i="12"/>
  <c r="I12" i="12" s="1"/>
  <c r="L11" i="12"/>
  <c r="K11" i="12"/>
  <c r="E11" i="12"/>
  <c r="I11" i="12" s="1"/>
  <c r="L10" i="12"/>
  <c r="K10" i="12"/>
  <c r="E10" i="12"/>
  <c r="I10" i="12" s="1"/>
  <c r="L9" i="12"/>
  <c r="K9" i="12"/>
  <c r="E9" i="12"/>
  <c r="I9" i="12" s="1"/>
  <c r="L8" i="12"/>
  <c r="K8" i="12"/>
  <c r="E8" i="12"/>
  <c r="I8" i="12" s="1"/>
  <c r="L7" i="12"/>
  <c r="K7" i="12"/>
  <c r="E7" i="12"/>
  <c r="I7" i="12" s="1"/>
  <c r="L6" i="12"/>
  <c r="K6" i="12"/>
  <c r="E6" i="12"/>
  <c r="I6" i="12" s="1"/>
  <c r="L5" i="12"/>
  <c r="K5" i="12"/>
  <c r="E5" i="12"/>
  <c r="I5" i="12" s="1"/>
  <c r="M431" i="11"/>
  <c r="L429" i="11"/>
  <c r="K429" i="11"/>
  <c r="E429" i="11"/>
  <c r="I429" i="11" s="1"/>
  <c r="L428" i="11"/>
  <c r="K428" i="11"/>
  <c r="E428" i="11"/>
  <c r="I428" i="11" s="1"/>
  <c r="L427" i="11"/>
  <c r="K427" i="11"/>
  <c r="E427" i="11"/>
  <c r="I427" i="11" s="1"/>
  <c r="L426" i="11"/>
  <c r="K426" i="11"/>
  <c r="E426" i="11"/>
  <c r="I426" i="11" s="1"/>
  <c r="L425" i="11"/>
  <c r="K425" i="11"/>
  <c r="E425" i="11"/>
  <c r="I425" i="11" s="1"/>
  <c r="L424" i="11"/>
  <c r="K424" i="11"/>
  <c r="E424" i="11"/>
  <c r="I424" i="11" s="1"/>
  <c r="L423" i="11"/>
  <c r="K423" i="11"/>
  <c r="E423" i="11"/>
  <c r="I423" i="11" s="1"/>
  <c r="L422" i="11"/>
  <c r="K422" i="11"/>
  <c r="E422" i="11"/>
  <c r="I422" i="11" s="1"/>
  <c r="L421" i="11"/>
  <c r="K421" i="11"/>
  <c r="I421" i="11"/>
  <c r="E421" i="11"/>
  <c r="L420" i="11"/>
  <c r="K420" i="11"/>
  <c r="E420" i="11"/>
  <c r="I420" i="11" s="1"/>
  <c r="L419" i="11"/>
  <c r="K419" i="11"/>
  <c r="E419" i="11"/>
  <c r="I419" i="11" s="1"/>
  <c r="L418" i="11"/>
  <c r="K418" i="11"/>
  <c r="E418" i="11"/>
  <c r="I418" i="11" s="1"/>
  <c r="L417" i="11"/>
  <c r="K417" i="11"/>
  <c r="E417" i="11"/>
  <c r="I417" i="11" s="1"/>
  <c r="L416" i="11"/>
  <c r="K416" i="11"/>
  <c r="E416" i="11"/>
  <c r="I416" i="11" s="1"/>
  <c r="L415" i="11"/>
  <c r="K415" i="11"/>
  <c r="E415" i="11"/>
  <c r="I415" i="11" s="1"/>
  <c r="L414" i="11"/>
  <c r="K414" i="11"/>
  <c r="E414" i="11"/>
  <c r="I414" i="11" s="1"/>
  <c r="L413" i="11"/>
  <c r="K413" i="11"/>
  <c r="E413" i="11"/>
  <c r="I413" i="11" s="1"/>
  <c r="L412" i="11"/>
  <c r="K412" i="11"/>
  <c r="E412" i="11"/>
  <c r="I412" i="11" s="1"/>
  <c r="L411" i="11"/>
  <c r="K411" i="11"/>
  <c r="E411" i="11"/>
  <c r="I411" i="11" s="1"/>
  <c r="L410" i="11"/>
  <c r="K410" i="11"/>
  <c r="E410" i="11"/>
  <c r="I410" i="11" s="1"/>
  <c r="L409" i="11"/>
  <c r="K409" i="11"/>
  <c r="E409" i="11"/>
  <c r="I409" i="11" s="1"/>
  <c r="L408" i="11"/>
  <c r="K408" i="11"/>
  <c r="E408" i="11"/>
  <c r="I408" i="11" s="1"/>
  <c r="L407" i="11"/>
  <c r="K407" i="11"/>
  <c r="I407" i="11"/>
  <c r="E407" i="11"/>
  <c r="L406" i="11"/>
  <c r="K406" i="11"/>
  <c r="I406" i="11"/>
  <c r="E406" i="11"/>
  <c r="L405" i="11"/>
  <c r="K405" i="11"/>
  <c r="I405" i="11"/>
  <c r="E405" i="11"/>
  <c r="L404" i="11"/>
  <c r="K404" i="11"/>
  <c r="E404" i="11"/>
  <c r="I404" i="11" s="1"/>
  <c r="L403" i="11"/>
  <c r="K403" i="11"/>
  <c r="E403" i="11"/>
  <c r="I403" i="11" s="1"/>
  <c r="L402" i="11"/>
  <c r="K402" i="11"/>
  <c r="I402" i="11"/>
  <c r="E402" i="11"/>
  <c r="L401" i="11"/>
  <c r="K401" i="11"/>
  <c r="E401" i="11"/>
  <c r="I401" i="11" s="1"/>
  <c r="L400" i="11"/>
  <c r="K400" i="11"/>
  <c r="E400" i="11"/>
  <c r="I400" i="11" s="1"/>
  <c r="L399" i="11"/>
  <c r="K399" i="11"/>
  <c r="E399" i="11"/>
  <c r="I399" i="11" s="1"/>
  <c r="L398" i="11"/>
  <c r="K398" i="11"/>
  <c r="E398" i="11"/>
  <c r="I398" i="11" s="1"/>
  <c r="L397" i="11"/>
  <c r="K397" i="11"/>
  <c r="E397" i="11"/>
  <c r="I397" i="11" s="1"/>
  <c r="L396" i="11"/>
  <c r="K396" i="11"/>
  <c r="I396" i="11"/>
  <c r="E396" i="11"/>
  <c r="L395" i="11"/>
  <c r="K395" i="11"/>
  <c r="I395" i="11"/>
  <c r="E395" i="11"/>
  <c r="L394" i="11"/>
  <c r="K394" i="11"/>
  <c r="E394" i="11"/>
  <c r="I394" i="11" s="1"/>
  <c r="L393" i="11"/>
  <c r="K393" i="11"/>
  <c r="I393" i="11"/>
  <c r="E393" i="11"/>
  <c r="L392" i="11"/>
  <c r="K392" i="11"/>
  <c r="E392" i="11"/>
  <c r="I392" i="11" s="1"/>
  <c r="L391" i="11"/>
  <c r="K391" i="11"/>
  <c r="I391" i="11"/>
  <c r="E391" i="11"/>
  <c r="L390" i="11"/>
  <c r="K390" i="11"/>
  <c r="I390" i="11"/>
  <c r="E390" i="11"/>
  <c r="L389" i="11"/>
  <c r="K389" i="11"/>
  <c r="E389" i="11"/>
  <c r="I389" i="11" s="1"/>
  <c r="L388" i="11"/>
  <c r="K388" i="11"/>
  <c r="E388" i="11"/>
  <c r="I388" i="11" s="1"/>
  <c r="L387" i="11"/>
  <c r="K387" i="11"/>
  <c r="E387" i="11"/>
  <c r="I387" i="11" s="1"/>
  <c r="L386" i="11"/>
  <c r="K386" i="11"/>
  <c r="I386" i="11"/>
  <c r="E386" i="11"/>
  <c r="L385" i="11"/>
  <c r="K385" i="11"/>
  <c r="E385" i="11"/>
  <c r="I385" i="11" s="1"/>
  <c r="L384" i="11"/>
  <c r="K384" i="11"/>
  <c r="E384" i="11"/>
  <c r="I384" i="11" s="1"/>
  <c r="L383" i="11"/>
  <c r="K383" i="11"/>
  <c r="E383" i="11"/>
  <c r="I383" i="11" s="1"/>
  <c r="L382" i="11"/>
  <c r="K382" i="11"/>
  <c r="E382" i="11"/>
  <c r="I382" i="11" s="1"/>
  <c r="L381" i="11"/>
  <c r="K381" i="11"/>
  <c r="E381" i="11"/>
  <c r="I381" i="11" s="1"/>
  <c r="L380" i="11"/>
  <c r="K380" i="11"/>
  <c r="I380" i="11"/>
  <c r="E380" i="11"/>
  <c r="L379" i="11"/>
  <c r="K379" i="11"/>
  <c r="E379" i="11"/>
  <c r="I379" i="11" s="1"/>
  <c r="L378" i="11"/>
  <c r="K378" i="11"/>
  <c r="E378" i="11"/>
  <c r="I378" i="11" s="1"/>
  <c r="L377" i="11"/>
  <c r="K377" i="11"/>
  <c r="E377" i="11"/>
  <c r="I377" i="11" s="1"/>
  <c r="L376" i="11"/>
  <c r="K376" i="11"/>
  <c r="I376" i="11"/>
  <c r="E376" i="11"/>
  <c r="L375" i="11"/>
  <c r="K375" i="11"/>
  <c r="E375" i="11"/>
  <c r="I375" i="11" s="1"/>
  <c r="L374" i="11"/>
  <c r="K374" i="11"/>
  <c r="E374" i="11"/>
  <c r="I374" i="11" s="1"/>
  <c r="L373" i="11"/>
  <c r="K373" i="11"/>
  <c r="E373" i="11"/>
  <c r="I373" i="11" s="1"/>
  <c r="L372" i="11"/>
  <c r="K372" i="11"/>
  <c r="E372" i="11"/>
  <c r="I372" i="11" s="1"/>
  <c r="L371" i="11"/>
  <c r="K371" i="11"/>
  <c r="E371" i="11"/>
  <c r="I371" i="11" s="1"/>
  <c r="L370" i="11"/>
  <c r="K370" i="11"/>
  <c r="E370" i="11"/>
  <c r="I370" i="11" s="1"/>
  <c r="L369" i="11"/>
  <c r="K369" i="11"/>
  <c r="E369" i="11"/>
  <c r="I369" i="11" s="1"/>
  <c r="L368" i="11"/>
  <c r="K368" i="11"/>
  <c r="E368" i="11"/>
  <c r="I368" i="11" s="1"/>
  <c r="L367" i="11"/>
  <c r="K367" i="11"/>
  <c r="E367" i="11"/>
  <c r="I367" i="11" s="1"/>
  <c r="L366" i="11"/>
  <c r="K366" i="11"/>
  <c r="E366" i="11"/>
  <c r="I366" i="11" s="1"/>
  <c r="L365" i="11"/>
  <c r="K365" i="11"/>
  <c r="E365" i="11"/>
  <c r="I365" i="11" s="1"/>
  <c r="L364" i="11"/>
  <c r="K364" i="11"/>
  <c r="E364" i="11"/>
  <c r="I364" i="11" s="1"/>
  <c r="L363" i="11"/>
  <c r="K363" i="11"/>
  <c r="E363" i="11"/>
  <c r="I363" i="11" s="1"/>
  <c r="L362" i="11"/>
  <c r="K362" i="11"/>
  <c r="E362" i="11"/>
  <c r="I362" i="11" s="1"/>
  <c r="L361" i="11"/>
  <c r="K361" i="11"/>
  <c r="I361" i="11"/>
  <c r="E361" i="11"/>
  <c r="L360" i="11"/>
  <c r="K360" i="11"/>
  <c r="E360" i="11"/>
  <c r="I360" i="11" s="1"/>
  <c r="L359" i="11"/>
  <c r="K359" i="11"/>
  <c r="I359" i="11"/>
  <c r="E359" i="11"/>
  <c r="L358" i="11"/>
  <c r="K358" i="11"/>
  <c r="E358" i="11"/>
  <c r="I358" i="11" s="1"/>
  <c r="L357" i="11"/>
  <c r="K357" i="11"/>
  <c r="E357" i="11"/>
  <c r="I357" i="11" s="1"/>
  <c r="L356" i="11"/>
  <c r="K356" i="11"/>
  <c r="I356" i="11"/>
  <c r="E356" i="11"/>
  <c r="L355" i="11"/>
  <c r="K355" i="11"/>
  <c r="E355" i="11"/>
  <c r="I355" i="11" s="1"/>
  <c r="L354" i="11"/>
  <c r="K354" i="11"/>
  <c r="E354" i="11"/>
  <c r="I354" i="11" s="1"/>
  <c r="L353" i="11"/>
  <c r="K353" i="11"/>
  <c r="I353" i="11"/>
  <c r="E353" i="11"/>
  <c r="L352" i="11"/>
  <c r="K352" i="11"/>
  <c r="E352" i="11"/>
  <c r="I352" i="11" s="1"/>
  <c r="L351" i="11"/>
  <c r="K351" i="11"/>
  <c r="E351" i="11"/>
  <c r="I351" i="11" s="1"/>
  <c r="L350" i="11"/>
  <c r="K350" i="11"/>
  <c r="I350" i="11"/>
  <c r="E350" i="11"/>
  <c r="L349" i="11"/>
  <c r="K349" i="11"/>
  <c r="I349" i="11"/>
  <c r="E349" i="11"/>
  <c r="L348" i="11"/>
  <c r="K348" i="11"/>
  <c r="E348" i="11"/>
  <c r="I348" i="11" s="1"/>
  <c r="L347" i="11"/>
  <c r="K347" i="11"/>
  <c r="I347" i="11"/>
  <c r="E347" i="11"/>
  <c r="L346" i="11"/>
  <c r="K346" i="11"/>
  <c r="I346" i="11"/>
  <c r="E346" i="11"/>
  <c r="L345" i="11"/>
  <c r="K345" i="11"/>
  <c r="I345" i="11"/>
  <c r="E345" i="11"/>
  <c r="L344" i="11"/>
  <c r="K344" i="11"/>
  <c r="I344" i="11"/>
  <c r="E344" i="11"/>
  <c r="L343" i="11"/>
  <c r="K343" i="11"/>
  <c r="E343" i="11"/>
  <c r="I343" i="11" s="1"/>
  <c r="L342" i="11"/>
  <c r="K342" i="11"/>
  <c r="E342" i="11"/>
  <c r="I342" i="11" s="1"/>
  <c r="L341" i="11"/>
  <c r="K341" i="11"/>
  <c r="E341" i="11"/>
  <c r="I341" i="11" s="1"/>
  <c r="L340" i="11"/>
  <c r="K340" i="11"/>
  <c r="I340" i="11"/>
  <c r="E340" i="11"/>
  <c r="L339" i="11"/>
  <c r="K339" i="11"/>
  <c r="E339" i="11"/>
  <c r="I339" i="11" s="1"/>
  <c r="L338" i="11"/>
  <c r="K338" i="11"/>
  <c r="E338" i="11"/>
  <c r="I338" i="11" s="1"/>
  <c r="L337" i="11"/>
  <c r="K337" i="11"/>
  <c r="I337" i="11"/>
  <c r="E337" i="11"/>
  <c r="L336" i="11"/>
  <c r="K336" i="11"/>
  <c r="I336" i="11"/>
  <c r="E336" i="11"/>
  <c r="L335" i="11"/>
  <c r="K335" i="11"/>
  <c r="E335" i="11"/>
  <c r="I335" i="11" s="1"/>
  <c r="L334" i="11"/>
  <c r="K334" i="11"/>
  <c r="E334" i="11"/>
  <c r="I334" i="11" s="1"/>
  <c r="L333" i="11"/>
  <c r="K333" i="11"/>
  <c r="I333" i="11"/>
  <c r="E333" i="11"/>
  <c r="L332" i="11"/>
  <c r="K332" i="11"/>
  <c r="E332" i="11"/>
  <c r="I332" i="11" s="1"/>
  <c r="L331" i="11"/>
  <c r="K331" i="11"/>
  <c r="E331" i="11"/>
  <c r="I331" i="11" s="1"/>
  <c r="L330" i="11"/>
  <c r="K330" i="11"/>
  <c r="E330" i="11"/>
  <c r="I330" i="11" s="1"/>
  <c r="L329" i="11"/>
  <c r="K329" i="11"/>
  <c r="E329" i="11"/>
  <c r="I329" i="11" s="1"/>
  <c r="L328" i="11"/>
  <c r="K328" i="11"/>
  <c r="E328" i="11"/>
  <c r="I328" i="11" s="1"/>
  <c r="L327" i="11"/>
  <c r="K327" i="11"/>
  <c r="I327" i="11"/>
  <c r="E327" i="11"/>
  <c r="L326" i="11"/>
  <c r="K326" i="11"/>
  <c r="E326" i="11"/>
  <c r="I326" i="11" s="1"/>
  <c r="L325" i="11"/>
  <c r="K325" i="11"/>
  <c r="I325" i="11"/>
  <c r="E325" i="11"/>
  <c r="L324" i="11"/>
  <c r="K324" i="11"/>
  <c r="E324" i="11"/>
  <c r="I324" i="11" s="1"/>
  <c r="L323" i="11"/>
  <c r="K323" i="11"/>
  <c r="I323" i="11"/>
  <c r="E323" i="11"/>
  <c r="L322" i="11"/>
  <c r="K322" i="11"/>
  <c r="E322" i="11"/>
  <c r="I322" i="11" s="1"/>
  <c r="L321" i="11"/>
  <c r="K321" i="11"/>
  <c r="E321" i="11"/>
  <c r="I321" i="11" s="1"/>
  <c r="L320" i="11"/>
  <c r="K320" i="11"/>
  <c r="I320" i="11"/>
  <c r="E320" i="11"/>
  <c r="L319" i="11"/>
  <c r="K319" i="11"/>
  <c r="E319" i="11"/>
  <c r="I319" i="11" s="1"/>
  <c r="L318" i="11"/>
  <c r="K318" i="11"/>
  <c r="I318" i="11"/>
  <c r="E318" i="11"/>
  <c r="L317" i="11"/>
  <c r="K317" i="11"/>
  <c r="E317" i="11"/>
  <c r="I317" i="11" s="1"/>
  <c r="L316" i="11"/>
  <c r="K316" i="11"/>
  <c r="I316" i="11"/>
  <c r="E316" i="11"/>
  <c r="L315" i="11"/>
  <c r="K315" i="11"/>
  <c r="E315" i="11"/>
  <c r="I315" i="11" s="1"/>
  <c r="L314" i="11"/>
  <c r="K314" i="11"/>
  <c r="I314" i="11"/>
  <c r="E314" i="11"/>
  <c r="L313" i="11"/>
  <c r="K313" i="11"/>
  <c r="E313" i="11"/>
  <c r="I313" i="11" s="1"/>
  <c r="L312" i="11"/>
  <c r="K312" i="11"/>
  <c r="E312" i="11"/>
  <c r="I312" i="11" s="1"/>
  <c r="L311" i="11"/>
  <c r="K311" i="11"/>
  <c r="E311" i="11"/>
  <c r="I311" i="11" s="1"/>
  <c r="L310" i="11"/>
  <c r="K310" i="11"/>
  <c r="E310" i="11"/>
  <c r="I310" i="11" s="1"/>
  <c r="L309" i="11"/>
  <c r="K309" i="11"/>
  <c r="E309" i="11"/>
  <c r="I309" i="11" s="1"/>
  <c r="L308" i="11"/>
  <c r="K308" i="11"/>
  <c r="E308" i="11"/>
  <c r="I308" i="11" s="1"/>
  <c r="L307" i="11"/>
  <c r="K307" i="11"/>
  <c r="I307" i="11"/>
  <c r="E307" i="11"/>
  <c r="L306" i="11"/>
  <c r="K306" i="11"/>
  <c r="E306" i="11"/>
  <c r="I306" i="11" s="1"/>
  <c r="L305" i="11"/>
  <c r="K305" i="11"/>
  <c r="E305" i="11"/>
  <c r="I305" i="11" s="1"/>
  <c r="L304" i="11"/>
  <c r="K304" i="11"/>
  <c r="I304" i="11"/>
  <c r="E304" i="11"/>
  <c r="L303" i="11"/>
  <c r="K303" i="11"/>
  <c r="E303" i="11"/>
  <c r="I303" i="11" s="1"/>
  <c r="L302" i="11"/>
  <c r="K302" i="11"/>
  <c r="I302" i="11"/>
  <c r="E302" i="11"/>
  <c r="L301" i="11"/>
  <c r="K301" i="11"/>
  <c r="E301" i="11"/>
  <c r="I301" i="11" s="1"/>
  <c r="L300" i="11"/>
  <c r="K300" i="11"/>
  <c r="I300" i="11"/>
  <c r="E300" i="11"/>
  <c r="L299" i="11"/>
  <c r="K299" i="11"/>
  <c r="E299" i="11"/>
  <c r="I299" i="11" s="1"/>
  <c r="L298" i="11"/>
  <c r="K298" i="11"/>
  <c r="E298" i="11"/>
  <c r="I298" i="11" s="1"/>
  <c r="L297" i="11"/>
  <c r="K297" i="11"/>
  <c r="I297" i="11"/>
  <c r="E297" i="11"/>
  <c r="L296" i="11"/>
  <c r="K296" i="11"/>
  <c r="E296" i="11"/>
  <c r="I296" i="11" s="1"/>
  <c r="L295" i="11"/>
  <c r="K295" i="11"/>
  <c r="E295" i="11"/>
  <c r="I295" i="11" s="1"/>
  <c r="L294" i="11"/>
  <c r="K294" i="11"/>
  <c r="I294" i="11"/>
  <c r="E294" i="11"/>
  <c r="L293" i="11"/>
  <c r="K293" i="11"/>
  <c r="E293" i="11"/>
  <c r="I293" i="11" s="1"/>
  <c r="L292" i="11"/>
  <c r="K292" i="11"/>
  <c r="E292" i="11"/>
  <c r="I292" i="11" s="1"/>
  <c r="L291" i="11"/>
  <c r="K291" i="11"/>
  <c r="E291" i="11"/>
  <c r="I291" i="11" s="1"/>
  <c r="L290" i="11"/>
  <c r="K290" i="11"/>
  <c r="I290" i="11"/>
  <c r="E290" i="11"/>
  <c r="L289" i="11"/>
  <c r="K289" i="11"/>
  <c r="E289" i="11"/>
  <c r="I289" i="11" s="1"/>
  <c r="L288" i="11"/>
  <c r="K288" i="11"/>
  <c r="I288" i="11"/>
  <c r="E288" i="11"/>
  <c r="L287" i="11"/>
  <c r="K287" i="11"/>
  <c r="E287" i="11"/>
  <c r="I287" i="11" s="1"/>
  <c r="L286" i="11"/>
  <c r="K286" i="11"/>
  <c r="E286" i="11"/>
  <c r="I286" i="11" s="1"/>
  <c r="L285" i="11"/>
  <c r="K285" i="11"/>
  <c r="E285" i="11"/>
  <c r="I285" i="11" s="1"/>
  <c r="L284" i="11"/>
  <c r="K284" i="11"/>
  <c r="E284" i="11"/>
  <c r="I284" i="11" s="1"/>
  <c r="L283" i="11"/>
  <c r="K283" i="11"/>
  <c r="I283" i="11"/>
  <c r="E283" i="11"/>
  <c r="L282" i="11"/>
  <c r="K282" i="11"/>
  <c r="E282" i="11"/>
  <c r="I282" i="11" s="1"/>
  <c r="L281" i="11"/>
  <c r="K281" i="11"/>
  <c r="E281" i="11"/>
  <c r="I281" i="11" s="1"/>
  <c r="L280" i="11"/>
  <c r="K280" i="11"/>
  <c r="E280" i="11"/>
  <c r="I280" i="11" s="1"/>
  <c r="L279" i="11"/>
  <c r="K279" i="11"/>
  <c r="I279" i="11"/>
  <c r="E279" i="11"/>
  <c r="L278" i="11"/>
  <c r="K278" i="11"/>
  <c r="E278" i="11"/>
  <c r="I278" i="11" s="1"/>
  <c r="L277" i="11"/>
  <c r="K277" i="11"/>
  <c r="E277" i="11"/>
  <c r="I277" i="11" s="1"/>
  <c r="L276" i="11"/>
  <c r="K276" i="11"/>
  <c r="I276" i="11"/>
  <c r="E276" i="11"/>
  <c r="L275" i="11"/>
  <c r="K275" i="11"/>
  <c r="I275" i="11"/>
  <c r="E275" i="11"/>
  <c r="L274" i="11"/>
  <c r="K274" i="11"/>
  <c r="E274" i="11"/>
  <c r="I274" i="11" s="1"/>
  <c r="L273" i="11"/>
  <c r="K273" i="11"/>
  <c r="E273" i="11"/>
  <c r="I273" i="11" s="1"/>
  <c r="L272" i="11"/>
  <c r="K272" i="11"/>
  <c r="I272" i="11"/>
  <c r="E272" i="11"/>
  <c r="L271" i="11"/>
  <c r="K271" i="11"/>
  <c r="E271" i="11"/>
  <c r="I271" i="11" s="1"/>
  <c r="L270" i="11"/>
  <c r="K270" i="11"/>
  <c r="I270" i="11"/>
  <c r="E270" i="11"/>
  <c r="L269" i="11"/>
  <c r="K269" i="11"/>
  <c r="E269" i="11"/>
  <c r="I269" i="11" s="1"/>
  <c r="L268" i="11"/>
  <c r="K268" i="11"/>
  <c r="I268" i="11"/>
  <c r="E268" i="11"/>
  <c r="L267" i="11"/>
  <c r="K267" i="11"/>
  <c r="I267" i="11"/>
  <c r="E267" i="11"/>
  <c r="L266" i="11"/>
  <c r="K266" i="11"/>
  <c r="E266" i="11"/>
  <c r="I266" i="11" s="1"/>
  <c r="L265" i="11"/>
  <c r="K265" i="11"/>
  <c r="E265" i="11"/>
  <c r="I265" i="11" s="1"/>
  <c r="L264" i="11"/>
  <c r="K264" i="11"/>
  <c r="E264" i="11"/>
  <c r="I264" i="11" s="1"/>
  <c r="L263" i="11"/>
  <c r="K263" i="11"/>
  <c r="E263" i="11"/>
  <c r="I263" i="11" s="1"/>
  <c r="L262" i="11"/>
  <c r="K262" i="11"/>
  <c r="E262" i="11"/>
  <c r="I262" i="11" s="1"/>
  <c r="L261" i="11"/>
  <c r="K261" i="11"/>
  <c r="E261" i="11"/>
  <c r="I261" i="11" s="1"/>
  <c r="L260" i="11"/>
  <c r="K260" i="11"/>
  <c r="E260" i="11"/>
  <c r="I260" i="11" s="1"/>
  <c r="L259" i="11"/>
  <c r="K259" i="11"/>
  <c r="E259" i="11"/>
  <c r="I259" i="11" s="1"/>
  <c r="L258" i="11"/>
  <c r="K258" i="11"/>
  <c r="E258" i="11"/>
  <c r="I258" i="11" s="1"/>
  <c r="L257" i="11"/>
  <c r="K257" i="11"/>
  <c r="E257" i="11"/>
  <c r="I257" i="11" s="1"/>
  <c r="L256" i="11"/>
  <c r="K256" i="11"/>
  <c r="E256" i="11"/>
  <c r="I256" i="11" s="1"/>
  <c r="L255" i="11"/>
  <c r="K255" i="11"/>
  <c r="E255" i="11"/>
  <c r="I255" i="11" s="1"/>
  <c r="L254" i="11"/>
  <c r="K254" i="11"/>
  <c r="E254" i="11"/>
  <c r="I254" i="11" s="1"/>
  <c r="L253" i="11"/>
  <c r="K253" i="11"/>
  <c r="E253" i="11"/>
  <c r="I253" i="11" s="1"/>
  <c r="L252" i="11"/>
  <c r="K252" i="11"/>
  <c r="E252" i="11"/>
  <c r="I252" i="11" s="1"/>
  <c r="L251" i="11"/>
  <c r="K251" i="11"/>
  <c r="E251" i="11"/>
  <c r="I251" i="11" s="1"/>
  <c r="L250" i="11"/>
  <c r="K250" i="11"/>
  <c r="E250" i="11"/>
  <c r="I250" i="11" s="1"/>
  <c r="L249" i="11"/>
  <c r="K249" i="11"/>
  <c r="E249" i="11"/>
  <c r="I249" i="11" s="1"/>
  <c r="L248" i="11"/>
  <c r="K248" i="11"/>
  <c r="E248" i="11"/>
  <c r="I248" i="11" s="1"/>
  <c r="L247" i="11"/>
  <c r="K247" i="11"/>
  <c r="E247" i="11"/>
  <c r="I247" i="11" s="1"/>
  <c r="L246" i="11"/>
  <c r="K246" i="11"/>
  <c r="E246" i="11"/>
  <c r="I246" i="11" s="1"/>
  <c r="L245" i="11"/>
  <c r="K245" i="11"/>
  <c r="E245" i="11"/>
  <c r="I245" i="11" s="1"/>
  <c r="L244" i="11"/>
  <c r="K244" i="11"/>
  <c r="E244" i="11"/>
  <c r="I244" i="11" s="1"/>
  <c r="L243" i="11"/>
  <c r="K243" i="11"/>
  <c r="E243" i="11"/>
  <c r="I243" i="11" s="1"/>
  <c r="L242" i="11"/>
  <c r="K242" i="11"/>
  <c r="E242" i="11"/>
  <c r="I242" i="11" s="1"/>
  <c r="L241" i="11"/>
  <c r="K241" i="11"/>
  <c r="E241" i="11"/>
  <c r="I241" i="11" s="1"/>
  <c r="L240" i="11"/>
  <c r="K240" i="11"/>
  <c r="E240" i="11"/>
  <c r="I240" i="11" s="1"/>
  <c r="L239" i="11"/>
  <c r="K239" i="11"/>
  <c r="E239" i="11"/>
  <c r="I239" i="11" s="1"/>
  <c r="L238" i="11"/>
  <c r="K238" i="11"/>
  <c r="E238" i="11"/>
  <c r="I238" i="11" s="1"/>
  <c r="L237" i="11"/>
  <c r="K237" i="11"/>
  <c r="E237" i="11"/>
  <c r="I237" i="11" s="1"/>
  <c r="L236" i="11"/>
  <c r="K236" i="11"/>
  <c r="E236" i="11"/>
  <c r="I236" i="11" s="1"/>
  <c r="L235" i="11"/>
  <c r="K235" i="11"/>
  <c r="E235" i="11"/>
  <c r="I235" i="11" s="1"/>
  <c r="L234" i="11"/>
  <c r="K234" i="11"/>
  <c r="E234" i="11"/>
  <c r="I234" i="11" s="1"/>
  <c r="L233" i="11"/>
  <c r="K233" i="11"/>
  <c r="E233" i="11"/>
  <c r="I233" i="11" s="1"/>
  <c r="L232" i="11"/>
  <c r="K232" i="11"/>
  <c r="E232" i="11"/>
  <c r="I232" i="11" s="1"/>
  <c r="L231" i="11"/>
  <c r="K231" i="11"/>
  <c r="E231" i="11"/>
  <c r="I231" i="11" s="1"/>
  <c r="L230" i="11"/>
  <c r="K230" i="11"/>
  <c r="E230" i="11"/>
  <c r="I230" i="11" s="1"/>
  <c r="L229" i="11"/>
  <c r="K229" i="11"/>
  <c r="E229" i="11"/>
  <c r="I229" i="11" s="1"/>
  <c r="L228" i="11"/>
  <c r="K228" i="11"/>
  <c r="E228" i="11"/>
  <c r="I228" i="11" s="1"/>
  <c r="L227" i="11"/>
  <c r="K227" i="11"/>
  <c r="E227" i="11"/>
  <c r="I227" i="11" s="1"/>
  <c r="L226" i="11"/>
  <c r="K226" i="11"/>
  <c r="E226" i="11"/>
  <c r="I226" i="11" s="1"/>
  <c r="L225" i="11"/>
  <c r="K225" i="11"/>
  <c r="E225" i="11"/>
  <c r="I225" i="11" s="1"/>
  <c r="L224" i="11"/>
  <c r="K224" i="11"/>
  <c r="E224" i="11"/>
  <c r="I224" i="11" s="1"/>
  <c r="L223" i="11"/>
  <c r="K223" i="11"/>
  <c r="E223" i="11"/>
  <c r="I223" i="11" s="1"/>
  <c r="L222" i="11"/>
  <c r="K222" i="11"/>
  <c r="E222" i="11"/>
  <c r="I222" i="11" s="1"/>
  <c r="L221" i="11"/>
  <c r="K221" i="11"/>
  <c r="E221" i="11"/>
  <c r="I221" i="11" s="1"/>
  <c r="L220" i="11"/>
  <c r="K220" i="11"/>
  <c r="E220" i="11"/>
  <c r="I220" i="11" s="1"/>
  <c r="L219" i="11"/>
  <c r="K219" i="11"/>
  <c r="E219" i="11"/>
  <c r="I219" i="11" s="1"/>
  <c r="L218" i="11"/>
  <c r="K218" i="11"/>
  <c r="E218" i="11"/>
  <c r="I218" i="11" s="1"/>
  <c r="L217" i="11"/>
  <c r="K217" i="11"/>
  <c r="E217" i="11"/>
  <c r="I217" i="11" s="1"/>
  <c r="L216" i="11"/>
  <c r="K216" i="11"/>
  <c r="E216" i="11"/>
  <c r="I216" i="11" s="1"/>
  <c r="L215" i="11"/>
  <c r="K215" i="11"/>
  <c r="E215" i="11"/>
  <c r="I215" i="11" s="1"/>
  <c r="L214" i="11"/>
  <c r="K214" i="11"/>
  <c r="E214" i="11"/>
  <c r="I214" i="11" s="1"/>
  <c r="L213" i="11"/>
  <c r="K213" i="11"/>
  <c r="E213" i="11"/>
  <c r="I213" i="11" s="1"/>
  <c r="L212" i="11"/>
  <c r="K212" i="11"/>
  <c r="E212" i="11"/>
  <c r="I212" i="11" s="1"/>
  <c r="L211" i="11"/>
  <c r="K211" i="11"/>
  <c r="E211" i="11"/>
  <c r="I211" i="11" s="1"/>
  <c r="L210" i="11"/>
  <c r="K210" i="11"/>
  <c r="E210" i="11"/>
  <c r="I210" i="11" s="1"/>
  <c r="L209" i="11"/>
  <c r="K209" i="11"/>
  <c r="E209" i="11"/>
  <c r="I209" i="11" s="1"/>
  <c r="L208" i="11"/>
  <c r="K208" i="11"/>
  <c r="E208" i="11"/>
  <c r="I208" i="11" s="1"/>
  <c r="L207" i="11"/>
  <c r="K207" i="11"/>
  <c r="E207" i="11"/>
  <c r="I207" i="11" s="1"/>
  <c r="L206" i="11"/>
  <c r="K206" i="11"/>
  <c r="E206" i="11"/>
  <c r="I206" i="11" s="1"/>
  <c r="L205" i="11"/>
  <c r="K205" i="11"/>
  <c r="E205" i="11"/>
  <c r="I205" i="11" s="1"/>
  <c r="L204" i="11"/>
  <c r="K204" i="11"/>
  <c r="E204" i="11"/>
  <c r="I204" i="11" s="1"/>
  <c r="L203" i="11"/>
  <c r="K203" i="11"/>
  <c r="E203" i="11"/>
  <c r="I203" i="11" s="1"/>
  <c r="L202" i="11"/>
  <c r="K202" i="11"/>
  <c r="E202" i="11"/>
  <c r="I202" i="11" s="1"/>
  <c r="L201" i="11"/>
  <c r="K201" i="11"/>
  <c r="E201" i="11"/>
  <c r="I201" i="11" s="1"/>
  <c r="L200" i="11"/>
  <c r="K200" i="11"/>
  <c r="E200" i="11"/>
  <c r="I200" i="11" s="1"/>
  <c r="L199" i="11"/>
  <c r="K199" i="11"/>
  <c r="E199" i="11"/>
  <c r="I199" i="11" s="1"/>
  <c r="L198" i="11"/>
  <c r="K198" i="11"/>
  <c r="E198" i="11"/>
  <c r="I198" i="11" s="1"/>
  <c r="L197" i="11"/>
  <c r="K197" i="11"/>
  <c r="E197" i="11"/>
  <c r="I197" i="11" s="1"/>
  <c r="L196" i="11"/>
  <c r="K196" i="11"/>
  <c r="E196" i="11"/>
  <c r="I196" i="11" s="1"/>
  <c r="L195" i="11"/>
  <c r="K195" i="11"/>
  <c r="E195" i="11"/>
  <c r="I195" i="11" s="1"/>
  <c r="L194" i="11"/>
  <c r="K194" i="11"/>
  <c r="E194" i="11"/>
  <c r="I194" i="11" s="1"/>
  <c r="L193" i="11"/>
  <c r="K193" i="11"/>
  <c r="E193" i="11"/>
  <c r="I193" i="11" s="1"/>
  <c r="L192" i="11"/>
  <c r="K192" i="11"/>
  <c r="I192" i="11"/>
  <c r="E192" i="11"/>
  <c r="L191" i="11"/>
  <c r="K191" i="11"/>
  <c r="E191" i="11"/>
  <c r="I191" i="11" s="1"/>
  <c r="L190" i="11"/>
  <c r="K190" i="11"/>
  <c r="E190" i="11"/>
  <c r="I190" i="11" s="1"/>
  <c r="L189" i="11"/>
  <c r="K189" i="11"/>
  <c r="E189" i="11"/>
  <c r="I189" i="11" s="1"/>
  <c r="L188" i="11"/>
  <c r="K188" i="11"/>
  <c r="E188" i="11"/>
  <c r="I188" i="11" s="1"/>
  <c r="L187" i="11"/>
  <c r="K187" i="11"/>
  <c r="E187" i="11"/>
  <c r="I187" i="11" s="1"/>
  <c r="L186" i="11"/>
  <c r="K186" i="11"/>
  <c r="I186" i="11"/>
  <c r="E186" i="11"/>
  <c r="L185" i="11"/>
  <c r="K185" i="11"/>
  <c r="E185" i="11"/>
  <c r="I185" i="11" s="1"/>
  <c r="L184" i="11"/>
  <c r="K184" i="11"/>
  <c r="I184" i="11"/>
  <c r="E184" i="11"/>
  <c r="L183" i="11"/>
  <c r="K183" i="11"/>
  <c r="E183" i="11"/>
  <c r="I183" i="11" s="1"/>
  <c r="L182" i="11"/>
  <c r="K182" i="11"/>
  <c r="E182" i="11"/>
  <c r="I182" i="11" s="1"/>
  <c r="L181" i="11"/>
  <c r="K181" i="11"/>
  <c r="E181" i="11"/>
  <c r="I181" i="11" s="1"/>
  <c r="L180" i="11"/>
  <c r="K180" i="11"/>
  <c r="E180" i="11"/>
  <c r="I180" i="11" s="1"/>
  <c r="L179" i="11"/>
  <c r="K179" i="11"/>
  <c r="E179" i="11"/>
  <c r="I179" i="11" s="1"/>
  <c r="L178" i="11"/>
  <c r="K178" i="11"/>
  <c r="I178" i="11"/>
  <c r="E178" i="11"/>
  <c r="L177" i="11"/>
  <c r="K177" i="11"/>
  <c r="I177" i="11"/>
  <c r="E177" i="11"/>
  <c r="L176" i="11"/>
  <c r="K176" i="11"/>
  <c r="I176" i="11"/>
  <c r="E176" i="11"/>
  <c r="L175" i="11"/>
  <c r="K175" i="11"/>
  <c r="I175" i="11"/>
  <c r="E175" i="11"/>
  <c r="L174" i="11"/>
  <c r="K174" i="11"/>
  <c r="E174" i="11"/>
  <c r="I174" i="11" s="1"/>
  <c r="L173" i="11"/>
  <c r="K173" i="11"/>
  <c r="E173" i="11"/>
  <c r="I173" i="11" s="1"/>
  <c r="L172" i="11"/>
  <c r="K172" i="11"/>
  <c r="E172" i="11"/>
  <c r="I172" i="11" s="1"/>
  <c r="L171" i="11"/>
  <c r="K171" i="11"/>
  <c r="E171" i="11"/>
  <c r="I171" i="11" s="1"/>
  <c r="L170" i="11"/>
  <c r="K170" i="11"/>
  <c r="E170" i="11"/>
  <c r="I170" i="11" s="1"/>
  <c r="L169" i="11"/>
  <c r="K169" i="11"/>
  <c r="E169" i="11"/>
  <c r="I169" i="11" s="1"/>
  <c r="L168" i="11"/>
  <c r="K168" i="11"/>
  <c r="I168" i="11"/>
  <c r="E168" i="11"/>
  <c r="L167" i="11"/>
  <c r="K167" i="11"/>
  <c r="E167" i="11"/>
  <c r="I167" i="11" s="1"/>
  <c r="L166" i="11"/>
  <c r="K166" i="11"/>
  <c r="E166" i="11"/>
  <c r="I166" i="11" s="1"/>
  <c r="L165" i="11"/>
  <c r="K165" i="11"/>
  <c r="E165" i="11"/>
  <c r="I165" i="11" s="1"/>
  <c r="L164" i="11"/>
  <c r="K164" i="11"/>
  <c r="E164" i="11"/>
  <c r="I164" i="11" s="1"/>
  <c r="L163" i="11"/>
  <c r="K163" i="11"/>
  <c r="E163" i="11"/>
  <c r="I163" i="11" s="1"/>
  <c r="L162" i="11"/>
  <c r="K162" i="11"/>
  <c r="E162" i="11"/>
  <c r="I162" i="11" s="1"/>
  <c r="L161" i="11"/>
  <c r="K161" i="11"/>
  <c r="E161" i="11"/>
  <c r="I161" i="11" s="1"/>
  <c r="L160" i="11"/>
  <c r="K160" i="11"/>
  <c r="I160" i="11"/>
  <c r="E160" i="11"/>
  <c r="L159" i="11"/>
  <c r="K159" i="11"/>
  <c r="E159" i="11"/>
  <c r="I159" i="11" s="1"/>
  <c r="L158" i="11"/>
  <c r="K158" i="11"/>
  <c r="I158" i="11"/>
  <c r="E158" i="11"/>
  <c r="L157" i="11"/>
  <c r="K157" i="11"/>
  <c r="E157" i="11"/>
  <c r="I157" i="11" s="1"/>
  <c r="L156" i="11"/>
  <c r="K156" i="11"/>
  <c r="E156" i="11"/>
  <c r="I156" i="11" s="1"/>
  <c r="L155" i="11"/>
  <c r="K155" i="11"/>
  <c r="E155" i="11"/>
  <c r="I155" i="11" s="1"/>
  <c r="L154" i="11"/>
  <c r="K154" i="11"/>
  <c r="E154" i="11"/>
  <c r="I154" i="11" s="1"/>
  <c r="L153" i="11"/>
  <c r="K153" i="11"/>
  <c r="I153" i="11"/>
  <c r="E153" i="11"/>
  <c r="L152" i="11"/>
  <c r="K152" i="11"/>
  <c r="E152" i="11"/>
  <c r="I152" i="11" s="1"/>
  <c r="L151" i="11"/>
  <c r="K151" i="11"/>
  <c r="I151" i="11"/>
  <c r="E151" i="11"/>
  <c r="L150" i="11"/>
  <c r="K150" i="11"/>
  <c r="E150" i="11"/>
  <c r="I150" i="11" s="1"/>
  <c r="L149" i="11"/>
  <c r="K149" i="11"/>
  <c r="E149" i="11"/>
  <c r="I149" i="11" s="1"/>
  <c r="L148" i="11"/>
  <c r="K148" i="11"/>
  <c r="I148" i="11"/>
  <c r="E148" i="11"/>
  <c r="L147" i="11"/>
  <c r="K147" i="11"/>
  <c r="E147" i="11"/>
  <c r="I147" i="11" s="1"/>
  <c r="L146" i="11"/>
  <c r="K146" i="11"/>
  <c r="E146" i="11"/>
  <c r="I146" i="11" s="1"/>
  <c r="L145" i="11"/>
  <c r="K145" i="11"/>
  <c r="I145" i="11"/>
  <c r="E145" i="11"/>
  <c r="L144" i="11"/>
  <c r="K144" i="11"/>
  <c r="I144" i="11"/>
  <c r="E144" i="11"/>
  <c r="L143" i="11"/>
  <c r="K143" i="11"/>
  <c r="I143" i="11"/>
  <c r="E143" i="11"/>
  <c r="L142" i="11"/>
  <c r="K142" i="11"/>
  <c r="I142" i="11"/>
  <c r="E142" i="11"/>
  <c r="L141" i="11"/>
  <c r="K141" i="11"/>
  <c r="E141" i="11"/>
  <c r="I141" i="11" s="1"/>
  <c r="L140" i="11"/>
  <c r="K140" i="11"/>
  <c r="E140" i="11"/>
  <c r="I140" i="11" s="1"/>
  <c r="L139" i="11"/>
  <c r="K139" i="11"/>
  <c r="I139" i="11"/>
  <c r="E139" i="11"/>
  <c r="L138" i="11"/>
  <c r="K138" i="11"/>
  <c r="E138" i="11"/>
  <c r="I138" i="11" s="1"/>
  <c r="L137" i="11"/>
  <c r="K137" i="11"/>
  <c r="E137" i="11"/>
  <c r="I137" i="11" s="1"/>
  <c r="L136" i="11"/>
  <c r="K136" i="11"/>
  <c r="E136" i="11"/>
  <c r="I136" i="11" s="1"/>
  <c r="L135" i="11"/>
  <c r="K135" i="11"/>
  <c r="E135" i="11"/>
  <c r="I135" i="11" s="1"/>
  <c r="L134" i="11"/>
  <c r="K134" i="11"/>
  <c r="E134" i="11"/>
  <c r="I134" i="11" s="1"/>
  <c r="L133" i="11"/>
  <c r="K133" i="11"/>
  <c r="E133" i="11"/>
  <c r="I133" i="11" s="1"/>
  <c r="L132" i="11"/>
  <c r="K132" i="11"/>
  <c r="I132" i="11"/>
  <c r="E132" i="11"/>
  <c r="L131" i="11"/>
  <c r="K131" i="11"/>
  <c r="I131" i="11"/>
  <c r="E131" i="11"/>
  <c r="L130" i="11"/>
  <c r="K130" i="11"/>
  <c r="E130" i="11"/>
  <c r="I130" i="11" s="1"/>
  <c r="L129" i="11"/>
  <c r="K129" i="11"/>
  <c r="I129" i="11"/>
  <c r="E129" i="11"/>
  <c r="L128" i="11"/>
  <c r="K128" i="11"/>
  <c r="E128" i="11"/>
  <c r="I128" i="11" s="1"/>
  <c r="L127" i="11"/>
  <c r="K127" i="11"/>
  <c r="I127" i="11"/>
  <c r="E127" i="11"/>
  <c r="L126" i="11"/>
  <c r="K126" i="11"/>
  <c r="E126" i="11"/>
  <c r="I126" i="11" s="1"/>
  <c r="L125" i="11"/>
  <c r="K125" i="11"/>
  <c r="E125" i="11"/>
  <c r="I125" i="11" s="1"/>
  <c r="L124" i="11"/>
  <c r="K124" i="11"/>
  <c r="E124" i="11"/>
  <c r="I124" i="11" s="1"/>
  <c r="L123" i="11"/>
  <c r="K123" i="11"/>
  <c r="I123" i="11"/>
  <c r="E123" i="11"/>
  <c r="L122" i="11"/>
  <c r="K122" i="11"/>
  <c r="E122" i="11"/>
  <c r="I122" i="11" s="1"/>
  <c r="L121" i="11"/>
  <c r="K121" i="11"/>
  <c r="I121" i="11"/>
  <c r="E121" i="11"/>
  <c r="L120" i="11"/>
  <c r="K120" i="11"/>
  <c r="I120" i="11"/>
  <c r="E120" i="11"/>
  <c r="L119" i="11"/>
  <c r="K119" i="11"/>
  <c r="E119" i="11"/>
  <c r="I119" i="11" s="1"/>
  <c r="L118" i="11"/>
  <c r="K118" i="11"/>
  <c r="E118" i="11"/>
  <c r="I118" i="11" s="1"/>
  <c r="L117" i="11"/>
  <c r="K117" i="11"/>
  <c r="E117" i="11"/>
  <c r="I117" i="11" s="1"/>
  <c r="L116" i="11"/>
  <c r="K116" i="11"/>
  <c r="E116" i="11"/>
  <c r="I116" i="11" s="1"/>
  <c r="L115" i="11"/>
  <c r="K115" i="11"/>
  <c r="I115" i="11"/>
  <c r="E115" i="11"/>
  <c r="L114" i="11"/>
  <c r="K114" i="11"/>
  <c r="E114" i="11"/>
  <c r="I114" i="11" s="1"/>
  <c r="L113" i="11"/>
  <c r="K113" i="11"/>
  <c r="E113" i="11"/>
  <c r="I113" i="11" s="1"/>
  <c r="L112" i="11"/>
  <c r="K112" i="11"/>
  <c r="E112" i="11"/>
  <c r="I112" i="11" s="1"/>
  <c r="L111" i="11"/>
  <c r="K111" i="11"/>
  <c r="E111" i="11"/>
  <c r="I111" i="11" s="1"/>
  <c r="L110" i="11"/>
  <c r="K110" i="11"/>
  <c r="I110" i="11"/>
  <c r="E110" i="11"/>
  <c r="L109" i="11"/>
  <c r="K109" i="11"/>
  <c r="E109" i="11"/>
  <c r="I109" i="11" s="1"/>
  <c r="L108" i="11"/>
  <c r="K108" i="11"/>
  <c r="E108" i="11"/>
  <c r="I108" i="11" s="1"/>
  <c r="L107" i="11"/>
  <c r="K107" i="11"/>
  <c r="E107" i="11"/>
  <c r="I107" i="11" s="1"/>
  <c r="L106" i="11"/>
  <c r="K106" i="11"/>
  <c r="E106" i="11"/>
  <c r="I106" i="11" s="1"/>
  <c r="L105" i="11"/>
  <c r="K105" i="11"/>
  <c r="I105" i="11"/>
  <c r="E105" i="11"/>
  <c r="L104" i="11"/>
  <c r="K104" i="11"/>
  <c r="E104" i="11"/>
  <c r="I104" i="11" s="1"/>
  <c r="L103" i="11"/>
  <c r="K103" i="11"/>
  <c r="E103" i="11"/>
  <c r="I103" i="11" s="1"/>
  <c r="L102" i="11"/>
  <c r="K102" i="11"/>
  <c r="E102" i="11"/>
  <c r="I102" i="11" s="1"/>
  <c r="L101" i="11"/>
  <c r="K101" i="11"/>
  <c r="E101" i="11"/>
  <c r="I101" i="11" s="1"/>
  <c r="L100" i="11"/>
  <c r="K100" i="11"/>
  <c r="E100" i="11"/>
  <c r="I100" i="11" s="1"/>
  <c r="L99" i="11"/>
  <c r="K99" i="11"/>
  <c r="E99" i="11"/>
  <c r="I99" i="11" s="1"/>
  <c r="L98" i="11"/>
  <c r="K98" i="11"/>
  <c r="I98" i="11"/>
  <c r="E98" i="11"/>
  <c r="L97" i="11"/>
  <c r="K97" i="11"/>
  <c r="E97" i="11"/>
  <c r="I97" i="11" s="1"/>
  <c r="L96" i="11"/>
  <c r="K96" i="11"/>
  <c r="E96" i="11"/>
  <c r="I96" i="11" s="1"/>
  <c r="L95" i="11"/>
  <c r="K95" i="11"/>
  <c r="E95" i="11"/>
  <c r="I95" i="11" s="1"/>
  <c r="L94" i="11"/>
  <c r="K94" i="11"/>
  <c r="I94" i="11"/>
  <c r="E94" i="11"/>
  <c r="L93" i="11"/>
  <c r="K93" i="11"/>
  <c r="I93" i="11"/>
  <c r="E93" i="11"/>
  <c r="L92" i="11"/>
  <c r="K92" i="11"/>
  <c r="E92" i="11"/>
  <c r="I92" i="11" s="1"/>
  <c r="L91" i="11"/>
  <c r="K91" i="11"/>
  <c r="E91" i="11"/>
  <c r="I91" i="11" s="1"/>
  <c r="L90" i="11"/>
  <c r="K90" i="11"/>
  <c r="E90" i="11"/>
  <c r="I90" i="11" s="1"/>
  <c r="L89" i="11"/>
  <c r="K89" i="11"/>
  <c r="E89" i="11"/>
  <c r="I89" i="11" s="1"/>
  <c r="L88" i="11"/>
  <c r="K88" i="11"/>
  <c r="E88" i="11"/>
  <c r="I88" i="11" s="1"/>
  <c r="L87" i="11"/>
  <c r="K87" i="11"/>
  <c r="E87" i="11"/>
  <c r="I87" i="11" s="1"/>
  <c r="L86" i="11"/>
  <c r="K86" i="11"/>
  <c r="E86" i="11"/>
  <c r="I86" i="11" s="1"/>
  <c r="L85" i="11"/>
  <c r="K85" i="11"/>
  <c r="I85" i="11"/>
  <c r="E85" i="11"/>
  <c r="L84" i="11"/>
  <c r="K84" i="11"/>
  <c r="I84" i="11"/>
  <c r="E84" i="11"/>
  <c r="L83" i="11"/>
  <c r="K83" i="11"/>
  <c r="E83" i="11"/>
  <c r="I83" i="11" s="1"/>
  <c r="L82" i="11"/>
  <c r="K82" i="11"/>
  <c r="E82" i="11"/>
  <c r="I82" i="11" s="1"/>
  <c r="L81" i="11"/>
  <c r="K81" i="11"/>
  <c r="E81" i="11"/>
  <c r="I81" i="11" s="1"/>
  <c r="L80" i="11"/>
  <c r="K80" i="11"/>
  <c r="E80" i="11"/>
  <c r="I80" i="11" s="1"/>
  <c r="L79" i="11"/>
  <c r="K79" i="11"/>
  <c r="I79" i="11"/>
  <c r="E79" i="11"/>
  <c r="L78" i="11"/>
  <c r="K78" i="11"/>
  <c r="E78" i="11"/>
  <c r="I78" i="11" s="1"/>
  <c r="L77" i="11"/>
  <c r="K77" i="11"/>
  <c r="I77" i="11"/>
  <c r="E77" i="11"/>
  <c r="L76" i="11"/>
  <c r="K76" i="11"/>
  <c r="E76" i="11"/>
  <c r="I76" i="11" s="1"/>
  <c r="L75" i="11"/>
  <c r="K75" i="11"/>
  <c r="I75" i="11"/>
  <c r="E75" i="11"/>
  <c r="L74" i="11"/>
  <c r="K74" i="11"/>
  <c r="E74" i="11"/>
  <c r="I74" i="11" s="1"/>
  <c r="L73" i="11"/>
  <c r="K73" i="11"/>
  <c r="I73" i="11"/>
  <c r="E73" i="11"/>
  <c r="L72" i="11"/>
  <c r="K72" i="11"/>
  <c r="I72" i="11"/>
  <c r="E72" i="11"/>
  <c r="L71" i="11"/>
  <c r="K71" i="11"/>
  <c r="E71" i="11"/>
  <c r="I71" i="11" s="1"/>
  <c r="L70" i="11"/>
  <c r="K70" i="11"/>
  <c r="E70" i="11"/>
  <c r="I70" i="11" s="1"/>
  <c r="L69" i="11"/>
  <c r="K69" i="11"/>
  <c r="E69" i="11"/>
  <c r="I69" i="11" s="1"/>
  <c r="L68" i="11"/>
  <c r="K68" i="11"/>
  <c r="I68" i="11"/>
  <c r="E68" i="11"/>
  <c r="L67" i="11"/>
  <c r="K67" i="11"/>
  <c r="E67" i="11"/>
  <c r="I67" i="11" s="1"/>
  <c r="L66" i="11"/>
  <c r="K66" i="11"/>
  <c r="I66" i="11"/>
  <c r="E66" i="11"/>
  <c r="L65" i="11"/>
  <c r="K65" i="11"/>
  <c r="I65" i="11"/>
  <c r="E65" i="11"/>
  <c r="L64" i="11"/>
  <c r="K64" i="11"/>
  <c r="I64" i="11"/>
  <c r="E64" i="11"/>
  <c r="L63" i="11"/>
  <c r="K63" i="11"/>
  <c r="I63" i="11"/>
  <c r="E63" i="11"/>
  <c r="L62" i="11"/>
  <c r="K62" i="11"/>
  <c r="E62" i="11"/>
  <c r="I62" i="11" s="1"/>
  <c r="L61" i="11"/>
  <c r="K61" i="11"/>
  <c r="E61" i="11"/>
  <c r="I61" i="11" s="1"/>
  <c r="L60" i="11"/>
  <c r="K60" i="11"/>
  <c r="E60" i="11"/>
  <c r="I60" i="11" s="1"/>
  <c r="L59" i="11"/>
  <c r="K59" i="11"/>
  <c r="I59" i="11"/>
  <c r="E59" i="11"/>
  <c r="L58" i="11"/>
  <c r="K58" i="11"/>
  <c r="E58" i="11"/>
  <c r="I58" i="11" s="1"/>
  <c r="L57" i="11"/>
  <c r="K57" i="11"/>
  <c r="E57" i="11"/>
  <c r="I57" i="11" s="1"/>
  <c r="L56" i="11"/>
  <c r="K56" i="11"/>
  <c r="I56" i="11"/>
  <c r="E56" i="11"/>
  <c r="L55" i="11"/>
  <c r="K55" i="11"/>
  <c r="E55" i="11"/>
  <c r="I55" i="11" s="1"/>
  <c r="L54" i="11"/>
  <c r="K54" i="11"/>
  <c r="E54" i="11"/>
  <c r="I54" i="11" s="1"/>
  <c r="L53" i="11"/>
  <c r="K53" i="11"/>
  <c r="I53" i="11"/>
  <c r="E53" i="11"/>
  <c r="L52" i="11"/>
  <c r="K52" i="11"/>
  <c r="I52" i="11"/>
  <c r="E52" i="11"/>
  <c r="L51" i="11"/>
  <c r="K51" i="11"/>
  <c r="E51" i="11"/>
  <c r="I51" i="11" s="1"/>
  <c r="L50" i="11"/>
  <c r="K50" i="11"/>
  <c r="E50" i="11"/>
  <c r="I50" i="11" s="1"/>
  <c r="L49" i="11"/>
  <c r="K49" i="11"/>
  <c r="E49" i="11"/>
  <c r="I49" i="11" s="1"/>
  <c r="L48" i="11"/>
  <c r="K48" i="11"/>
  <c r="I48" i="11"/>
  <c r="E48" i="11"/>
  <c r="L47" i="11"/>
  <c r="K47" i="11"/>
  <c r="E47" i="11"/>
  <c r="I47" i="11" s="1"/>
  <c r="L46" i="11"/>
  <c r="K46" i="11"/>
  <c r="E46" i="11"/>
  <c r="I46" i="11" s="1"/>
  <c r="L45" i="11"/>
  <c r="K45" i="11"/>
  <c r="E45" i="11"/>
  <c r="I45" i="11" s="1"/>
  <c r="L44" i="11"/>
  <c r="K44" i="11"/>
  <c r="I44" i="11"/>
  <c r="E44" i="11"/>
  <c r="L43" i="11"/>
  <c r="K43" i="11"/>
  <c r="E43" i="11"/>
  <c r="I43" i="11" s="1"/>
  <c r="L42" i="11"/>
  <c r="K42" i="11"/>
  <c r="E42" i="11"/>
  <c r="I42" i="11" s="1"/>
  <c r="L41" i="11"/>
  <c r="K41" i="11"/>
  <c r="E41" i="11"/>
  <c r="I41" i="11" s="1"/>
  <c r="L40" i="11"/>
  <c r="K40" i="11"/>
  <c r="E40" i="11"/>
  <c r="I40" i="11" s="1"/>
  <c r="L39" i="11"/>
  <c r="K39" i="11"/>
  <c r="E39" i="11"/>
  <c r="I39" i="11" s="1"/>
  <c r="L38" i="11"/>
  <c r="K38" i="11"/>
  <c r="E38" i="11"/>
  <c r="I38" i="11" s="1"/>
  <c r="L37" i="11"/>
  <c r="K37" i="11"/>
  <c r="E37" i="11"/>
  <c r="I37" i="11" s="1"/>
  <c r="L36" i="11"/>
  <c r="K36" i="11"/>
  <c r="I36" i="11"/>
  <c r="E36" i="11"/>
  <c r="L35" i="11"/>
  <c r="K35" i="11"/>
  <c r="E35" i="11"/>
  <c r="I35" i="11" s="1"/>
  <c r="L34" i="11"/>
  <c r="K34" i="11"/>
  <c r="E34" i="11"/>
  <c r="I34" i="11" s="1"/>
  <c r="L33" i="11"/>
  <c r="K33" i="11"/>
  <c r="E33" i="11"/>
  <c r="I33" i="11" s="1"/>
  <c r="L32" i="11"/>
  <c r="K32" i="11"/>
  <c r="I32" i="11"/>
  <c r="E32" i="11"/>
  <c r="L31" i="11"/>
  <c r="K31" i="11"/>
  <c r="E31" i="11"/>
  <c r="I31" i="11" s="1"/>
  <c r="L30" i="11"/>
  <c r="K30" i="11"/>
  <c r="E30" i="11"/>
  <c r="I30" i="11" s="1"/>
  <c r="L29" i="11"/>
  <c r="K29" i="11"/>
  <c r="I29" i="11"/>
  <c r="E29" i="11"/>
  <c r="L28" i="11"/>
  <c r="K28" i="11"/>
  <c r="E28" i="11"/>
  <c r="I28" i="11" s="1"/>
  <c r="L27" i="11"/>
  <c r="K27" i="11"/>
  <c r="E27" i="11"/>
  <c r="I27" i="11" s="1"/>
  <c r="L26" i="11"/>
  <c r="K26" i="11"/>
  <c r="E26" i="11"/>
  <c r="I26" i="11" s="1"/>
  <c r="L25" i="11"/>
  <c r="K25" i="11"/>
  <c r="E25" i="11"/>
  <c r="I25" i="11" s="1"/>
  <c r="L24" i="11"/>
  <c r="K24" i="11"/>
  <c r="I24" i="11"/>
  <c r="E24" i="11"/>
  <c r="L23" i="11"/>
  <c r="K23" i="11"/>
  <c r="E23" i="11"/>
  <c r="I23" i="11" s="1"/>
  <c r="L22" i="11"/>
  <c r="K22" i="11"/>
  <c r="E22" i="11"/>
  <c r="I22" i="11" s="1"/>
  <c r="L21" i="11"/>
  <c r="K21" i="11"/>
  <c r="E21" i="11"/>
  <c r="I21" i="11" s="1"/>
  <c r="L20" i="11"/>
  <c r="K20" i="11"/>
  <c r="I20" i="11"/>
  <c r="E20" i="11"/>
  <c r="L19" i="11"/>
  <c r="K19" i="11"/>
  <c r="E19" i="11"/>
  <c r="I19" i="11" s="1"/>
  <c r="L18" i="11"/>
  <c r="K18" i="11"/>
  <c r="E18" i="11"/>
  <c r="I18" i="11" s="1"/>
  <c r="L17" i="11"/>
  <c r="K17" i="11"/>
  <c r="E17" i="11"/>
  <c r="I17" i="11" s="1"/>
  <c r="L16" i="11"/>
  <c r="K16" i="11"/>
  <c r="E16" i="11"/>
  <c r="I16" i="11" s="1"/>
  <c r="L15" i="11"/>
  <c r="K15" i="11"/>
  <c r="E15" i="11"/>
  <c r="I15" i="11" s="1"/>
  <c r="L14" i="11"/>
  <c r="K14" i="11"/>
  <c r="E14" i="11"/>
  <c r="I14" i="11" s="1"/>
  <c r="L13" i="11"/>
  <c r="K13" i="11"/>
  <c r="E13" i="11"/>
  <c r="I13" i="11" s="1"/>
  <c r="L12" i="11"/>
  <c r="K12" i="11"/>
  <c r="E12" i="11"/>
  <c r="I12" i="11" s="1"/>
  <c r="L11" i="11"/>
  <c r="K11" i="11"/>
  <c r="I11" i="11"/>
  <c r="E11" i="11"/>
  <c r="L10" i="11"/>
  <c r="K10" i="11"/>
  <c r="E10" i="11"/>
  <c r="I10" i="11" s="1"/>
  <c r="L9" i="11"/>
  <c r="K9" i="11"/>
  <c r="E9" i="11"/>
  <c r="I9" i="11" s="1"/>
  <c r="L8" i="11"/>
  <c r="K8" i="11"/>
  <c r="E8" i="11"/>
  <c r="I8" i="11" s="1"/>
  <c r="L7" i="11"/>
  <c r="K7" i="11"/>
  <c r="E7" i="11"/>
  <c r="I7" i="11" s="1"/>
  <c r="L6" i="11"/>
  <c r="K6" i="11"/>
  <c r="E6" i="11"/>
  <c r="I6" i="11" s="1"/>
  <c r="L5" i="11"/>
  <c r="L431" i="11" s="1"/>
  <c r="K5" i="11"/>
  <c r="E5" i="11"/>
  <c r="I5" i="11" s="1"/>
  <c r="L429" i="10"/>
  <c r="K429" i="10"/>
  <c r="E429" i="10"/>
  <c r="I429" i="10" s="1"/>
  <c r="L428" i="10"/>
  <c r="K428" i="10"/>
  <c r="E428" i="10"/>
  <c r="I428" i="10" s="1"/>
  <c r="L427" i="10"/>
  <c r="K427" i="10"/>
  <c r="E427" i="10"/>
  <c r="I427" i="10" s="1"/>
  <c r="L426" i="10"/>
  <c r="K426" i="10"/>
  <c r="E426" i="10"/>
  <c r="I426" i="10" s="1"/>
  <c r="L425" i="10"/>
  <c r="K425" i="10"/>
  <c r="E425" i="10"/>
  <c r="I425" i="10" s="1"/>
  <c r="L424" i="10"/>
  <c r="K424" i="10"/>
  <c r="E424" i="10"/>
  <c r="I424" i="10" s="1"/>
  <c r="L423" i="10"/>
  <c r="K423" i="10"/>
  <c r="E423" i="10"/>
  <c r="I423" i="10" s="1"/>
  <c r="L422" i="10"/>
  <c r="K422" i="10"/>
  <c r="E422" i="10"/>
  <c r="I422" i="10" s="1"/>
  <c r="L421" i="10"/>
  <c r="K421" i="10"/>
  <c r="E421" i="10"/>
  <c r="I421" i="10" s="1"/>
  <c r="L420" i="10"/>
  <c r="K420" i="10"/>
  <c r="E420" i="10"/>
  <c r="I420" i="10" s="1"/>
  <c r="L419" i="10"/>
  <c r="K419" i="10"/>
  <c r="E419" i="10"/>
  <c r="I419" i="10" s="1"/>
  <c r="L418" i="10"/>
  <c r="K418" i="10"/>
  <c r="E418" i="10"/>
  <c r="I418" i="10" s="1"/>
  <c r="L417" i="10"/>
  <c r="K417" i="10"/>
  <c r="E417" i="10"/>
  <c r="I417" i="10" s="1"/>
  <c r="L416" i="10"/>
  <c r="K416" i="10"/>
  <c r="E416" i="10"/>
  <c r="I416" i="10" s="1"/>
  <c r="L415" i="10"/>
  <c r="K415" i="10"/>
  <c r="E415" i="10"/>
  <c r="I415" i="10" s="1"/>
  <c r="L414" i="10"/>
  <c r="K414" i="10"/>
  <c r="E414" i="10"/>
  <c r="I414" i="10" s="1"/>
  <c r="L413" i="10"/>
  <c r="K413" i="10"/>
  <c r="E413" i="10"/>
  <c r="I413" i="10" s="1"/>
  <c r="L412" i="10"/>
  <c r="K412" i="10"/>
  <c r="E412" i="10"/>
  <c r="I412" i="10" s="1"/>
  <c r="L411" i="10"/>
  <c r="K411" i="10"/>
  <c r="E411" i="10"/>
  <c r="I411" i="10" s="1"/>
  <c r="L410" i="10"/>
  <c r="K410" i="10"/>
  <c r="E410" i="10"/>
  <c r="I410" i="10" s="1"/>
  <c r="L409" i="10"/>
  <c r="K409" i="10"/>
  <c r="E409" i="10"/>
  <c r="I409" i="10" s="1"/>
  <c r="L408" i="10"/>
  <c r="K408" i="10"/>
  <c r="E408" i="10"/>
  <c r="I408" i="10" s="1"/>
  <c r="L407" i="10"/>
  <c r="K407" i="10"/>
  <c r="E407" i="10"/>
  <c r="I407" i="10" s="1"/>
  <c r="L406" i="10"/>
  <c r="K406" i="10"/>
  <c r="E406" i="10"/>
  <c r="I406" i="10" s="1"/>
  <c r="L405" i="10"/>
  <c r="K405" i="10"/>
  <c r="E405" i="10"/>
  <c r="I405" i="10" s="1"/>
  <c r="L404" i="10"/>
  <c r="K404" i="10"/>
  <c r="E404" i="10"/>
  <c r="I404" i="10" s="1"/>
  <c r="L403" i="10"/>
  <c r="K403" i="10"/>
  <c r="E403" i="10"/>
  <c r="I403" i="10" s="1"/>
  <c r="L402" i="10"/>
  <c r="K402" i="10"/>
  <c r="E402" i="10"/>
  <c r="I402" i="10" s="1"/>
  <c r="L401" i="10"/>
  <c r="K401" i="10"/>
  <c r="E401" i="10"/>
  <c r="I401" i="10" s="1"/>
  <c r="L400" i="10"/>
  <c r="K400" i="10"/>
  <c r="E400" i="10"/>
  <c r="I400" i="10" s="1"/>
  <c r="L399" i="10"/>
  <c r="K399" i="10"/>
  <c r="E399" i="10"/>
  <c r="I399" i="10" s="1"/>
  <c r="L398" i="10"/>
  <c r="K398" i="10"/>
  <c r="E398" i="10"/>
  <c r="I398" i="10" s="1"/>
  <c r="L397" i="10"/>
  <c r="K397" i="10"/>
  <c r="E397" i="10"/>
  <c r="I397" i="10" s="1"/>
  <c r="L396" i="10"/>
  <c r="K396" i="10"/>
  <c r="E396" i="10"/>
  <c r="I396" i="10" s="1"/>
  <c r="L395" i="10"/>
  <c r="K395" i="10"/>
  <c r="E395" i="10"/>
  <c r="I395" i="10" s="1"/>
  <c r="L394" i="10"/>
  <c r="K394" i="10"/>
  <c r="E394" i="10"/>
  <c r="I394" i="10" s="1"/>
  <c r="L393" i="10"/>
  <c r="K393" i="10"/>
  <c r="E393" i="10"/>
  <c r="I393" i="10" s="1"/>
  <c r="L392" i="10"/>
  <c r="K392" i="10"/>
  <c r="E392" i="10"/>
  <c r="I392" i="10" s="1"/>
  <c r="L391" i="10"/>
  <c r="K391" i="10"/>
  <c r="E391" i="10"/>
  <c r="I391" i="10" s="1"/>
  <c r="L390" i="10"/>
  <c r="K390" i="10"/>
  <c r="E390" i="10"/>
  <c r="I390" i="10" s="1"/>
  <c r="L389" i="10"/>
  <c r="K389" i="10"/>
  <c r="E389" i="10"/>
  <c r="I389" i="10" s="1"/>
  <c r="L388" i="10"/>
  <c r="K388" i="10"/>
  <c r="E388" i="10"/>
  <c r="I388" i="10" s="1"/>
  <c r="L387" i="10"/>
  <c r="K387" i="10"/>
  <c r="E387" i="10"/>
  <c r="I387" i="10" s="1"/>
  <c r="L386" i="10"/>
  <c r="K386" i="10"/>
  <c r="E386" i="10"/>
  <c r="I386" i="10" s="1"/>
  <c r="L385" i="10"/>
  <c r="K385" i="10"/>
  <c r="E385" i="10"/>
  <c r="I385" i="10" s="1"/>
  <c r="L384" i="10"/>
  <c r="K384" i="10"/>
  <c r="E384" i="10"/>
  <c r="I384" i="10" s="1"/>
  <c r="L383" i="10"/>
  <c r="K383" i="10"/>
  <c r="E383" i="10"/>
  <c r="I383" i="10" s="1"/>
  <c r="L382" i="10"/>
  <c r="K382" i="10"/>
  <c r="E382" i="10"/>
  <c r="I382" i="10" s="1"/>
  <c r="L381" i="10"/>
  <c r="K381" i="10"/>
  <c r="E381" i="10"/>
  <c r="I381" i="10" s="1"/>
  <c r="L380" i="10"/>
  <c r="K380" i="10"/>
  <c r="E380" i="10"/>
  <c r="I380" i="10" s="1"/>
  <c r="L379" i="10"/>
  <c r="K379" i="10"/>
  <c r="E379" i="10"/>
  <c r="I379" i="10" s="1"/>
  <c r="L378" i="10"/>
  <c r="K378" i="10"/>
  <c r="E378" i="10"/>
  <c r="I378" i="10" s="1"/>
  <c r="L377" i="10"/>
  <c r="K377" i="10"/>
  <c r="E377" i="10"/>
  <c r="I377" i="10" s="1"/>
  <c r="L376" i="10"/>
  <c r="K376" i="10"/>
  <c r="E376" i="10"/>
  <c r="I376" i="10" s="1"/>
  <c r="L375" i="10"/>
  <c r="K375" i="10"/>
  <c r="E375" i="10"/>
  <c r="I375" i="10" s="1"/>
  <c r="L374" i="10"/>
  <c r="K374" i="10"/>
  <c r="E374" i="10"/>
  <c r="I374" i="10" s="1"/>
  <c r="L373" i="10"/>
  <c r="K373" i="10"/>
  <c r="E373" i="10"/>
  <c r="I373" i="10" s="1"/>
  <c r="L372" i="10"/>
  <c r="K372" i="10"/>
  <c r="E372" i="10"/>
  <c r="I372" i="10" s="1"/>
  <c r="L371" i="10"/>
  <c r="K371" i="10"/>
  <c r="E371" i="10"/>
  <c r="I371" i="10" s="1"/>
  <c r="L370" i="10"/>
  <c r="K370" i="10"/>
  <c r="E370" i="10"/>
  <c r="I370" i="10" s="1"/>
  <c r="L369" i="10"/>
  <c r="K369" i="10"/>
  <c r="E369" i="10"/>
  <c r="I369" i="10" s="1"/>
  <c r="L368" i="10"/>
  <c r="K368" i="10"/>
  <c r="E368" i="10"/>
  <c r="I368" i="10" s="1"/>
  <c r="L367" i="10"/>
  <c r="K367" i="10"/>
  <c r="E367" i="10"/>
  <c r="I367" i="10" s="1"/>
  <c r="L366" i="10"/>
  <c r="K366" i="10"/>
  <c r="E366" i="10"/>
  <c r="I366" i="10" s="1"/>
  <c r="L365" i="10"/>
  <c r="K365" i="10"/>
  <c r="E365" i="10"/>
  <c r="I365" i="10" s="1"/>
  <c r="L364" i="10"/>
  <c r="K364" i="10"/>
  <c r="E364" i="10"/>
  <c r="I364" i="10" s="1"/>
  <c r="L363" i="10"/>
  <c r="K363" i="10"/>
  <c r="E363" i="10"/>
  <c r="I363" i="10" s="1"/>
  <c r="L362" i="10"/>
  <c r="K362" i="10"/>
  <c r="E362" i="10"/>
  <c r="I362" i="10" s="1"/>
  <c r="L361" i="10"/>
  <c r="K361" i="10"/>
  <c r="E361" i="10"/>
  <c r="I361" i="10" s="1"/>
  <c r="L360" i="10"/>
  <c r="K360" i="10"/>
  <c r="E360" i="10"/>
  <c r="I360" i="10" s="1"/>
  <c r="L359" i="10"/>
  <c r="K359" i="10"/>
  <c r="I359" i="10"/>
  <c r="E359" i="10"/>
  <c r="L358" i="10"/>
  <c r="K358" i="10"/>
  <c r="I358" i="10"/>
  <c r="E358" i="10"/>
  <c r="L357" i="10"/>
  <c r="K357" i="10"/>
  <c r="E357" i="10"/>
  <c r="I357" i="10" s="1"/>
  <c r="L356" i="10"/>
  <c r="K356" i="10"/>
  <c r="E356" i="10"/>
  <c r="I356" i="10" s="1"/>
  <c r="L355" i="10"/>
  <c r="K355" i="10"/>
  <c r="E355" i="10"/>
  <c r="I355" i="10" s="1"/>
  <c r="L354" i="10"/>
  <c r="K354" i="10"/>
  <c r="E354" i="10"/>
  <c r="I354" i="10" s="1"/>
  <c r="L353" i="10"/>
  <c r="K353" i="10"/>
  <c r="E353" i="10"/>
  <c r="I353" i="10" s="1"/>
  <c r="L352" i="10"/>
  <c r="K352" i="10"/>
  <c r="E352" i="10"/>
  <c r="I352" i="10" s="1"/>
  <c r="L351" i="10"/>
  <c r="K351" i="10"/>
  <c r="E351" i="10"/>
  <c r="I351" i="10" s="1"/>
  <c r="L350" i="10"/>
  <c r="K350" i="10"/>
  <c r="E350" i="10"/>
  <c r="I350" i="10" s="1"/>
  <c r="L349" i="10"/>
  <c r="K349" i="10"/>
  <c r="E349" i="10"/>
  <c r="I349" i="10" s="1"/>
  <c r="L348" i="10"/>
  <c r="K348" i="10"/>
  <c r="E348" i="10"/>
  <c r="I348" i="10" s="1"/>
  <c r="L347" i="10"/>
  <c r="K347" i="10"/>
  <c r="E347" i="10"/>
  <c r="I347" i="10" s="1"/>
  <c r="L346" i="10"/>
  <c r="K346" i="10"/>
  <c r="E346" i="10"/>
  <c r="I346" i="10" s="1"/>
  <c r="L345" i="10"/>
  <c r="K345" i="10"/>
  <c r="E345" i="10"/>
  <c r="I345" i="10" s="1"/>
  <c r="L344" i="10"/>
  <c r="K344" i="10"/>
  <c r="E344" i="10"/>
  <c r="I344" i="10" s="1"/>
  <c r="L343" i="10"/>
  <c r="K343" i="10"/>
  <c r="E343" i="10"/>
  <c r="I343" i="10" s="1"/>
  <c r="L342" i="10"/>
  <c r="K342" i="10"/>
  <c r="E342" i="10"/>
  <c r="I342" i="10" s="1"/>
  <c r="L341" i="10"/>
  <c r="K341" i="10"/>
  <c r="E341" i="10"/>
  <c r="I341" i="10" s="1"/>
  <c r="L340" i="10"/>
  <c r="K340" i="10"/>
  <c r="E340" i="10"/>
  <c r="I340" i="10" s="1"/>
  <c r="L339" i="10"/>
  <c r="K339" i="10"/>
  <c r="E339" i="10"/>
  <c r="I339" i="10" s="1"/>
  <c r="L338" i="10"/>
  <c r="K338" i="10"/>
  <c r="E338" i="10"/>
  <c r="I338" i="10" s="1"/>
  <c r="L337" i="10"/>
  <c r="K337" i="10"/>
  <c r="E337" i="10"/>
  <c r="I337" i="10" s="1"/>
  <c r="L336" i="10"/>
  <c r="K336" i="10"/>
  <c r="E336" i="10"/>
  <c r="I336" i="10" s="1"/>
  <c r="L335" i="10"/>
  <c r="K335" i="10"/>
  <c r="E335" i="10"/>
  <c r="I335" i="10" s="1"/>
  <c r="L334" i="10"/>
  <c r="K334" i="10"/>
  <c r="E334" i="10"/>
  <c r="I334" i="10" s="1"/>
  <c r="L333" i="10"/>
  <c r="K333" i="10"/>
  <c r="E333" i="10"/>
  <c r="I333" i="10" s="1"/>
  <c r="L332" i="10"/>
  <c r="K332" i="10"/>
  <c r="I332" i="10"/>
  <c r="E332" i="10"/>
  <c r="L331" i="10"/>
  <c r="K331" i="10"/>
  <c r="E331" i="10"/>
  <c r="I331" i="10" s="1"/>
  <c r="L330" i="10"/>
  <c r="K330" i="10"/>
  <c r="E330" i="10"/>
  <c r="I330" i="10" s="1"/>
  <c r="L329" i="10"/>
  <c r="K329" i="10"/>
  <c r="I329" i="10"/>
  <c r="E329" i="10"/>
  <c r="L328" i="10"/>
  <c r="K328" i="10"/>
  <c r="E328" i="10"/>
  <c r="I328" i="10" s="1"/>
  <c r="L327" i="10"/>
  <c r="K327" i="10"/>
  <c r="I327" i="10"/>
  <c r="E327" i="10"/>
  <c r="L326" i="10"/>
  <c r="K326" i="10"/>
  <c r="E326" i="10"/>
  <c r="I326" i="10" s="1"/>
  <c r="L325" i="10"/>
  <c r="K325" i="10"/>
  <c r="I325" i="10"/>
  <c r="E325" i="10"/>
  <c r="L324" i="10"/>
  <c r="K324" i="10"/>
  <c r="E324" i="10"/>
  <c r="I324" i="10" s="1"/>
  <c r="L323" i="10"/>
  <c r="K323" i="10"/>
  <c r="I323" i="10"/>
  <c r="E323" i="10"/>
  <c r="L322" i="10"/>
  <c r="K322" i="10"/>
  <c r="I322" i="10"/>
  <c r="E322" i="10"/>
  <c r="L321" i="10"/>
  <c r="K321" i="10"/>
  <c r="I321" i="10"/>
  <c r="E321" i="10"/>
  <c r="L320" i="10"/>
  <c r="K320" i="10"/>
  <c r="E320" i="10"/>
  <c r="I320" i="10" s="1"/>
  <c r="L319" i="10"/>
  <c r="K319" i="10"/>
  <c r="E319" i="10"/>
  <c r="I319" i="10" s="1"/>
  <c r="L318" i="10"/>
  <c r="K318" i="10"/>
  <c r="E318" i="10"/>
  <c r="I318" i="10" s="1"/>
  <c r="L317" i="10"/>
  <c r="K317" i="10"/>
  <c r="E317" i="10"/>
  <c r="I317" i="10" s="1"/>
  <c r="L316" i="10"/>
  <c r="K316" i="10"/>
  <c r="E316" i="10"/>
  <c r="I316" i="10" s="1"/>
  <c r="L315" i="10"/>
  <c r="K315" i="10"/>
  <c r="E315" i="10"/>
  <c r="I315" i="10" s="1"/>
  <c r="L314" i="10"/>
  <c r="K314" i="10"/>
  <c r="E314" i="10"/>
  <c r="I314" i="10" s="1"/>
  <c r="L313" i="10"/>
  <c r="K313" i="10"/>
  <c r="E313" i="10"/>
  <c r="I313" i="10" s="1"/>
  <c r="L312" i="10"/>
  <c r="K312" i="10"/>
  <c r="E312" i="10"/>
  <c r="I312" i="10" s="1"/>
  <c r="L311" i="10"/>
  <c r="K311" i="10"/>
  <c r="E311" i="10"/>
  <c r="I311" i="10" s="1"/>
  <c r="L310" i="10"/>
  <c r="K310" i="10"/>
  <c r="E310" i="10"/>
  <c r="I310" i="10" s="1"/>
  <c r="L309" i="10"/>
  <c r="K309" i="10"/>
  <c r="E309" i="10"/>
  <c r="I309" i="10" s="1"/>
  <c r="L308" i="10"/>
  <c r="K308" i="10"/>
  <c r="E308" i="10"/>
  <c r="I308" i="10" s="1"/>
  <c r="L307" i="10"/>
  <c r="K307" i="10"/>
  <c r="E307" i="10"/>
  <c r="I307" i="10" s="1"/>
  <c r="L306" i="10"/>
  <c r="K306" i="10"/>
  <c r="E306" i="10"/>
  <c r="I306" i="10" s="1"/>
  <c r="L305" i="10"/>
  <c r="K305" i="10"/>
  <c r="E305" i="10"/>
  <c r="I305" i="10" s="1"/>
  <c r="L304" i="10"/>
  <c r="K304" i="10"/>
  <c r="E304" i="10"/>
  <c r="I304" i="10" s="1"/>
  <c r="L303" i="10"/>
  <c r="K303" i="10"/>
  <c r="E303" i="10"/>
  <c r="I303" i="10" s="1"/>
  <c r="L302" i="10"/>
  <c r="K302" i="10"/>
  <c r="E302" i="10"/>
  <c r="I302" i="10" s="1"/>
  <c r="L301" i="10"/>
  <c r="K301" i="10"/>
  <c r="E301" i="10"/>
  <c r="I301" i="10" s="1"/>
  <c r="L300" i="10"/>
  <c r="K300" i="10"/>
  <c r="E300" i="10"/>
  <c r="I300" i="10" s="1"/>
  <c r="L299" i="10"/>
  <c r="K299" i="10"/>
  <c r="E299" i="10"/>
  <c r="I299" i="10" s="1"/>
  <c r="L298" i="10"/>
  <c r="K298" i="10"/>
  <c r="E298" i="10"/>
  <c r="I298" i="10" s="1"/>
  <c r="L297" i="10"/>
  <c r="K297" i="10"/>
  <c r="E297" i="10"/>
  <c r="I297" i="10" s="1"/>
  <c r="L296" i="10"/>
  <c r="K296" i="10"/>
  <c r="E296" i="10"/>
  <c r="I296" i="10" s="1"/>
  <c r="L295" i="10"/>
  <c r="K295" i="10"/>
  <c r="E295" i="10"/>
  <c r="I295" i="10" s="1"/>
  <c r="L294" i="10"/>
  <c r="K294" i="10"/>
  <c r="E294" i="10"/>
  <c r="I294" i="10" s="1"/>
  <c r="L293" i="10"/>
  <c r="K293" i="10"/>
  <c r="E293" i="10"/>
  <c r="I293" i="10" s="1"/>
  <c r="L292" i="10"/>
  <c r="K292" i="10"/>
  <c r="E292" i="10"/>
  <c r="I292" i="10" s="1"/>
  <c r="L291" i="10"/>
  <c r="K291" i="10"/>
  <c r="E291" i="10"/>
  <c r="I291" i="10" s="1"/>
  <c r="L290" i="10"/>
  <c r="K290" i="10"/>
  <c r="E290" i="10"/>
  <c r="I290" i="10" s="1"/>
  <c r="L289" i="10"/>
  <c r="K289" i="10"/>
  <c r="E289" i="10"/>
  <c r="I289" i="10" s="1"/>
  <c r="L288" i="10"/>
  <c r="K288" i="10"/>
  <c r="E288" i="10"/>
  <c r="I288" i="10" s="1"/>
  <c r="L287" i="10"/>
  <c r="K287" i="10"/>
  <c r="E287" i="10"/>
  <c r="I287" i="10" s="1"/>
  <c r="L286" i="10"/>
  <c r="K286" i="10"/>
  <c r="E286" i="10"/>
  <c r="I286" i="10" s="1"/>
  <c r="L285" i="10"/>
  <c r="K285" i="10"/>
  <c r="E285" i="10"/>
  <c r="I285" i="10" s="1"/>
  <c r="L284" i="10"/>
  <c r="K284" i="10"/>
  <c r="E284" i="10"/>
  <c r="I284" i="10" s="1"/>
  <c r="L283" i="10"/>
  <c r="K283" i="10"/>
  <c r="E283" i="10"/>
  <c r="I283" i="10" s="1"/>
  <c r="L282" i="10"/>
  <c r="K282" i="10"/>
  <c r="E282" i="10"/>
  <c r="I282" i="10" s="1"/>
  <c r="L281" i="10"/>
  <c r="K281" i="10"/>
  <c r="E281" i="10"/>
  <c r="I281" i="10" s="1"/>
  <c r="L280" i="10"/>
  <c r="K280" i="10"/>
  <c r="E280" i="10"/>
  <c r="I280" i="10" s="1"/>
  <c r="L279" i="10"/>
  <c r="K279" i="10"/>
  <c r="E279" i="10"/>
  <c r="I279" i="10" s="1"/>
  <c r="L278" i="10"/>
  <c r="K278" i="10"/>
  <c r="E278" i="10"/>
  <c r="I278" i="10" s="1"/>
  <c r="L277" i="10"/>
  <c r="K277" i="10"/>
  <c r="E277" i="10"/>
  <c r="I277" i="10" s="1"/>
  <c r="L276" i="10"/>
  <c r="K276" i="10"/>
  <c r="E276" i="10"/>
  <c r="I276" i="10" s="1"/>
  <c r="L275" i="10"/>
  <c r="K275" i="10"/>
  <c r="E275" i="10"/>
  <c r="I275" i="10" s="1"/>
  <c r="L274" i="10"/>
  <c r="K274" i="10"/>
  <c r="E274" i="10"/>
  <c r="I274" i="10" s="1"/>
  <c r="L273" i="10"/>
  <c r="K273" i="10"/>
  <c r="E273" i="10"/>
  <c r="I273" i="10" s="1"/>
  <c r="L272" i="10"/>
  <c r="K272" i="10"/>
  <c r="E272" i="10"/>
  <c r="I272" i="10" s="1"/>
  <c r="L271" i="10"/>
  <c r="K271" i="10"/>
  <c r="E271" i="10"/>
  <c r="I271" i="10" s="1"/>
  <c r="L270" i="10"/>
  <c r="K270" i="10"/>
  <c r="E270" i="10"/>
  <c r="I270" i="10" s="1"/>
  <c r="L269" i="10"/>
  <c r="K269" i="10"/>
  <c r="E269" i="10"/>
  <c r="I269" i="10" s="1"/>
  <c r="L268" i="10"/>
  <c r="K268" i="10"/>
  <c r="E268" i="10"/>
  <c r="I268" i="10" s="1"/>
  <c r="L267" i="10"/>
  <c r="K267" i="10"/>
  <c r="E267" i="10"/>
  <c r="I267" i="10" s="1"/>
  <c r="L266" i="10"/>
  <c r="K266" i="10"/>
  <c r="E266" i="10"/>
  <c r="I266" i="10" s="1"/>
  <c r="L265" i="10"/>
  <c r="K265" i="10"/>
  <c r="E265" i="10"/>
  <c r="I265" i="10" s="1"/>
  <c r="L264" i="10"/>
  <c r="K264" i="10"/>
  <c r="E264" i="10"/>
  <c r="I264" i="10" s="1"/>
  <c r="L263" i="10"/>
  <c r="K263" i="10"/>
  <c r="E263" i="10"/>
  <c r="I263" i="10" s="1"/>
  <c r="L262" i="10"/>
  <c r="K262" i="10"/>
  <c r="E262" i="10"/>
  <c r="I262" i="10" s="1"/>
  <c r="L261" i="10"/>
  <c r="K261" i="10"/>
  <c r="E261" i="10"/>
  <c r="I261" i="10" s="1"/>
  <c r="L260" i="10"/>
  <c r="K260" i="10"/>
  <c r="E260" i="10"/>
  <c r="I260" i="10" s="1"/>
  <c r="L259" i="10"/>
  <c r="K259" i="10"/>
  <c r="E259" i="10"/>
  <c r="I259" i="10" s="1"/>
  <c r="L258" i="10"/>
  <c r="K258" i="10"/>
  <c r="E258" i="10"/>
  <c r="I258" i="10" s="1"/>
  <c r="L257" i="10"/>
  <c r="K257" i="10"/>
  <c r="E257" i="10"/>
  <c r="I257" i="10" s="1"/>
  <c r="L256" i="10"/>
  <c r="K256" i="10"/>
  <c r="E256" i="10"/>
  <c r="I256" i="10" s="1"/>
  <c r="L255" i="10"/>
  <c r="K255" i="10"/>
  <c r="E255" i="10"/>
  <c r="I255" i="10" s="1"/>
  <c r="L254" i="10"/>
  <c r="K254" i="10"/>
  <c r="E254" i="10"/>
  <c r="I254" i="10" s="1"/>
  <c r="L253" i="10"/>
  <c r="K253" i="10"/>
  <c r="E253" i="10"/>
  <c r="I253" i="10" s="1"/>
  <c r="L252" i="10"/>
  <c r="K252" i="10"/>
  <c r="E252" i="10"/>
  <c r="I252" i="10" s="1"/>
  <c r="L251" i="10"/>
  <c r="K251" i="10"/>
  <c r="E251" i="10"/>
  <c r="I251" i="10" s="1"/>
  <c r="L250" i="10"/>
  <c r="K250" i="10"/>
  <c r="E250" i="10"/>
  <c r="I250" i="10" s="1"/>
  <c r="L249" i="10"/>
  <c r="K249" i="10"/>
  <c r="E249" i="10"/>
  <c r="I249" i="10" s="1"/>
  <c r="L248" i="10"/>
  <c r="K248" i="10"/>
  <c r="E248" i="10"/>
  <c r="I248" i="10" s="1"/>
  <c r="L247" i="10"/>
  <c r="K247" i="10"/>
  <c r="E247" i="10"/>
  <c r="I247" i="10" s="1"/>
  <c r="L246" i="10"/>
  <c r="K246" i="10"/>
  <c r="E246" i="10"/>
  <c r="I246" i="10" s="1"/>
  <c r="L245" i="10"/>
  <c r="K245" i="10"/>
  <c r="E245" i="10"/>
  <c r="I245" i="10" s="1"/>
  <c r="L244" i="10"/>
  <c r="K244" i="10"/>
  <c r="E244" i="10"/>
  <c r="I244" i="10" s="1"/>
  <c r="L243" i="10"/>
  <c r="K243" i="10"/>
  <c r="E243" i="10"/>
  <c r="I243" i="10" s="1"/>
  <c r="L242" i="10"/>
  <c r="K242" i="10"/>
  <c r="E242" i="10"/>
  <c r="I242" i="10" s="1"/>
  <c r="L241" i="10"/>
  <c r="K241" i="10"/>
  <c r="E241" i="10"/>
  <c r="I241" i="10" s="1"/>
  <c r="L240" i="10"/>
  <c r="K240" i="10"/>
  <c r="E240" i="10"/>
  <c r="I240" i="10" s="1"/>
  <c r="L239" i="10"/>
  <c r="K239" i="10"/>
  <c r="E239" i="10"/>
  <c r="I239" i="10" s="1"/>
  <c r="L238" i="10"/>
  <c r="K238" i="10"/>
  <c r="E238" i="10"/>
  <c r="I238" i="10" s="1"/>
  <c r="L237" i="10"/>
  <c r="K237" i="10"/>
  <c r="E237" i="10"/>
  <c r="I237" i="10" s="1"/>
  <c r="L236" i="10"/>
  <c r="K236" i="10"/>
  <c r="E236" i="10"/>
  <c r="I236" i="10" s="1"/>
  <c r="L235" i="10"/>
  <c r="K235" i="10"/>
  <c r="E235" i="10"/>
  <c r="I235" i="10" s="1"/>
  <c r="L234" i="10"/>
  <c r="K234" i="10"/>
  <c r="E234" i="10"/>
  <c r="I234" i="10" s="1"/>
  <c r="L233" i="10"/>
  <c r="K233" i="10"/>
  <c r="E233" i="10"/>
  <c r="I233" i="10" s="1"/>
  <c r="L232" i="10"/>
  <c r="K232" i="10"/>
  <c r="E232" i="10"/>
  <c r="I232" i="10" s="1"/>
  <c r="L231" i="10"/>
  <c r="K231" i="10"/>
  <c r="E231" i="10"/>
  <c r="I231" i="10" s="1"/>
  <c r="L230" i="10"/>
  <c r="K230" i="10"/>
  <c r="E230" i="10"/>
  <c r="I230" i="10" s="1"/>
  <c r="L229" i="10"/>
  <c r="K229" i="10"/>
  <c r="E229" i="10"/>
  <c r="I229" i="10" s="1"/>
  <c r="L228" i="10"/>
  <c r="K228" i="10"/>
  <c r="E228" i="10"/>
  <c r="I228" i="10" s="1"/>
  <c r="L227" i="10"/>
  <c r="K227" i="10"/>
  <c r="E227" i="10"/>
  <c r="I227" i="10" s="1"/>
  <c r="L226" i="10"/>
  <c r="K226" i="10"/>
  <c r="E226" i="10"/>
  <c r="I226" i="10" s="1"/>
  <c r="L225" i="10"/>
  <c r="K225" i="10"/>
  <c r="E225" i="10"/>
  <c r="I225" i="10" s="1"/>
  <c r="L224" i="10"/>
  <c r="K224" i="10"/>
  <c r="E224" i="10"/>
  <c r="I224" i="10" s="1"/>
  <c r="L223" i="10"/>
  <c r="K223" i="10"/>
  <c r="E223" i="10"/>
  <c r="I223" i="10" s="1"/>
  <c r="L222" i="10"/>
  <c r="K222" i="10"/>
  <c r="E222" i="10"/>
  <c r="I222" i="10" s="1"/>
  <c r="L221" i="10"/>
  <c r="K221" i="10"/>
  <c r="E221" i="10"/>
  <c r="I221" i="10" s="1"/>
  <c r="L220" i="10"/>
  <c r="K220" i="10"/>
  <c r="E220" i="10"/>
  <c r="I220" i="10" s="1"/>
  <c r="L219" i="10"/>
  <c r="K219" i="10"/>
  <c r="E219" i="10"/>
  <c r="I219" i="10" s="1"/>
  <c r="L218" i="10"/>
  <c r="K218" i="10"/>
  <c r="E218" i="10"/>
  <c r="I218" i="10" s="1"/>
  <c r="L217" i="10"/>
  <c r="K217" i="10"/>
  <c r="E217" i="10"/>
  <c r="I217" i="10" s="1"/>
  <c r="L216" i="10"/>
  <c r="K216" i="10"/>
  <c r="E216" i="10"/>
  <c r="I216" i="10" s="1"/>
  <c r="L215" i="10"/>
  <c r="K215" i="10"/>
  <c r="E215" i="10"/>
  <c r="I215" i="10" s="1"/>
  <c r="L214" i="10"/>
  <c r="K214" i="10"/>
  <c r="E214" i="10"/>
  <c r="I214" i="10" s="1"/>
  <c r="L213" i="10"/>
  <c r="K213" i="10"/>
  <c r="E213" i="10"/>
  <c r="I213" i="10" s="1"/>
  <c r="L212" i="10"/>
  <c r="K212" i="10"/>
  <c r="E212" i="10"/>
  <c r="I212" i="10" s="1"/>
  <c r="L211" i="10"/>
  <c r="K211" i="10"/>
  <c r="E211" i="10"/>
  <c r="I211" i="10" s="1"/>
  <c r="L210" i="10"/>
  <c r="K210" i="10"/>
  <c r="E210" i="10"/>
  <c r="I210" i="10" s="1"/>
  <c r="L209" i="10"/>
  <c r="K209" i="10"/>
  <c r="E209" i="10"/>
  <c r="I209" i="10" s="1"/>
  <c r="L208" i="10"/>
  <c r="K208" i="10"/>
  <c r="E208" i="10"/>
  <c r="I208" i="10" s="1"/>
  <c r="L207" i="10"/>
  <c r="K207" i="10"/>
  <c r="E207" i="10"/>
  <c r="I207" i="10" s="1"/>
  <c r="L206" i="10"/>
  <c r="K206" i="10"/>
  <c r="E206" i="10"/>
  <c r="I206" i="10" s="1"/>
  <c r="L205" i="10"/>
  <c r="K205" i="10"/>
  <c r="E205" i="10"/>
  <c r="I205" i="10" s="1"/>
  <c r="L204" i="10"/>
  <c r="K204" i="10"/>
  <c r="E204" i="10"/>
  <c r="I204" i="10" s="1"/>
  <c r="L203" i="10"/>
  <c r="K203" i="10"/>
  <c r="E203" i="10"/>
  <c r="I203" i="10" s="1"/>
  <c r="L202" i="10"/>
  <c r="K202" i="10"/>
  <c r="E202" i="10"/>
  <c r="I202" i="10" s="1"/>
  <c r="L201" i="10"/>
  <c r="K201" i="10"/>
  <c r="E201" i="10"/>
  <c r="I201" i="10" s="1"/>
  <c r="L200" i="10"/>
  <c r="K200" i="10"/>
  <c r="E200" i="10"/>
  <c r="I200" i="10" s="1"/>
  <c r="L199" i="10"/>
  <c r="K199" i="10"/>
  <c r="E199" i="10"/>
  <c r="I199" i="10" s="1"/>
  <c r="L198" i="10"/>
  <c r="K198" i="10"/>
  <c r="E198" i="10"/>
  <c r="I198" i="10" s="1"/>
  <c r="L197" i="10"/>
  <c r="K197" i="10"/>
  <c r="E197" i="10"/>
  <c r="I197" i="10" s="1"/>
  <c r="L196" i="10"/>
  <c r="K196" i="10"/>
  <c r="E196" i="10"/>
  <c r="I196" i="10" s="1"/>
  <c r="L195" i="10"/>
  <c r="K195" i="10"/>
  <c r="E195" i="10"/>
  <c r="I195" i="10" s="1"/>
  <c r="L194" i="10"/>
  <c r="K194" i="10"/>
  <c r="E194" i="10"/>
  <c r="I194" i="10" s="1"/>
  <c r="L193" i="10"/>
  <c r="K193" i="10"/>
  <c r="E193" i="10"/>
  <c r="I193" i="10" s="1"/>
  <c r="L192" i="10"/>
  <c r="K192" i="10"/>
  <c r="E192" i="10"/>
  <c r="I192" i="10" s="1"/>
  <c r="L191" i="10"/>
  <c r="K191" i="10"/>
  <c r="E191" i="10"/>
  <c r="I191" i="10" s="1"/>
  <c r="L190" i="10"/>
  <c r="K190" i="10"/>
  <c r="E190" i="10"/>
  <c r="I190" i="10" s="1"/>
  <c r="L189" i="10"/>
  <c r="K189" i="10"/>
  <c r="E189" i="10"/>
  <c r="I189" i="10" s="1"/>
  <c r="L188" i="10"/>
  <c r="K188" i="10"/>
  <c r="E188" i="10"/>
  <c r="I188" i="10" s="1"/>
  <c r="L187" i="10"/>
  <c r="K187" i="10"/>
  <c r="E187" i="10"/>
  <c r="I187" i="10" s="1"/>
  <c r="L186" i="10"/>
  <c r="K186" i="10"/>
  <c r="E186" i="10"/>
  <c r="I186" i="10" s="1"/>
  <c r="L185" i="10"/>
  <c r="K185" i="10"/>
  <c r="E185" i="10"/>
  <c r="I185" i="10" s="1"/>
  <c r="L184" i="10"/>
  <c r="K184" i="10"/>
  <c r="E184" i="10"/>
  <c r="I184" i="10" s="1"/>
  <c r="L183" i="10"/>
  <c r="K183" i="10"/>
  <c r="E183" i="10"/>
  <c r="I183" i="10" s="1"/>
  <c r="L182" i="10"/>
  <c r="K182" i="10"/>
  <c r="E182" i="10"/>
  <c r="I182" i="10" s="1"/>
  <c r="L181" i="10"/>
  <c r="K181" i="10"/>
  <c r="E181" i="10"/>
  <c r="I181" i="10" s="1"/>
  <c r="L180" i="10"/>
  <c r="K180" i="10"/>
  <c r="E180" i="10"/>
  <c r="I180" i="10" s="1"/>
  <c r="L179" i="10"/>
  <c r="K179" i="10"/>
  <c r="E179" i="10"/>
  <c r="I179" i="10" s="1"/>
  <c r="L178" i="10"/>
  <c r="K178" i="10"/>
  <c r="E178" i="10"/>
  <c r="I178" i="10" s="1"/>
  <c r="L177" i="10"/>
  <c r="K177" i="10"/>
  <c r="E177" i="10"/>
  <c r="I177" i="10" s="1"/>
  <c r="L176" i="10"/>
  <c r="K176" i="10"/>
  <c r="E176" i="10"/>
  <c r="I176" i="10" s="1"/>
  <c r="L175" i="10"/>
  <c r="K175" i="10"/>
  <c r="E175" i="10"/>
  <c r="I175" i="10" s="1"/>
  <c r="L174" i="10"/>
  <c r="K174" i="10"/>
  <c r="E174" i="10"/>
  <c r="I174" i="10" s="1"/>
  <c r="L173" i="10"/>
  <c r="K173" i="10"/>
  <c r="E173" i="10"/>
  <c r="I173" i="10" s="1"/>
  <c r="L172" i="10"/>
  <c r="K172" i="10"/>
  <c r="E172" i="10"/>
  <c r="I172" i="10" s="1"/>
  <c r="L171" i="10"/>
  <c r="K171" i="10"/>
  <c r="E171" i="10"/>
  <c r="I171" i="10" s="1"/>
  <c r="L170" i="10"/>
  <c r="K170" i="10"/>
  <c r="E170" i="10"/>
  <c r="I170" i="10" s="1"/>
  <c r="L169" i="10"/>
  <c r="K169" i="10"/>
  <c r="E169" i="10"/>
  <c r="I169" i="10" s="1"/>
  <c r="L168" i="10"/>
  <c r="K168" i="10"/>
  <c r="E168" i="10"/>
  <c r="I168" i="10" s="1"/>
  <c r="L167" i="10"/>
  <c r="K167" i="10"/>
  <c r="E167" i="10"/>
  <c r="I167" i="10" s="1"/>
  <c r="L166" i="10"/>
  <c r="K166" i="10"/>
  <c r="E166" i="10"/>
  <c r="I166" i="10" s="1"/>
  <c r="L165" i="10"/>
  <c r="K165" i="10"/>
  <c r="E165" i="10"/>
  <c r="I165" i="10" s="1"/>
  <c r="L164" i="10"/>
  <c r="K164" i="10"/>
  <c r="E164" i="10"/>
  <c r="I164" i="10" s="1"/>
  <c r="L163" i="10"/>
  <c r="K163" i="10"/>
  <c r="E163" i="10"/>
  <c r="I163" i="10" s="1"/>
  <c r="L162" i="10"/>
  <c r="K162" i="10"/>
  <c r="E162" i="10"/>
  <c r="I162" i="10" s="1"/>
  <c r="L161" i="10"/>
  <c r="K161" i="10"/>
  <c r="E161" i="10"/>
  <c r="I161" i="10" s="1"/>
  <c r="L160" i="10"/>
  <c r="K160" i="10"/>
  <c r="E160" i="10"/>
  <c r="I160" i="10" s="1"/>
  <c r="L159" i="10"/>
  <c r="K159" i="10"/>
  <c r="E159" i="10"/>
  <c r="I159" i="10" s="1"/>
  <c r="L158" i="10"/>
  <c r="K158" i="10"/>
  <c r="E158" i="10"/>
  <c r="I158" i="10" s="1"/>
  <c r="L157" i="10"/>
  <c r="K157" i="10"/>
  <c r="E157" i="10"/>
  <c r="I157" i="10" s="1"/>
  <c r="L156" i="10"/>
  <c r="K156" i="10"/>
  <c r="E156" i="10"/>
  <c r="I156" i="10" s="1"/>
  <c r="L155" i="10"/>
  <c r="K155" i="10"/>
  <c r="E155" i="10"/>
  <c r="I155" i="10" s="1"/>
  <c r="L154" i="10"/>
  <c r="K154" i="10"/>
  <c r="E154" i="10"/>
  <c r="I154" i="10" s="1"/>
  <c r="L153" i="10"/>
  <c r="K153" i="10"/>
  <c r="E153" i="10"/>
  <c r="I153" i="10" s="1"/>
  <c r="L152" i="10"/>
  <c r="K152" i="10"/>
  <c r="E152" i="10"/>
  <c r="I152" i="10" s="1"/>
  <c r="L151" i="10"/>
  <c r="K151" i="10"/>
  <c r="E151" i="10"/>
  <c r="I151" i="10" s="1"/>
  <c r="L150" i="10"/>
  <c r="K150" i="10"/>
  <c r="E150" i="10"/>
  <c r="I150" i="10" s="1"/>
  <c r="L149" i="10"/>
  <c r="K149" i="10"/>
  <c r="E149" i="10"/>
  <c r="I149" i="10" s="1"/>
  <c r="L148" i="10"/>
  <c r="K148" i="10"/>
  <c r="E148" i="10"/>
  <c r="I148" i="10" s="1"/>
  <c r="L147" i="10"/>
  <c r="K147" i="10"/>
  <c r="E147" i="10"/>
  <c r="I147" i="10" s="1"/>
  <c r="L146" i="10"/>
  <c r="K146" i="10"/>
  <c r="E146" i="10"/>
  <c r="I146" i="10" s="1"/>
  <c r="L145" i="10"/>
  <c r="K145" i="10"/>
  <c r="E145" i="10"/>
  <c r="I145" i="10" s="1"/>
  <c r="L144" i="10"/>
  <c r="K144" i="10"/>
  <c r="E144" i="10"/>
  <c r="I144" i="10" s="1"/>
  <c r="L143" i="10"/>
  <c r="K143" i="10"/>
  <c r="E143" i="10"/>
  <c r="I143" i="10" s="1"/>
  <c r="L142" i="10"/>
  <c r="K142" i="10"/>
  <c r="E142" i="10"/>
  <c r="I142" i="10" s="1"/>
  <c r="L141" i="10"/>
  <c r="K141" i="10"/>
  <c r="E141" i="10"/>
  <c r="I141" i="10" s="1"/>
  <c r="L140" i="10"/>
  <c r="K140" i="10"/>
  <c r="E140" i="10"/>
  <c r="I140" i="10" s="1"/>
  <c r="L139" i="10"/>
  <c r="K139" i="10"/>
  <c r="E139" i="10"/>
  <c r="I139" i="10" s="1"/>
  <c r="L138" i="10"/>
  <c r="K138" i="10"/>
  <c r="E138" i="10"/>
  <c r="I138" i="10" s="1"/>
  <c r="L137" i="10"/>
  <c r="K137" i="10"/>
  <c r="E137" i="10"/>
  <c r="I137" i="10" s="1"/>
  <c r="L136" i="10"/>
  <c r="K136" i="10"/>
  <c r="E136" i="10"/>
  <c r="I136" i="10" s="1"/>
  <c r="L135" i="10"/>
  <c r="K135" i="10"/>
  <c r="E135" i="10"/>
  <c r="I135" i="10" s="1"/>
  <c r="L134" i="10"/>
  <c r="K134" i="10"/>
  <c r="E134" i="10"/>
  <c r="I134" i="10" s="1"/>
  <c r="L133" i="10"/>
  <c r="K133" i="10"/>
  <c r="E133" i="10"/>
  <c r="I133" i="10" s="1"/>
  <c r="L132" i="10"/>
  <c r="K132" i="10"/>
  <c r="E132" i="10"/>
  <c r="I132" i="10" s="1"/>
  <c r="L131" i="10"/>
  <c r="K131" i="10"/>
  <c r="E131" i="10"/>
  <c r="I131" i="10" s="1"/>
  <c r="L130" i="10"/>
  <c r="K130" i="10"/>
  <c r="E130" i="10"/>
  <c r="I130" i="10" s="1"/>
  <c r="L129" i="10"/>
  <c r="K129" i="10"/>
  <c r="E129" i="10"/>
  <c r="I129" i="10" s="1"/>
  <c r="L128" i="10"/>
  <c r="K128" i="10"/>
  <c r="E128" i="10"/>
  <c r="I128" i="10" s="1"/>
  <c r="L127" i="10"/>
  <c r="K127" i="10"/>
  <c r="E127" i="10"/>
  <c r="I127" i="10" s="1"/>
  <c r="L126" i="10"/>
  <c r="K126" i="10"/>
  <c r="E126" i="10"/>
  <c r="I126" i="10" s="1"/>
  <c r="L125" i="10"/>
  <c r="K125" i="10"/>
  <c r="E125" i="10"/>
  <c r="I125" i="10" s="1"/>
  <c r="L124" i="10"/>
  <c r="K124" i="10"/>
  <c r="E124" i="10"/>
  <c r="I124" i="10" s="1"/>
  <c r="L123" i="10"/>
  <c r="K123" i="10"/>
  <c r="E123" i="10"/>
  <c r="I123" i="10" s="1"/>
  <c r="L122" i="10"/>
  <c r="K122" i="10"/>
  <c r="E122" i="10"/>
  <c r="I122" i="10" s="1"/>
  <c r="L121" i="10"/>
  <c r="K121" i="10"/>
  <c r="E121" i="10"/>
  <c r="I121" i="10" s="1"/>
  <c r="L120" i="10"/>
  <c r="K120" i="10"/>
  <c r="E120" i="10"/>
  <c r="I120" i="10" s="1"/>
  <c r="L119" i="10"/>
  <c r="K119" i="10"/>
  <c r="E119" i="10"/>
  <c r="I119" i="10" s="1"/>
  <c r="L118" i="10"/>
  <c r="K118" i="10"/>
  <c r="E118" i="10"/>
  <c r="I118" i="10" s="1"/>
  <c r="L117" i="10"/>
  <c r="K117" i="10"/>
  <c r="E117" i="10"/>
  <c r="I117" i="10" s="1"/>
  <c r="L116" i="10"/>
  <c r="K116" i="10"/>
  <c r="E116" i="10"/>
  <c r="I116" i="10" s="1"/>
  <c r="L115" i="10"/>
  <c r="K115" i="10"/>
  <c r="E115" i="10"/>
  <c r="I115" i="10" s="1"/>
  <c r="L114" i="10"/>
  <c r="K114" i="10"/>
  <c r="E114" i="10"/>
  <c r="I114" i="10" s="1"/>
  <c r="L113" i="10"/>
  <c r="K113" i="10"/>
  <c r="E113" i="10"/>
  <c r="I113" i="10" s="1"/>
  <c r="L112" i="10"/>
  <c r="K112" i="10"/>
  <c r="I112" i="10"/>
  <c r="E112" i="10"/>
  <c r="L111" i="10"/>
  <c r="K111" i="10"/>
  <c r="E111" i="10"/>
  <c r="I111" i="10" s="1"/>
  <c r="L110" i="10"/>
  <c r="K110" i="10"/>
  <c r="E110" i="10"/>
  <c r="I110" i="10" s="1"/>
  <c r="L109" i="10"/>
  <c r="K109" i="10"/>
  <c r="E109" i="10"/>
  <c r="I109" i="10" s="1"/>
  <c r="L108" i="10"/>
  <c r="K108" i="10"/>
  <c r="I108" i="10"/>
  <c r="E108" i="10"/>
  <c r="L107" i="10"/>
  <c r="K107" i="10"/>
  <c r="E107" i="10"/>
  <c r="I107" i="10" s="1"/>
  <c r="L106" i="10"/>
  <c r="K106" i="10"/>
  <c r="E106" i="10"/>
  <c r="I106" i="10" s="1"/>
  <c r="L105" i="10"/>
  <c r="K105" i="10"/>
  <c r="I105" i="10"/>
  <c r="E105" i="10"/>
  <c r="L104" i="10"/>
  <c r="K104" i="10"/>
  <c r="E104" i="10"/>
  <c r="I104" i="10" s="1"/>
  <c r="L103" i="10"/>
  <c r="K103" i="10"/>
  <c r="I103" i="10"/>
  <c r="E103" i="10"/>
  <c r="L102" i="10"/>
  <c r="K102" i="10"/>
  <c r="E102" i="10"/>
  <c r="I102" i="10" s="1"/>
  <c r="L101" i="10"/>
  <c r="K101" i="10"/>
  <c r="E101" i="10"/>
  <c r="I101" i="10" s="1"/>
  <c r="L100" i="10"/>
  <c r="K100" i="10"/>
  <c r="I100" i="10"/>
  <c r="E100" i="10"/>
  <c r="L99" i="10"/>
  <c r="K99" i="10"/>
  <c r="I99" i="10"/>
  <c r="E99" i="10"/>
  <c r="L98" i="10"/>
  <c r="K98" i="10"/>
  <c r="E98" i="10"/>
  <c r="I98" i="10" s="1"/>
  <c r="L97" i="10"/>
  <c r="K97" i="10"/>
  <c r="I97" i="10"/>
  <c r="E97" i="10"/>
  <c r="L96" i="10"/>
  <c r="K96" i="10"/>
  <c r="E96" i="10"/>
  <c r="I96" i="10" s="1"/>
  <c r="L95" i="10"/>
  <c r="K95" i="10"/>
  <c r="I95" i="10"/>
  <c r="E95" i="10"/>
  <c r="L94" i="10"/>
  <c r="K94" i="10"/>
  <c r="I94" i="10"/>
  <c r="E94" i="10"/>
  <c r="L93" i="10"/>
  <c r="K93" i="10"/>
  <c r="E93" i="10"/>
  <c r="I93" i="10" s="1"/>
  <c r="L92" i="10"/>
  <c r="K92" i="10"/>
  <c r="E92" i="10"/>
  <c r="I92" i="10" s="1"/>
  <c r="L91" i="10"/>
  <c r="K91" i="10"/>
  <c r="E91" i="10"/>
  <c r="I91" i="10" s="1"/>
  <c r="L90" i="10"/>
  <c r="K90" i="10"/>
  <c r="E90" i="10"/>
  <c r="I90" i="10" s="1"/>
  <c r="L89" i="10"/>
  <c r="K89" i="10"/>
  <c r="E89" i="10"/>
  <c r="I89" i="10" s="1"/>
  <c r="L88" i="10"/>
  <c r="K88" i="10"/>
  <c r="E88" i="10"/>
  <c r="I88" i="10" s="1"/>
  <c r="L87" i="10"/>
  <c r="K87" i="10"/>
  <c r="E87" i="10"/>
  <c r="I87" i="10" s="1"/>
  <c r="L86" i="10"/>
  <c r="K86" i="10"/>
  <c r="E86" i="10"/>
  <c r="I86" i="10" s="1"/>
  <c r="L85" i="10"/>
  <c r="K85" i="10"/>
  <c r="E85" i="10"/>
  <c r="I85" i="10" s="1"/>
  <c r="L84" i="10"/>
  <c r="K84" i="10"/>
  <c r="E84" i="10"/>
  <c r="I84" i="10" s="1"/>
  <c r="L83" i="10"/>
  <c r="K83" i="10"/>
  <c r="E83" i="10"/>
  <c r="I83" i="10" s="1"/>
  <c r="L82" i="10"/>
  <c r="K82" i="10"/>
  <c r="E82" i="10"/>
  <c r="I82" i="10" s="1"/>
  <c r="L81" i="10"/>
  <c r="K81" i="10"/>
  <c r="E81" i="10"/>
  <c r="I81" i="10" s="1"/>
  <c r="L80" i="10"/>
  <c r="K80" i="10"/>
  <c r="E80" i="10"/>
  <c r="I80" i="10" s="1"/>
  <c r="L79" i="10"/>
  <c r="K79" i="10"/>
  <c r="E79" i="10"/>
  <c r="I79" i="10" s="1"/>
  <c r="L78" i="10"/>
  <c r="K78" i="10"/>
  <c r="E78" i="10"/>
  <c r="I78" i="10" s="1"/>
  <c r="L77" i="10"/>
  <c r="K77" i="10"/>
  <c r="E77" i="10"/>
  <c r="I77" i="10" s="1"/>
  <c r="L76" i="10"/>
  <c r="K76" i="10"/>
  <c r="E76" i="10"/>
  <c r="I76" i="10" s="1"/>
  <c r="L75" i="10"/>
  <c r="K75" i="10"/>
  <c r="E75" i="10"/>
  <c r="I75" i="10" s="1"/>
  <c r="L74" i="10"/>
  <c r="K74" i="10"/>
  <c r="E74" i="10"/>
  <c r="I74" i="10" s="1"/>
  <c r="L73" i="10"/>
  <c r="K73" i="10"/>
  <c r="E73" i="10"/>
  <c r="I73" i="10" s="1"/>
  <c r="L72" i="10"/>
  <c r="K72" i="10"/>
  <c r="E72" i="10"/>
  <c r="I72" i="10" s="1"/>
  <c r="L71" i="10"/>
  <c r="K71" i="10"/>
  <c r="E71" i="10"/>
  <c r="I71" i="10" s="1"/>
  <c r="L70" i="10"/>
  <c r="K70" i="10"/>
  <c r="E70" i="10"/>
  <c r="I70" i="10" s="1"/>
  <c r="L69" i="10"/>
  <c r="K69" i="10"/>
  <c r="E69" i="10"/>
  <c r="I69" i="10" s="1"/>
  <c r="L68" i="10"/>
  <c r="K68" i="10"/>
  <c r="E68" i="10"/>
  <c r="I68" i="10" s="1"/>
  <c r="L67" i="10"/>
  <c r="K67" i="10"/>
  <c r="E67" i="10"/>
  <c r="I67" i="10" s="1"/>
  <c r="L66" i="10"/>
  <c r="K66" i="10"/>
  <c r="E66" i="10"/>
  <c r="I66" i="10" s="1"/>
  <c r="L65" i="10"/>
  <c r="K65" i="10"/>
  <c r="E65" i="10"/>
  <c r="I65" i="10" s="1"/>
  <c r="L64" i="10"/>
  <c r="K64" i="10"/>
  <c r="E64" i="10"/>
  <c r="I64" i="10" s="1"/>
  <c r="L63" i="10"/>
  <c r="K63" i="10"/>
  <c r="E63" i="10"/>
  <c r="I63" i="10" s="1"/>
  <c r="L62" i="10"/>
  <c r="K62" i="10"/>
  <c r="E62" i="10"/>
  <c r="I62" i="10" s="1"/>
  <c r="L61" i="10"/>
  <c r="K61" i="10"/>
  <c r="E61" i="10"/>
  <c r="I61" i="10" s="1"/>
  <c r="L60" i="10"/>
  <c r="K60" i="10"/>
  <c r="E60" i="10"/>
  <c r="I60" i="10" s="1"/>
  <c r="L59" i="10"/>
  <c r="K59" i="10"/>
  <c r="E59" i="10"/>
  <c r="I59" i="10" s="1"/>
  <c r="L58" i="10"/>
  <c r="K58" i="10"/>
  <c r="E58" i="10"/>
  <c r="I58" i="10" s="1"/>
  <c r="L57" i="10"/>
  <c r="K57" i="10"/>
  <c r="E57" i="10"/>
  <c r="I57" i="10" s="1"/>
  <c r="L56" i="10"/>
  <c r="K56" i="10"/>
  <c r="E56" i="10"/>
  <c r="I56" i="10" s="1"/>
  <c r="L55" i="10"/>
  <c r="K55" i="10"/>
  <c r="E55" i="10"/>
  <c r="I55" i="10" s="1"/>
  <c r="L54" i="10"/>
  <c r="K54" i="10"/>
  <c r="E54" i="10"/>
  <c r="I54" i="10" s="1"/>
  <c r="L53" i="10"/>
  <c r="K53" i="10"/>
  <c r="E53" i="10"/>
  <c r="I53" i="10" s="1"/>
  <c r="L52" i="10"/>
  <c r="K52" i="10"/>
  <c r="E52" i="10"/>
  <c r="I52" i="10" s="1"/>
  <c r="L51" i="10"/>
  <c r="K51" i="10"/>
  <c r="E51" i="10"/>
  <c r="I51" i="10" s="1"/>
  <c r="L50" i="10"/>
  <c r="K50" i="10"/>
  <c r="E50" i="10"/>
  <c r="I50" i="10" s="1"/>
  <c r="L49" i="10"/>
  <c r="K49" i="10"/>
  <c r="E49" i="10"/>
  <c r="I49" i="10" s="1"/>
  <c r="L48" i="10"/>
  <c r="K48" i="10"/>
  <c r="E48" i="10"/>
  <c r="I48" i="10" s="1"/>
  <c r="L47" i="10"/>
  <c r="K47" i="10"/>
  <c r="E47" i="10"/>
  <c r="I47" i="10" s="1"/>
  <c r="L46" i="10"/>
  <c r="K46" i="10"/>
  <c r="E46" i="10"/>
  <c r="I46" i="10" s="1"/>
  <c r="L45" i="10"/>
  <c r="K45" i="10"/>
  <c r="E45" i="10"/>
  <c r="I45" i="10" s="1"/>
  <c r="L44" i="10"/>
  <c r="K44" i="10"/>
  <c r="E44" i="10"/>
  <c r="I44" i="10" s="1"/>
  <c r="L43" i="10"/>
  <c r="K43" i="10"/>
  <c r="E43" i="10"/>
  <c r="I43" i="10" s="1"/>
  <c r="L42" i="10"/>
  <c r="K42" i="10"/>
  <c r="E42" i="10"/>
  <c r="I42" i="10" s="1"/>
  <c r="L41" i="10"/>
  <c r="K41" i="10"/>
  <c r="E41" i="10"/>
  <c r="I41" i="10" s="1"/>
  <c r="L40" i="10"/>
  <c r="K40" i="10"/>
  <c r="E40" i="10"/>
  <c r="I40" i="10" s="1"/>
  <c r="L39" i="10"/>
  <c r="K39" i="10"/>
  <c r="E39" i="10"/>
  <c r="I39" i="10" s="1"/>
  <c r="L38" i="10"/>
  <c r="K38" i="10"/>
  <c r="E38" i="10"/>
  <c r="I38" i="10" s="1"/>
  <c r="L37" i="10"/>
  <c r="K37" i="10"/>
  <c r="E37" i="10"/>
  <c r="I37" i="10" s="1"/>
  <c r="L36" i="10"/>
  <c r="K36" i="10"/>
  <c r="E36" i="10"/>
  <c r="I36" i="10" s="1"/>
  <c r="L35" i="10"/>
  <c r="K35" i="10"/>
  <c r="E35" i="10"/>
  <c r="I35" i="10" s="1"/>
  <c r="L34" i="10"/>
  <c r="K34" i="10"/>
  <c r="E34" i="10"/>
  <c r="I34" i="10" s="1"/>
  <c r="L33" i="10"/>
  <c r="K33" i="10"/>
  <c r="E33" i="10"/>
  <c r="I33" i="10" s="1"/>
  <c r="L32" i="10"/>
  <c r="K32" i="10"/>
  <c r="E32" i="10"/>
  <c r="I32" i="10" s="1"/>
  <c r="L31" i="10"/>
  <c r="K31" i="10"/>
  <c r="E31" i="10"/>
  <c r="I31" i="10" s="1"/>
  <c r="L30" i="10"/>
  <c r="K30" i="10"/>
  <c r="E30" i="10"/>
  <c r="I30" i="10" s="1"/>
  <c r="L29" i="10"/>
  <c r="K29" i="10"/>
  <c r="E29" i="10"/>
  <c r="I29" i="10" s="1"/>
  <c r="L28" i="10"/>
  <c r="K28" i="10"/>
  <c r="E28" i="10"/>
  <c r="I28" i="10" s="1"/>
  <c r="L27" i="10"/>
  <c r="K27" i="10"/>
  <c r="E27" i="10"/>
  <c r="I27" i="10" s="1"/>
  <c r="L26" i="10"/>
  <c r="K26" i="10"/>
  <c r="E26" i="10"/>
  <c r="I26" i="10" s="1"/>
  <c r="L25" i="10"/>
  <c r="K25" i="10"/>
  <c r="E25" i="10"/>
  <c r="I25" i="10" s="1"/>
  <c r="L24" i="10"/>
  <c r="K24" i="10"/>
  <c r="E24" i="10"/>
  <c r="I24" i="10" s="1"/>
  <c r="L23" i="10"/>
  <c r="K23" i="10"/>
  <c r="E23" i="10"/>
  <c r="I23" i="10" s="1"/>
  <c r="L22" i="10"/>
  <c r="K22" i="10"/>
  <c r="E22" i="10"/>
  <c r="I22" i="10" s="1"/>
  <c r="L21" i="10"/>
  <c r="K21" i="10"/>
  <c r="E21" i="10"/>
  <c r="I21" i="10" s="1"/>
  <c r="L20" i="10"/>
  <c r="K20" i="10"/>
  <c r="E20" i="10"/>
  <c r="I20" i="10" s="1"/>
  <c r="L19" i="10"/>
  <c r="K19" i="10"/>
  <c r="E19" i="10"/>
  <c r="I19" i="10" s="1"/>
  <c r="L18" i="10"/>
  <c r="K18" i="10"/>
  <c r="E18" i="10"/>
  <c r="I18" i="10" s="1"/>
  <c r="L17" i="10"/>
  <c r="K17" i="10"/>
  <c r="E17" i="10"/>
  <c r="I17" i="10" s="1"/>
  <c r="L16" i="10"/>
  <c r="K16" i="10"/>
  <c r="E16" i="10"/>
  <c r="I16" i="10" s="1"/>
  <c r="L15" i="10"/>
  <c r="K15" i="10"/>
  <c r="E15" i="10"/>
  <c r="I15" i="10" s="1"/>
  <c r="L14" i="10"/>
  <c r="K14" i="10"/>
  <c r="E14" i="10"/>
  <c r="I14" i="10" s="1"/>
  <c r="L13" i="10"/>
  <c r="K13" i="10"/>
  <c r="E13" i="10"/>
  <c r="I13" i="10" s="1"/>
  <c r="L12" i="10"/>
  <c r="K12" i="10"/>
  <c r="E12" i="10"/>
  <c r="I12" i="10" s="1"/>
  <c r="L11" i="10"/>
  <c r="K11" i="10"/>
  <c r="E11" i="10"/>
  <c r="I11" i="10" s="1"/>
  <c r="L10" i="10"/>
  <c r="K10" i="10"/>
  <c r="E10" i="10"/>
  <c r="I10" i="10" s="1"/>
  <c r="L9" i="10"/>
  <c r="K9" i="10"/>
  <c r="E9" i="10"/>
  <c r="I9" i="10" s="1"/>
  <c r="L8" i="10"/>
  <c r="K8" i="10"/>
  <c r="E8" i="10"/>
  <c r="I8" i="10" s="1"/>
  <c r="L7" i="10"/>
  <c r="K7" i="10"/>
  <c r="E7" i="10"/>
  <c r="I7" i="10" s="1"/>
  <c r="L6" i="10"/>
  <c r="K6" i="10"/>
  <c r="E6" i="10"/>
  <c r="I6" i="10" s="1"/>
  <c r="L5" i="10"/>
  <c r="K5" i="10"/>
  <c r="E5" i="10"/>
  <c r="I5" i="10" s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I121" i="1"/>
  <c r="I122" i="1"/>
  <c r="I123" i="1"/>
  <c r="I124" i="1"/>
  <c r="I125" i="1"/>
  <c r="I126" i="1"/>
  <c r="I127" i="1"/>
  <c r="I128" i="1"/>
  <c r="I353" i="1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18" i="1"/>
  <c r="I18" i="1" s="1"/>
  <c r="E19" i="1"/>
  <c r="I19" i="1" s="1"/>
  <c r="E20" i="1"/>
  <c r="I20" i="1" s="1"/>
  <c r="E21" i="1"/>
  <c r="I21" i="1" s="1"/>
  <c r="E22" i="1"/>
  <c r="I22" i="1" s="1"/>
  <c r="E23" i="1"/>
  <c r="I23" i="1" s="1"/>
  <c r="E24" i="1"/>
  <c r="I24" i="1" s="1"/>
  <c r="E25" i="1"/>
  <c r="I25" i="1" s="1"/>
  <c r="E26" i="1"/>
  <c r="I26" i="1" s="1"/>
  <c r="E27" i="1"/>
  <c r="I27" i="1" s="1"/>
  <c r="E28" i="1"/>
  <c r="I28" i="1" s="1"/>
  <c r="E29" i="1"/>
  <c r="I29" i="1" s="1"/>
  <c r="E30" i="1"/>
  <c r="I30" i="1" s="1"/>
  <c r="E31" i="1"/>
  <c r="I31" i="1" s="1"/>
  <c r="E32" i="1"/>
  <c r="I32" i="1" s="1"/>
  <c r="E33" i="1"/>
  <c r="I33" i="1" s="1"/>
  <c r="E34" i="1"/>
  <c r="I34" i="1" s="1"/>
  <c r="E35" i="1"/>
  <c r="I35" i="1" s="1"/>
  <c r="E36" i="1"/>
  <c r="I36" i="1" s="1"/>
  <c r="E37" i="1"/>
  <c r="I37" i="1" s="1"/>
  <c r="E38" i="1"/>
  <c r="I38" i="1" s="1"/>
  <c r="E39" i="1"/>
  <c r="I39" i="1" s="1"/>
  <c r="E40" i="1"/>
  <c r="I40" i="1" s="1"/>
  <c r="E41" i="1"/>
  <c r="I41" i="1" s="1"/>
  <c r="E42" i="1"/>
  <c r="I42" i="1" s="1"/>
  <c r="E43" i="1"/>
  <c r="I43" i="1" s="1"/>
  <c r="E44" i="1"/>
  <c r="I44" i="1" s="1"/>
  <c r="E45" i="1"/>
  <c r="I45" i="1" s="1"/>
  <c r="E46" i="1"/>
  <c r="I46" i="1" s="1"/>
  <c r="E47" i="1"/>
  <c r="I47" i="1" s="1"/>
  <c r="E48" i="1"/>
  <c r="I48" i="1" s="1"/>
  <c r="E49" i="1"/>
  <c r="I49" i="1" s="1"/>
  <c r="E50" i="1"/>
  <c r="I50" i="1" s="1"/>
  <c r="E51" i="1"/>
  <c r="I51" i="1" s="1"/>
  <c r="E52" i="1"/>
  <c r="I52" i="1" s="1"/>
  <c r="E53" i="1"/>
  <c r="I53" i="1" s="1"/>
  <c r="E54" i="1"/>
  <c r="I54" i="1" s="1"/>
  <c r="E55" i="1"/>
  <c r="I55" i="1" s="1"/>
  <c r="E56" i="1"/>
  <c r="I56" i="1" s="1"/>
  <c r="E57" i="1"/>
  <c r="I57" i="1" s="1"/>
  <c r="E58" i="1"/>
  <c r="I58" i="1" s="1"/>
  <c r="E59" i="1"/>
  <c r="I59" i="1" s="1"/>
  <c r="E60" i="1"/>
  <c r="I60" i="1" s="1"/>
  <c r="E61" i="1"/>
  <c r="I61" i="1" s="1"/>
  <c r="E62" i="1"/>
  <c r="I62" i="1" s="1"/>
  <c r="E63" i="1"/>
  <c r="I63" i="1" s="1"/>
  <c r="E64" i="1"/>
  <c r="I64" i="1" s="1"/>
  <c r="E65" i="1"/>
  <c r="I65" i="1" s="1"/>
  <c r="E66" i="1"/>
  <c r="I66" i="1" s="1"/>
  <c r="E67" i="1"/>
  <c r="I67" i="1" s="1"/>
  <c r="E68" i="1"/>
  <c r="I68" i="1" s="1"/>
  <c r="E69" i="1"/>
  <c r="I69" i="1" s="1"/>
  <c r="E70" i="1"/>
  <c r="I70" i="1" s="1"/>
  <c r="E71" i="1"/>
  <c r="I71" i="1" s="1"/>
  <c r="E72" i="1"/>
  <c r="I72" i="1" s="1"/>
  <c r="E73" i="1"/>
  <c r="I73" i="1" s="1"/>
  <c r="E74" i="1"/>
  <c r="I74" i="1" s="1"/>
  <c r="E75" i="1"/>
  <c r="I75" i="1" s="1"/>
  <c r="E76" i="1"/>
  <c r="I76" i="1" s="1"/>
  <c r="E77" i="1"/>
  <c r="I77" i="1" s="1"/>
  <c r="E78" i="1"/>
  <c r="I78" i="1" s="1"/>
  <c r="E79" i="1"/>
  <c r="I79" i="1" s="1"/>
  <c r="E80" i="1"/>
  <c r="I80" i="1" s="1"/>
  <c r="E81" i="1"/>
  <c r="I81" i="1" s="1"/>
  <c r="E82" i="1"/>
  <c r="I82" i="1" s="1"/>
  <c r="E83" i="1"/>
  <c r="I83" i="1" s="1"/>
  <c r="E84" i="1"/>
  <c r="I84" i="1" s="1"/>
  <c r="E85" i="1"/>
  <c r="I85" i="1" s="1"/>
  <c r="E86" i="1"/>
  <c r="I86" i="1" s="1"/>
  <c r="E87" i="1"/>
  <c r="I87" i="1" s="1"/>
  <c r="E88" i="1"/>
  <c r="I88" i="1" s="1"/>
  <c r="E89" i="1"/>
  <c r="I89" i="1" s="1"/>
  <c r="E90" i="1"/>
  <c r="I90" i="1" s="1"/>
  <c r="E91" i="1"/>
  <c r="I91" i="1" s="1"/>
  <c r="E92" i="1"/>
  <c r="I92" i="1" s="1"/>
  <c r="E93" i="1"/>
  <c r="I93" i="1" s="1"/>
  <c r="E94" i="1"/>
  <c r="I94" i="1" s="1"/>
  <c r="E95" i="1"/>
  <c r="I95" i="1" s="1"/>
  <c r="E96" i="1"/>
  <c r="I96" i="1" s="1"/>
  <c r="E97" i="1"/>
  <c r="I97" i="1" s="1"/>
  <c r="E98" i="1"/>
  <c r="I98" i="1" s="1"/>
  <c r="E99" i="1"/>
  <c r="I99" i="1" s="1"/>
  <c r="E100" i="1"/>
  <c r="I100" i="1" s="1"/>
  <c r="E101" i="1"/>
  <c r="I101" i="1" s="1"/>
  <c r="E102" i="1"/>
  <c r="I102" i="1" s="1"/>
  <c r="E103" i="1"/>
  <c r="I103" i="1" s="1"/>
  <c r="E104" i="1"/>
  <c r="I104" i="1" s="1"/>
  <c r="E105" i="1"/>
  <c r="I105" i="1" s="1"/>
  <c r="E106" i="1"/>
  <c r="I106" i="1" s="1"/>
  <c r="E107" i="1"/>
  <c r="I107" i="1" s="1"/>
  <c r="E108" i="1"/>
  <c r="I108" i="1" s="1"/>
  <c r="E109" i="1"/>
  <c r="I109" i="1" s="1"/>
  <c r="E110" i="1"/>
  <c r="I110" i="1" s="1"/>
  <c r="E111" i="1"/>
  <c r="I111" i="1" s="1"/>
  <c r="E112" i="1"/>
  <c r="I112" i="1" s="1"/>
  <c r="E113" i="1"/>
  <c r="I113" i="1" s="1"/>
  <c r="E114" i="1"/>
  <c r="I114" i="1" s="1"/>
  <c r="E115" i="1"/>
  <c r="I115" i="1" s="1"/>
  <c r="E116" i="1"/>
  <c r="I116" i="1" s="1"/>
  <c r="E117" i="1"/>
  <c r="I117" i="1" s="1"/>
  <c r="E118" i="1"/>
  <c r="I118" i="1" s="1"/>
  <c r="E119" i="1"/>
  <c r="I119" i="1" s="1"/>
  <c r="E120" i="1"/>
  <c r="I120" i="1" s="1"/>
  <c r="E121" i="1"/>
  <c r="E122" i="1"/>
  <c r="E123" i="1"/>
  <c r="E124" i="1"/>
  <c r="E125" i="1"/>
  <c r="E126" i="1"/>
  <c r="E127" i="1"/>
  <c r="E128" i="1"/>
  <c r="E129" i="1"/>
  <c r="I129" i="1" s="1"/>
  <c r="E130" i="1"/>
  <c r="I130" i="1" s="1"/>
  <c r="E131" i="1"/>
  <c r="I131" i="1" s="1"/>
  <c r="E132" i="1"/>
  <c r="I132" i="1" s="1"/>
  <c r="E133" i="1"/>
  <c r="I133" i="1" s="1"/>
  <c r="E134" i="1"/>
  <c r="I134" i="1" s="1"/>
  <c r="E135" i="1"/>
  <c r="I135" i="1" s="1"/>
  <c r="E136" i="1"/>
  <c r="I136" i="1" s="1"/>
  <c r="E137" i="1"/>
  <c r="I137" i="1" s="1"/>
  <c r="E138" i="1"/>
  <c r="I138" i="1" s="1"/>
  <c r="E139" i="1"/>
  <c r="I139" i="1" s="1"/>
  <c r="E140" i="1"/>
  <c r="I140" i="1" s="1"/>
  <c r="E141" i="1"/>
  <c r="I141" i="1" s="1"/>
  <c r="E142" i="1"/>
  <c r="I142" i="1" s="1"/>
  <c r="E143" i="1"/>
  <c r="I143" i="1" s="1"/>
  <c r="E144" i="1"/>
  <c r="I144" i="1" s="1"/>
  <c r="E145" i="1"/>
  <c r="I145" i="1" s="1"/>
  <c r="E146" i="1"/>
  <c r="I146" i="1" s="1"/>
  <c r="E147" i="1"/>
  <c r="I147" i="1" s="1"/>
  <c r="E148" i="1"/>
  <c r="I148" i="1" s="1"/>
  <c r="E149" i="1"/>
  <c r="I149" i="1" s="1"/>
  <c r="E150" i="1"/>
  <c r="I150" i="1" s="1"/>
  <c r="E151" i="1"/>
  <c r="I151" i="1" s="1"/>
  <c r="E152" i="1"/>
  <c r="I152" i="1" s="1"/>
  <c r="E153" i="1"/>
  <c r="I153" i="1" s="1"/>
  <c r="E154" i="1"/>
  <c r="I154" i="1" s="1"/>
  <c r="E155" i="1"/>
  <c r="I155" i="1" s="1"/>
  <c r="E156" i="1"/>
  <c r="I156" i="1" s="1"/>
  <c r="E157" i="1"/>
  <c r="I157" i="1" s="1"/>
  <c r="E158" i="1"/>
  <c r="I158" i="1" s="1"/>
  <c r="E159" i="1"/>
  <c r="I159" i="1" s="1"/>
  <c r="E160" i="1"/>
  <c r="I160" i="1" s="1"/>
  <c r="E161" i="1"/>
  <c r="I161" i="1" s="1"/>
  <c r="E162" i="1"/>
  <c r="I162" i="1" s="1"/>
  <c r="E163" i="1"/>
  <c r="I163" i="1" s="1"/>
  <c r="E164" i="1"/>
  <c r="I164" i="1" s="1"/>
  <c r="E165" i="1"/>
  <c r="I165" i="1" s="1"/>
  <c r="E166" i="1"/>
  <c r="I166" i="1" s="1"/>
  <c r="E167" i="1"/>
  <c r="I167" i="1" s="1"/>
  <c r="E168" i="1"/>
  <c r="I168" i="1" s="1"/>
  <c r="E169" i="1"/>
  <c r="I169" i="1" s="1"/>
  <c r="E170" i="1"/>
  <c r="I170" i="1" s="1"/>
  <c r="E171" i="1"/>
  <c r="I171" i="1" s="1"/>
  <c r="E172" i="1"/>
  <c r="I172" i="1" s="1"/>
  <c r="E173" i="1"/>
  <c r="I173" i="1" s="1"/>
  <c r="E174" i="1"/>
  <c r="I174" i="1" s="1"/>
  <c r="E175" i="1"/>
  <c r="I175" i="1" s="1"/>
  <c r="E176" i="1"/>
  <c r="I176" i="1" s="1"/>
  <c r="E177" i="1"/>
  <c r="I177" i="1" s="1"/>
  <c r="E178" i="1"/>
  <c r="I178" i="1" s="1"/>
  <c r="E179" i="1"/>
  <c r="I179" i="1" s="1"/>
  <c r="E180" i="1"/>
  <c r="I180" i="1" s="1"/>
  <c r="E181" i="1"/>
  <c r="I181" i="1" s="1"/>
  <c r="E182" i="1"/>
  <c r="I182" i="1" s="1"/>
  <c r="E183" i="1"/>
  <c r="I183" i="1" s="1"/>
  <c r="E184" i="1"/>
  <c r="I184" i="1" s="1"/>
  <c r="E185" i="1"/>
  <c r="I185" i="1" s="1"/>
  <c r="E186" i="1"/>
  <c r="I186" i="1" s="1"/>
  <c r="E187" i="1"/>
  <c r="I187" i="1" s="1"/>
  <c r="E188" i="1"/>
  <c r="I188" i="1" s="1"/>
  <c r="E189" i="1"/>
  <c r="I189" i="1" s="1"/>
  <c r="E190" i="1"/>
  <c r="I190" i="1" s="1"/>
  <c r="E191" i="1"/>
  <c r="I191" i="1" s="1"/>
  <c r="E192" i="1"/>
  <c r="I192" i="1" s="1"/>
  <c r="E193" i="1"/>
  <c r="I193" i="1" s="1"/>
  <c r="E194" i="1"/>
  <c r="I194" i="1" s="1"/>
  <c r="E195" i="1"/>
  <c r="I195" i="1" s="1"/>
  <c r="E196" i="1"/>
  <c r="I196" i="1" s="1"/>
  <c r="E197" i="1"/>
  <c r="I197" i="1" s="1"/>
  <c r="E198" i="1"/>
  <c r="I198" i="1" s="1"/>
  <c r="E199" i="1"/>
  <c r="I199" i="1" s="1"/>
  <c r="E200" i="1"/>
  <c r="I200" i="1" s="1"/>
  <c r="E201" i="1"/>
  <c r="I201" i="1" s="1"/>
  <c r="E202" i="1"/>
  <c r="I202" i="1" s="1"/>
  <c r="E203" i="1"/>
  <c r="I203" i="1" s="1"/>
  <c r="E204" i="1"/>
  <c r="I204" i="1" s="1"/>
  <c r="E205" i="1"/>
  <c r="I205" i="1" s="1"/>
  <c r="E206" i="1"/>
  <c r="I206" i="1" s="1"/>
  <c r="E207" i="1"/>
  <c r="I207" i="1" s="1"/>
  <c r="E208" i="1"/>
  <c r="I208" i="1" s="1"/>
  <c r="E209" i="1"/>
  <c r="I209" i="1" s="1"/>
  <c r="E210" i="1"/>
  <c r="I210" i="1" s="1"/>
  <c r="E211" i="1"/>
  <c r="I211" i="1" s="1"/>
  <c r="E212" i="1"/>
  <c r="I212" i="1" s="1"/>
  <c r="E213" i="1"/>
  <c r="I213" i="1" s="1"/>
  <c r="E214" i="1"/>
  <c r="I214" i="1" s="1"/>
  <c r="E215" i="1"/>
  <c r="I215" i="1" s="1"/>
  <c r="E216" i="1"/>
  <c r="I216" i="1" s="1"/>
  <c r="E217" i="1"/>
  <c r="I217" i="1" s="1"/>
  <c r="E218" i="1"/>
  <c r="I218" i="1" s="1"/>
  <c r="E219" i="1"/>
  <c r="I219" i="1" s="1"/>
  <c r="E220" i="1"/>
  <c r="I220" i="1" s="1"/>
  <c r="E221" i="1"/>
  <c r="I221" i="1" s="1"/>
  <c r="E222" i="1"/>
  <c r="I222" i="1" s="1"/>
  <c r="E223" i="1"/>
  <c r="I223" i="1" s="1"/>
  <c r="E224" i="1"/>
  <c r="I224" i="1" s="1"/>
  <c r="E225" i="1"/>
  <c r="I225" i="1" s="1"/>
  <c r="E226" i="1"/>
  <c r="I226" i="1" s="1"/>
  <c r="E227" i="1"/>
  <c r="I227" i="1" s="1"/>
  <c r="E228" i="1"/>
  <c r="I228" i="1" s="1"/>
  <c r="E229" i="1"/>
  <c r="I229" i="1" s="1"/>
  <c r="E230" i="1"/>
  <c r="I230" i="1" s="1"/>
  <c r="E231" i="1"/>
  <c r="I231" i="1" s="1"/>
  <c r="E232" i="1"/>
  <c r="I232" i="1" s="1"/>
  <c r="E233" i="1"/>
  <c r="I233" i="1" s="1"/>
  <c r="E234" i="1"/>
  <c r="I234" i="1" s="1"/>
  <c r="E235" i="1"/>
  <c r="I235" i="1" s="1"/>
  <c r="E236" i="1"/>
  <c r="I236" i="1" s="1"/>
  <c r="E237" i="1"/>
  <c r="I237" i="1" s="1"/>
  <c r="E238" i="1"/>
  <c r="I238" i="1" s="1"/>
  <c r="E239" i="1"/>
  <c r="I239" i="1" s="1"/>
  <c r="E240" i="1"/>
  <c r="I240" i="1" s="1"/>
  <c r="E241" i="1"/>
  <c r="I241" i="1" s="1"/>
  <c r="E242" i="1"/>
  <c r="I242" i="1" s="1"/>
  <c r="E243" i="1"/>
  <c r="I243" i="1" s="1"/>
  <c r="E244" i="1"/>
  <c r="I244" i="1" s="1"/>
  <c r="E245" i="1"/>
  <c r="I245" i="1" s="1"/>
  <c r="E246" i="1"/>
  <c r="I246" i="1" s="1"/>
  <c r="E247" i="1"/>
  <c r="I247" i="1" s="1"/>
  <c r="E248" i="1"/>
  <c r="I248" i="1" s="1"/>
  <c r="E249" i="1"/>
  <c r="I249" i="1" s="1"/>
  <c r="E250" i="1"/>
  <c r="I250" i="1" s="1"/>
  <c r="E251" i="1"/>
  <c r="I251" i="1" s="1"/>
  <c r="E252" i="1"/>
  <c r="I252" i="1" s="1"/>
  <c r="E253" i="1"/>
  <c r="I253" i="1" s="1"/>
  <c r="E254" i="1"/>
  <c r="I254" i="1" s="1"/>
  <c r="E255" i="1"/>
  <c r="I255" i="1" s="1"/>
  <c r="E256" i="1"/>
  <c r="I256" i="1" s="1"/>
  <c r="E257" i="1"/>
  <c r="I257" i="1" s="1"/>
  <c r="E258" i="1"/>
  <c r="I258" i="1" s="1"/>
  <c r="E259" i="1"/>
  <c r="I259" i="1" s="1"/>
  <c r="E260" i="1"/>
  <c r="I260" i="1" s="1"/>
  <c r="E261" i="1"/>
  <c r="I261" i="1" s="1"/>
  <c r="E262" i="1"/>
  <c r="I262" i="1" s="1"/>
  <c r="E263" i="1"/>
  <c r="I263" i="1" s="1"/>
  <c r="E264" i="1"/>
  <c r="I264" i="1" s="1"/>
  <c r="E265" i="1"/>
  <c r="I265" i="1" s="1"/>
  <c r="E266" i="1"/>
  <c r="I266" i="1" s="1"/>
  <c r="E267" i="1"/>
  <c r="I267" i="1" s="1"/>
  <c r="E268" i="1"/>
  <c r="I268" i="1" s="1"/>
  <c r="E269" i="1"/>
  <c r="I269" i="1" s="1"/>
  <c r="E270" i="1"/>
  <c r="I270" i="1" s="1"/>
  <c r="E271" i="1"/>
  <c r="I271" i="1" s="1"/>
  <c r="E272" i="1"/>
  <c r="I272" i="1" s="1"/>
  <c r="E273" i="1"/>
  <c r="I273" i="1" s="1"/>
  <c r="E274" i="1"/>
  <c r="I274" i="1" s="1"/>
  <c r="E275" i="1"/>
  <c r="I275" i="1" s="1"/>
  <c r="E276" i="1"/>
  <c r="I276" i="1" s="1"/>
  <c r="E277" i="1"/>
  <c r="I277" i="1" s="1"/>
  <c r="E278" i="1"/>
  <c r="I278" i="1" s="1"/>
  <c r="E279" i="1"/>
  <c r="I279" i="1" s="1"/>
  <c r="E280" i="1"/>
  <c r="I280" i="1" s="1"/>
  <c r="E281" i="1"/>
  <c r="I281" i="1" s="1"/>
  <c r="E282" i="1"/>
  <c r="I282" i="1" s="1"/>
  <c r="E283" i="1"/>
  <c r="I283" i="1" s="1"/>
  <c r="E284" i="1"/>
  <c r="I284" i="1" s="1"/>
  <c r="E285" i="1"/>
  <c r="I285" i="1" s="1"/>
  <c r="E286" i="1"/>
  <c r="I286" i="1" s="1"/>
  <c r="E287" i="1"/>
  <c r="I287" i="1" s="1"/>
  <c r="E288" i="1"/>
  <c r="I288" i="1" s="1"/>
  <c r="E289" i="1"/>
  <c r="I289" i="1" s="1"/>
  <c r="E290" i="1"/>
  <c r="I290" i="1" s="1"/>
  <c r="E291" i="1"/>
  <c r="I291" i="1" s="1"/>
  <c r="E292" i="1"/>
  <c r="I292" i="1" s="1"/>
  <c r="E293" i="1"/>
  <c r="I293" i="1" s="1"/>
  <c r="E294" i="1"/>
  <c r="I294" i="1" s="1"/>
  <c r="E295" i="1"/>
  <c r="I295" i="1" s="1"/>
  <c r="E296" i="1"/>
  <c r="I296" i="1" s="1"/>
  <c r="E297" i="1"/>
  <c r="I297" i="1" s="1"/>
  <c r="E298" i="1"/>
  <c r="I298" i="1" s="1"/>
  <c r="E299" i="1"/>
  <c r="I299" i="1" s="1"/>
  <c r="E300" i="1"/>
  <c r="I300" i="1" s="1"/>
  <c r="E301" i="1"/>
  <c r="I301" i="1" s="1"/>
  <c r="E302" i="1"/>
  <c r="I302" i="1" s="1"/>
  <c r="E303" i="1"/>
  <c r="I303" i="1" s="1"/>
  <c r="E304" i="1"/>
  <c r="I304" i="1" s="1"/>
  <c r="E305" i="1"/>
  <c r="I305" i="1" s="1"/>
  <c r="E306" i="1"/>
  <c r="I306" i="1" s="1"/>
  <c r="E307" i="1"/>
  <c r="I307" i="1" s="1"/>
  <c r="E308" i="1"/>
  <c r="I308" i="1" s="1"/>
  <c r="E309" i="1"/>
  <c r="I309" i="1" s="1"/>
  <c r="E310" i="1"/>
  <c r="I310" i="1" s="1"/>
  <c r="E311" i="1"/>
  <c r="I311" i="1" s="1"/>
  <c r="E312" i="1"/>
  <c r="I312" i="1" s="1"/>
  <c r="E313" i="1"/>
  <c r="I313" i="1" s="1"/>
  <c r="E314" i="1"/>
  <c r="I314" i="1" s="1"/>
  <c r="E315" i="1"/>
  <c r="I315" i="1" s="1"/>
  <c r="E316" i="1"/>
  <c r="I316" i="1" s="1"/>
  <c r="E317" i="1"/>
  <c r="I317" i="1" s="1"/>
  <c r="E318" i="1"/>
  <c r="I318" i="1" s="1"/>
  <c r="E319" i="1"/>
  <c r="I319" i="1" s="1"/>
  <c r="E320" i="1"/>
  <c r="I320" i="1" s="1"/>
  <c r="E321" i="1"/>
  <c r="I321" i="1" s="1"/>
  <c r="E322" i="1"/>
  <c r="I322" i="1" s="1"/>
  <c r="E323" i="1"/>
  <c r="I323" i="1" s="1"/>
  <c r="E324" i="1"/>
  <c r="I324" i="1" s="1"/>
  <c r="E325" i="1"/>
  <c r="I325" i="1" s="1"/>
  <c r="E326" i="1"/>
  <c r="I326" i="1" s="1"/>
  <c r="E327" i="1"/>
  <c r="I327" i="1" s="1"/>
  <c r="E328" i="1"/>
  <c r="I328" i="1" s="1"/>
  <c r="E329" i="1"/>
  <c r="I329" i="1" s="1"/>
  <c r="E330" i="1"/>
  <c r="I330" i="1" s="1"/>
  <c r="E331" i="1"/>
  <c r="I331" i="1" s="1"/>
  <c r="E332" i="1"/>
  <c r="I332" i="1" s="1"/>
  <c r="E333" i="1"/>
  <c r="I333" i="1" s="1"/>
  <c r="E334" i="1"/>
  <c r="I334" i="1" s="1"/>
  <c r="E335" i="1"/>
  <c r="I335" i="1" s="1"/>
  <c r="E336" i="1"/>
  <c r="I336" i="1" s="1"/>
  <c r="E337" i="1"/>
  <c r="I337" i="1" s="1"/>
  <c r="E338" i="1"/>
  <c r="I338" i="1" s="1"/>
  <c r="E339" i="1"/>
  <c r="I339" i="1" s="1"/>
  <c r="E340" i="1"/>
  <c r="I340" i="1" s="1"/>
  <c r="E341" i="1"/>
  <c r="I341" i="1" s="1"/>
  <c r="E342" i="1"/>
  <c r="I342" i="1" s="1"/>
  <c r="E343" i="1"/>
  <c r="I343" i="1" s="1"/>
  <c r="E344" i="1"/>
  <c r="I344" i="1" s="1"/>
  <c r="E345" i="1"/>
  <c r="I345" i="1" s="1"/>
  <c r="E346" i="1"/>
  <c r="I346" i="1" s="1"/>
  <c r="E347" i="1"/>
  <c r="I347" i="1" s="1"/>
  <c r="E348" i="1"/>
  <c r="I348" i="1" s="1"/>
  <c r="E349" i="1"/>
  <c r="I349" i="1" s="1"/>
  <c r="E350" i="1"/>
  <c r="I350" i="1" s="1"/>
  <c r="E351" i="1"/>
  <c r="I351" i="1" s="1"/>
  <c r="E352" i="1"/>
  <c r="I352" i="1" s="1"/>
  <c r="E353" i="1"/>
  <c r="E354" i="1"/>
  <c r="I354" i="1" s="1"/>
  <c r="E355" i="1"/>
  <c r="I355" i="1" s="1"/>
  <c r="E356" i="1"/>
  <c r="I356" i="1" s="1"/>
  <c r="E357" i="1"/>
  <c r="I357" i="1" s="1"/>
  <c r="E358" i="1"/>
  <c r="I358" i="1" s="1"/>
  <c r="E359" i="1"/>
  <c r="I359" i="1" s="1"/>
  <c r="E360" i="1"/>
  <c r="I360" i="1" s="1"/>
  <c r="E361" i="1"/>
  <c r="I361" i="1" s="1"/>
  <c r="E362" i="1"/>
  <c r="I362" i="1" s="1"/>
  <c r="E363" i="1"/>
  <c r="I363" i="1" s="1"/>
  <c r="E364" i="1"/>
  <c r="I364" i="1" s="1"/>
  <c r="E365" i="1"/>
  <c r="I365" i="1" s="1"/>
  <c r="E366" i="1"/>
  <c r="I366" i="1" s="1"/>
  <c r="E367" i="1"/>
  <c r="I367" i="1" s="1"/>
  <c r="E368" i="1"/>
  <c r="I368" i="1" s="1"/>
  <c r="E369" i="1"/>
  <c r="I369" i="1" s="1"/>
  <c r="E370" i="1"/>
  <c r="I370" i="1" s="1"/>
  <c r="E371" i="1"/>
  <c r="I371" i="1" s="1"/>
  <c r="E372" i="1"/>
  <c r="I372" i="1" s="1"/>
  <c r="E373" i="1"/>
  <c r="I373" i="1" s="1"/>
  <c r="E374" i="1"/>
  <c r="I374" i="1" s="1"/>
  <c r="E375" i="1"/>
  <c r="I375" i="1" s="1"/>
  <c r="E376" i="1"/>
  <c r="I376" i="1" s="1"/>
  <c r="E377" i="1"/>
  <c r="I377" i="1" s="1"/>
  <c r="E378" i="1"/>
  <c r="I378" i="1" s="1"/>
  <c r="E379" i="1"/>
  <c r="I379" i="1" s="1"/>
  <c r="E380" i="1"/>
  <c r="I380" i="1" s="1"/>
  <c r="E381" i="1"/>
  <c r="I381" i="1" s="1"/>
  <c r="E382" i="1"/>
  <c r="I382" i="1" s="1"/>
  <c r="E383" i="1"/>
  <c r="I383" i="1" s="1"/>
  <c r="E384" i="1"/>
  <c r="I384" i="1" s="1"/>
  <c r="E385" i="1"/>
  <c r="I385" i="1" s="1"/>
  <c r="E386" i="1"/>
  <c r="I386" i="1" s="1"/>
  <c r="E387" i="1"/>
  <c r="I387" i="1" s="1"/>
  <c r="E388" i="1"/>
  <c r="I388" i="1" s="1"/>
  <c r="E389" i="1"/>
  <c r="I389" i="1" s="1"/>
  <c r="E390" i="1"/>
  <c r="I390" i="1" s="1"/>
  <c r="E391" i="1"/>
  <c r="I391" i="1" s="1"/>
  <c r="E392" i="1"/>
  <c r="I392" i="1" s="1"/>
  <c r="E393" i="1"/>
  <c r="I393" i="1" s="1"/>
  <c r="E394" i="1"/>
  <c r="I394" i="1" s="1"/>
  <c r="E395" i="1"/>
  <c r="I395" i="1" s="1"/>
  <c r="E396" i="1"/>
  <c r="I396" i="1" s="1"/>
  <c r="E397" i="1"/>
  <c r="I397" i="1" s="1"/>
  <c r="E398" i="1"/>
  <c r="I398" i="1" s="1"/>
  <c r="E399" i="1"/>
  <c r="I399" i="1" s="1"/>
  <c r="E400" i="1"/>
  <c r="I400" i="1" s="1"/>
  <c r="E401" i="1"/>
  <c r="I401" i="1" s="1"/>
  <c r="E402" i="1"/>
  <c r="I402" i="1" s="1"/>
  <c r="E403" i="1"/>
  <c r="I403" i="1" s="1"/>
  <c r="E404" i="1"/>
  <c r="I404" i="1" s="1"/>
  <c r="E405" i="1"/>
  <c r="I405" i="1" s="1"/>
  <c r="E406" i="1"/>
  <c r="I406" i="1" s="1"/>
  <c r="E407" i="1"/>
  <c r="I407" i="1" s="1"/>
  <c r="E408" i="1"/>
  <c r="I408" i="1" s="1"/>
  <c r="E409" i="1"/>
  <c r="I409" i="1" s="1"/>
  <c r="E410" i="1"/>
  <c r="I410" i="1" s="1"/>
  <c r="E411" i="1"/>
  <c r="I411" i="1" s="1"/>
  <c r="E412" i="1"/>
  <c r="I412" i="1" s="1"/>
  <c r="E413" i="1"/>
  <c r="I413" i="1" s="1"/>
  <c r="E414" i="1"/>
  <c r="I414" i="1" s="1"/>
  <c r="E415" i="1"/>
  <c r="I415" i="1" s="1"/>
  <c r="E416" i="1"/>
  <c r="I416" i="1" s="1"/>
  <c r="E417" i="1"/>
  <c r="I417" i="1" s="1"/>
  <c r="E418" i="1"/>
  <c r="I418" i="1" s="1"/>
  <c r="E419" i="1"/>
  <c r="I419" i="1" s="1"/>
  <c r="E420" i="1"/>
  <c r="I420" i="1" s="1"/>
  <c r="E421" i="1"/>
  <c r="I421" i="1" s="1"/>
  <c r="E422" i="1"/>
  <c r="I422" i="1" s="1"/>
  <c r="E423" i="1"/>
  <c r="I423" i="1" s="1"/>
  <c r="E424" i="1"/>
  <c r="I424" i="1" s="1"/>
  <c r="E425" i="1"/>
  <c r="I425" i="1" s="1"/>
  <c r="E426" i="1"/>
  <c r="I426" i="1" s="1"/>
  <c r="E427" i="1"/>
  <c r="I427" i="1" s="1"/>
  <c r="E428" i="1"/>
  <c r="I428" i="1" s="1"/>
  <c r="E429" i="1"/>
  <c r="I429" i="1" s="1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1" i="4"/>
  <c r="H10" i="4"/>
  <c r="H9" i="4"/>
  <c r="H8" i="4"/>
  <c r="H7" i="4"/>
  <c r="H6" i="4"/>
  <c r="H5" i="4"/>
  <c r="H4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1" i="4"/>
  <c r="G10" i="4"/>
  <c r="G9" i="4"/>
  <c r="G8" i="4"/>
  <c r="G7" i="4"/>
  <c r="G6" i="4"/>
  <c r="G5" i="4"/>
  <c r="G4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1" i="4"/>
  <c r="F10" i="4"/>
  <c r="F9" i="4"/>
  <c r="F8" i="4"/>
  <c r="F7" i="4"/>
  <c r="F6" i="4"/>
  <c r="F5" i="4"/>
  <c r="F4" i="4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L431" i="10" l="1"/>
  <c r="L431" i="1"/>
  <c r="M431" i="1" l="1"/>
</calcChain>
</file>

<file path=xl/sharedStrings.xml><?xml version="1.0" encoding="utf-8"?>
<sst xmlns="http://schemas.openxmlformats.org/spreadsheetml/2006/main" count="8120" uniqueCount="2605">
  <si>
    <t>Enter product details in the blue input columns. Amounts calculate separately by kg and by piece. Do not add both totals unless both units are billed.</t>
  </si>
  <si>
    <t>Product Code</t>
  </si>
  <si>
    <t>Product Name</t>
  </si>
  <si>
    <t>Material Grade</t>
  </si>
  <si>
    <t>Size</t>
  </si>
  <si>
    <t>Finish</t>
  </si>
  <si>
    <t>Quantity (kg)</t>
  </si>
  <si>
    <t>TOTALS (shown separately by billing unit)</t>
  </si>
  <si>
    <t>HEX SCREW (FULL THREAD)</t>
  </si>
  <si>
    <t>MS</t>
  </si>
  <si>
    <t>5 X 10</t>
  </si>
  <si>
    <t>SELF</t>
  </si>
  <si>
    <t>5 X 15</t>
  </si>
  <si>
    <t>5 X 20</t>
  </si>
  <si>
    <t>5 X 25</t>
  </si>
  <si>
    <t>5 X 30</t>
  </si>
  <si>
    <t>5 X 35</t>
  </si>
  <si>
    <t>5 X 40</t>
  </si>
  <si>
    <t>5 X 45</t>
  </si>
  <si>
    <t>5 X 50</t>
  </si>
  <si>
    <t>5 X 55</t>
  </si>
  <si>
    <t>5 X 60</t>
  </si>
  <si>
    <t>5 X 65</t>
  </si>
  <si>
    <t>5 X 70</t>
  </si>
  <si>
    <t>5 X 75</t>
  </si>
  <si>
    <t>5 X 80</t>
  </si>
  <si>
    <t>6 X 10</t>
  </si>
  <si>
    <t>6 X 15</t>
  </si>
  <si>
    <t>6 X 20</t>
  </si>
  <si>
    <t>6 X 25</t>
  </si>
  <si>
    <t>6 X 30</t>
  </si>
  <si>
    <t>6 X 35</t>
  </si>
  <si>
    <t>6 X 40</t>
  </si>
  <si>
    <t>6 X 45</t>
  </si>
  <si>
    <t>6 X 50</t>
  </si>
  <si>
    <t>6 X 55</t>
  </si>
  <si>
    <t>6 X 60</t>
  </si>
  <si>
    <t>6 X 65</t>
  </si>
  <si>
    <t>6 X 70</t>
  </si>
  <si>
    <t>6 X 75</t>
  </si>
  <si>
    <t>6 X 80</t>
  </si>
  <si>
    <t>8 X 15</t>
  </si>
  <si>
    <t>8 X 20</t>
  </si>
  <si>
    <t>8 X 25</t>
  </si>
  <si>
    <t>8 X 30</t>
  </si>
  <si>
    <t>8 X 35</t>
  </si>
  <si>
    <t>8 X 40</t>
  </si>
  <si>
    <t>8 X 45</t>
  </si>
  <si>
    <t>8 X 50</t>
  </si>
  <si>
    <t>8 X 55</t>
  </si>
  <si>
    <t>8 X 60</t>
  </si>
  <si>
    <t>8 X 65</t>
  </si>
  <si>
    <t>8 X 70</t>
  </si>
  <si>
    <t>8 X 75</t>
  </si>
  <si>
    <t>8 X 80</t>
  </si>
  <si>
    <t>8 X 85</t>
  </si>
  <si>
    <t>8 X 90</t>
  </si>
  <si>
    <t>8 X 95</t>
  </si>
  <si>
    <t>8 X 100</t>
  </si>
  <si>
    <t>10 X 20</t>
  </si>
  <si>
    <t>10 X 25</t>
  </si>
  <si>
    <t>10 X 30</t>
  </si>
  <si>
    <t>10 X 35</t>
  </si>
  <si>
    <t>10 X 40</t>
  </si>
  <si>
    <t>10 X 45</t>
  </si>
  <si>
    <t>10 X 50</t>
  </si>
  <si>
    <t>10 X 55</t>
  </si>
  <si>
    <t>10 X 60</t>
  </si>
  <si>
    <t>10 X 65</t>
  </si>
  <si>
    <t>10 X 70</t>
  </si>
  <si>
    <t>10 X 75</t>
  </si>
  <si>
    <t>10 X 80</t>
  </si>
  <si>
    <t>10 X 85</t>
  </si>
  <si>
    <t>10 X 90</t>
  </si>
  <si>
    <t>10 X 95</t>
  </si>
  <si>
    <t>10 X 100</t>
  </si>
  <si>
    <t>10 X 110</t>
  </si>
  <si>
    <t>10 X 120</t>
  </si>
  <si>
    <t>10 X 140</t>
  </si>
  <si>
    <t>10 X 150</t>
  </si>
  <si>
    <t>12 X 25</t>
  </si>
  <si>
    <t>12 X 30</t>
  </si>
  <si>
    <t>12  X 35</t>
  </si>
  <si>
    <t>12 X 40</t>
  </si>
  <si>
    <t>12 X 45</t>
  </si>
  <si>
    <t>12 X 50</t>
  </si>
  <si>
    <t>12 X 55</t>
  </si>
  <si>
    <t>12 X 60</t>
  </si>
  <si>
    <t>12 X 65</t>
  </si>
  <si>
    <t>12 X 70</t>
  </si>
  <si>
    <t>12 X 75</t>
  </si>
  <si>
    <t>12 X 80</t>
  </si>
  <si>
    <t>12 X 85</t>
  </si>
  <si>
    <t>12 X 90</t>
  </si>
  <si>
    <t>12 X 95</t>
  </si>
  <si>
    <t>12 X 100</t>
  </si>
  <si>
    <t>12 X 110</t>
  </si>
  <si>
    <t>12 X 120</t>
  </si>
  <si>
    <t>12 X 140</t>
  </si>
  <si>
    <t>12 X 150</t>
  </si>
  <si>
    <t>12 X 160</t>
  </si>
  <si>
    <t>12 X 170</t>
  </si>
  <si>
    <t>12 X 180</t>
  </si>
  <si>
    <t>12 X 190</t>
  </si>
  <si>
    <t>12 X 200</t>
  </si>
  <si>
    <t>14 X 25</t>
  </si>
  <si>
    <t>14 X 30</t>
  </si>
  <si>
    <t>14  X 35</t>
  </si>
  <si>
    <t>14 X 40</t>
  </si>
  <si>
    <t>14 X 45</t>
  </si>
  <si>
    <t>14 X 50</t>
  </si>
  <si>
    <t>14 X 55</t>
  </si>
  <si>
    <t>14 X 60</t>
  </si>
  <si>
    <t>14 X 65</t>
  </si>
  <si>
    <t>14 X 70</t>
  </si>
  <si>
    <t>14 X 75</t>
  </si>
  <si>
    <t>14 X 80</t>
  </si>
  <si>
    <t>14 X 85</t>
  </si>
  <si>
    <t>14 X 90</t>
  </si>
  <si>
    <t>14 X 95</t>
  </si>
  <si>
    <t>14 X 100</t>
  </si>
  <si>
    <t>14 X 110</t>
  </si>
  <si>
    <t>14 X 120</t>
  </si>
  <si>
    <t>14 X 140</t>
  </si>
  <si>
    <t>14 X 150</t>
  </si>
  <si>
    <t>14 X 160</t>
  </si>
  <si>
    <t>14 X 170</t>
  </si>
  <si>
    <t>14 X 180</t>
  </si>
  <si>
    <t>14 X 190</t>
  </si>
  <si>
    <t>14 X 200</t>
  </si>
  <si>
    <t>16 X 25</t>
  </si>
  <si>
    <t>16 X 30</t>
  </si>
  <si>
    <t>16 X 35</t>
  </si>
  <si>
    <t>16 X 40</t>
  </si>
  <si>
    <t>16 X 45</t>
  </si>
  <si>
    <t>16 X 50</t>
  </si>
  <si>
    <t>16 X 55</t>
  </si>
  <si>
    <t>16 X 60</t>
  </si>
  <si>
    <t>16 X 70</t>
  </si>
  <si>
    <t>16 X 75</t>
  </si>
  <si>
    <t>16 X 80</t>
  </si>
  <si>
    <t>16 X 85</t>
  </si>
  <si>
    <t>16 X 90</t>
  </si>
  <si>
    <t>16 X 95</t>
  </si>
  <si>
    <t>16 X 100</t>
  </si>
  <si>
    <t>16 X 110</t>
  </si>
  <si>
    <t>16 X 120</t>
  </si>
  <si>
    <t>16 X 130</t>
  </si>
  <si>
    <t>16 X 140</t>
  </si>
  <si>
    <t>16 X 150</t>
  </si>
  <si>
    <t>16 X 160</t>
  </si>
  <si>
    <t>16 X 170</t>
  </si>
  <si>
    <t>16 X 180</t>
  </si>
  <si>
    <t>16 X 190</t>
  </si>
  <si>
    <t>16 X 200</t>
  </si>
  <si>
    <t>20 X 35</t>
  </si>
  <si>
    <t>20 X 40</t>
  </si>
  <si>
    <t>20 X 45</t>
  </si>
  <si>
    <t>20 X 50</t>
  </si>
  <si>
    <t>20 X 55</t>
  </si>
  <si>
    <t>20 X 60</t>
  </si>
  <si>
    <t>20 X 65</t>
  </si>
  <si>
    <t>20 X 70</t>
  </si>
  <si>
    <t>20 X 75</t>
  </si>
  <si>
    <t>20 X 80</t>
  </si>
  <si>
    <t>20 X 85</t>
  </si>
  <si>
    <t>20 X 90</t>
  </si>
  <si>
    <t>20 X 95</t>
  </si>
  <si>
    <t>20 X 100</t>
  </si>
  <si>
    <t>20 X 110</t>
  </si>
  <si>
    <t>20 X 120</t>
  </si>
  <si>
    <t>20 X 130</t>
  </si>
  <si>
    <t>20 X 140</t>
  </si>
  <si>
    <t>20 X 150</t>
  </si>
  <si>
    <t>20 X 160</t>
  </si>
  <si>
    <t>20 X 180</t>
  </si>
  <si>
    <t>20 X 190</t>
  </si>
  <si>
    <t>20 X 200</t>
  </si>
  <si>
    <t>Rate / piece (₹) Per 1000 Pcs</t>
  </si>
  <si>
    <t>16MNCR5</t>
  </si>
  <si>
    <t>SAE-1018</t>
  </si>
  <si>
    <t>EN-8DCR</t>
  </si>
  <si>
    <t>30MNB5</t>
  </si>
  <si>
    <t>SAE-4130</t>
  </si>
  <si>
    <t>EN-8D</t>
  </si>
  <si>
    <t>EN-24</t>
  </si>
  <si>
    <t>EN-18D</t>
  </si>
  <si>
    <t>SAE-8620</t>
  </si>
  <si>
    <t>42CRMO4</t>
  </si>
  <si>
    <t>EN-18</t>
  </si>
  <si>
    <t>30MNCR4</t>
  </si>
  <si>
    <t>SAE-4140</t>
  </si>
  <si>
    <t>EN-353</t>
  </si>
  <si>
    <t>EN-19</t>
  </si>
  <si>
    <t>20MNCR5</t>
  </si>
  <si>
    <t>LC</t>
  </si>
  <si>
    <t>EN-8DLHT</t>
  </si>
  <si>
    <t>EN-36A</t>
  </si>
  <si>
    <t>S-45C</t>
  </si>
  <si>
    <t>S-48C</t>
  </si>
  <si>
    <t>CK-45</t>
  </si>
  <si>
    <t>C-55</t>
  </si>
  <si>
    <t>EN-9</t>
  </si>
  <si>
    <t>41CR4</t>
  </si>
  <si>
    <t>EN-15</t>
  </si>
  <si>
    <t>SAE-1541</t>
  </si>
  <si>
    <t>A-105</t>
  </si>
  <si>
    <t>ST-52.3</t>
  </si>
  <si>
    <t>BORON</t>
  </si>
  <si>
    <t>EN-45</t>
  </si>
  <si>
    <t>EN-45A</t>
  </si>
  <si>
    <t>SCM-435</t>
  </si>
  <si>
    <t>SCM-420</t>
  </si>
  <si>
    <t>GRADES LIST</t>
  </si>
  <si>
    <t>SR.NO.</t>
  </si>
  <si>
    <t>ROLLING</t>
  </si>
  <si>
    <t>BASE PRICE</t>
  </si>
  <si>
    <t>PROFILE</t>
  </si>
  <si>
    <t>BASE</t>
  </si>
  <si>
    <t>NET PRICE</t>
  </si>
  <si>
    <t>SIZE GROUP</t>
  </si>
  <si>
    <t>ADD PRICE</t>
  </si>
  <si>
    <t>16MM TO 50MM</t>
  </si>
  <si>
    <t>NO ADD</t>
  </si>
  <si>
    <t>53MM TO 80MM</t>
  </si>
  <si>
    <t>BRAND NAME</t>
  </si>
  <si>
    <t>ZARA TMT</t>
  </si>
  <si>
    <t>STAR TMT</t>
  </si>
  <si>
    <t>ZEE CON TMT</t>
  </si>
  <si>
    <t>AWADH TMT</t>
  </si>
  <si>
    <t>MAJHI TMT</t>
  </si>
  <si>
    <t>SUPERX TMT</t>
  </si>
  <si>
    <t>HR PLATINUM</t>
  </si>
  <si>
    <t>SMS TMT</t>
  </si>
  <si>
    <t>VSP TMT</t>
  </si>
  <si>
    <t>SHREE GOPAL TMT</t>
  </si>
  <si>
    <t>BAHUBALI TMT</t>
  </si>
  <si>
    <t>SUPER GOLD 600</t>
  </si>
  <si>
    <t>SUPER 600 XT</t>
  </si>
  <si>
    <t>BALSHALI 550D</t>
  </si>
  <si>
    <t>JAI BALAJI SHAKTI</t>
  </si>
  <si>
    <t>OMPL TMT</t>
  </si>
  <si>
    <t>RATHI TMT</t>
  </si>
  <si>
    <t>*</t>
  </si>
  <si>
    <t>Price including GST MOQ 25MT</t>
  </si>
  <si>
    <t>SIZE</t>
  </si>
  <si>
    <t>GRADE</t>
  </si>
  <si>
    <t>8MM</t>
  </si>
  <si>
    <t>10MM</t>
  </si>
  <si>
    <t>12MM</t>
  </si>
  <si>
    <t>16MM</t>
  </si>
  <si>
    <t>20MM</t>
  </si>
  <si>
    <t>25MM</t>
  </si>
  <si>
    <t>FE-500</t>
  </si>
  <si>
    <t>FE-550</t>
  </si>
  <si>
    <t>FE-600</t>
  </si>
  <si>
    <t>FE-600S</t>
  </si>
  <si>
    <t>FE-550D</t>
  </si>
  <si>
    <t>FE-650</t>
  </si>
  <si>
    <t>FE-700</t>
  </si>
  <si>
    <t>PRICE INCREASED GRADE WISE</t>
  </si>
  <si>
    <t>NO</t>
  </si>
  <si>
    <t>CATEGORY</t>
  </si>
  <si>
    <t>QNTY</t>
  </si>
  <si>
    <t>RATE</t>
  </si>
  <si>
    <t>PMT</t>
  </si>
  <si>
    <t>AS ROLLED ROUND BAR</t>
  </si>
  <si>
    <t>ROUND BRIGHT BAR</t>
  </si>
  <si>
    <t>FLAT</t>
  </si>
  <si>
    <t>SHEET</t>
  </si>
  <si>
    <t>SQUARE</t>
  </si>
  <si>
    <t>TMT BAR</t>
  </si>
  <si>
    <t>17MM</t>
  </si>
  <si>
    <t>18MM</t>
  </si>
  <si>
    <t>21MM</t>
  </si>
  <si>
    <t>22MM</t>
  </si>
  <si>
    <t>23MM</t>
  </si>
  <si>
    <t>24MM</t>
  </si>
  <si>
    <t>26MM</t>
  </si>
  <si>
    <t>28MM</t>
  </si>
  <si>
    <t>27MM</t>
  </si>
  <si>
    <t>30MM</t>
  </si>
  <si>
    <t>32MM</t>
  </si>
  <si>
    <t>34MM</t>
  </si>
  <si>
    <t>36MM</t>
  </si>
  <si>
    <t>38MM</t>
  </si>
  <si>
    <t>40MM</t>
  </si>
  <si>
    <t>42MM</t>
  </si>
  <si>
    <t>45MM</t>
  </si>
  <si>
    <t>48MM</t>
  </si>
  <si>
    <t>50MM</t>
  </si>
  <si>
    <t>51MM</t>
  </si>
  <si>
    <t>53MM</t>
  </si>
  <si>
    <t>56MM</t>
  </si>
  <si>
    <t>60MM</t>
  </si>
  <si>
    <t>63MM</t>
  </si>
  <si>
    <t>65MM</t>
  </si>
  <si>
    <t>68MM</t>
  </si>
  <si>
    <t>70MM</t>
  </si>
  <si>
    <t>72MM</t>
  </si>
  <si>
    <t>75MM</t>
  </si>
  <si>
    <t>80MM</t>
  </si>
  <si>
    <t>VADHA</t>
  </si>
  <si>
    <t>GST</t>
  </si>
  <si>
    <t>TOTAL</t>
  </si>
  <si>
    <t>NET PRATE</t>
  </si>
  <si>
    <t>2MM</t>
  </si>
  <si>
    <t>3MM</t>
  </si>
  <si>
    <t>4MM</t>
  </si>
  <si>
    <t>5MM</t>
  </si>
  <si>
    <t>6MM</t>
  </si>
  <si>
    <t>15MM</t>
  </si>
  <si>
    <t>35MM</t>
  </si>
  <si>
    <t>BASE RATE PMT</t>
  </si>
  <si>
    <t>SHOW ONLY</t>
  </si>
  <si>
    <t>SIZE THICKNESS</t>
  </si>
  <si>
    <t>SHEET MS</t>
  </si>
  <si>
    <t>FLAT MS</t>
  </si>
  <si>
    <t>SHEET MS / FLAT MS RATE</t>
  </si>
  <si>
    <t>PRODUCT NAME</t>
  </si>
  <si>
    <t>BRAND</t>
  </si>
  <si>
    <t>PRICE</t>
  </si>
  <si>
    <t>J-TYPE BLADE</t>
  </si>
  <si>
    <t>J-TYPE SMALL BLADE</t>
  </si>
  <si>
    <t>L-TYPE BLADE</t>
  </si>
  <si>
    <t>MULTURE BLADE</t>
  </si>
  <si>
    <t>DUST COVER</t>
  </si>
  <si>
    <t>SIDE COVER</t>
  </si>
  <si>
    <t>RTV BACK DOOR</t>
  </si>
  <si>
    <t>RTV GEAR SET</t>
  </si>
  <si>
    <t>RTV AXLE RIGHT</t>
  </si>
  <si>
    <t>RTV AXLE LEFT</t>
  </si>
  <si>
    <t>RTV GEAR COMPLETE</t>
  </si>
  <si>
    <t>RTV MECHANICAL SEAL</t>
  </si>
  <si>
    <t>RTV SHAFT WITH FLANGE</t>
  </si>
  <si>
    <t>RTV SHOCKER</t>
  </si>
  <si>
    <t>RTV SIDE PLATE</t>
  </si>
  <si>
    <t>RTV SIDE PLATE VARIENT</t>
  </si>
  <si>
    <t>RTV STUB AXLE</t>
  </si>
  <si>
    <t>RTV SKID SHOE</t>
  </si>
  <si>
    <t>SEARCH</t>
  </si>
  <si>
    <t>FASTENERS</t>
  </si>
  <si>
    <t>BRIGHT BAR</t>
  </si>
  <si>
    <t>TRECTOR PARTS</t>
  </si>
  <si>
    <t>TMT</t>
  </si>
  <si>
    <t>SRUARE</t>
  </si>
  <si>
    <t>IF SELECT AS ROLLED ROUND BAR</t>
  </si>
  <si>
    <t>RESULT</t>
  </si>
  <si>
    <t>FIRST TEMPLET</t>
  </si>
  <si>
    <t>2ND TEMPLET</t>
  </si>
  <si>
    <t>IF SELECT BRIGHR BAR</t>
  </si>
  <si>
    <t>EN-8</t>
  </si>
  <si>
    <t>QUANTITY</t>
  </si>
  <si>
    <t>FILL HIS/HER SELF</t>
  </si>
  <si>
    <t>14MM</t>
  </si>
  <si>
    <t>ARRB</t>
  </si>
  <si>
    <t>BB</t>
  </si>
  <si>
    <t>16.20MM</t>
  </si>
  <si>
    <t>SHORT FORM</t>
  </si>
  <si>
    <t>RATE RESULT</t>
  </si>
  <si>
    <t>1250X2500X2</t>
  </si>
  <si>
    <t>100X2500X10</t>
  </si>
  <si>
    <t>23/10/2026 (5:00PM)</t>
  </si>
  <si>
    <t>DATE &amp; TIME</t>
  </si>
  <si>
    <t>Hex Head Bolt</t>
  </si>
  <si>
    <t>Heavy Hex Bolt</t>
  </si>
  <si>
    <t>Hex Flange Bolt</t>
  </si>
  <si>
    <t>Carriage Bolt</t>
  </si>
  <si>
    <t>Square Head Bolt</t>
  </si>
  <si>
    <t>Round Head Bolt</t>
  </si>
  <si>
    <t>T-Head Bolt</t>
  </si>
  <si>
    <t>Button Head Bolt</t>
  </si>
  <si>
    <t>Socket Head Cap Screw</t>
  </si>
  <si>
    <t>Allen Bolt</t>
  </si>
  <si>
    <t>Countersunk Head Bolt</t>
  </si>
  <si>
    <t>Shoulder Bolt</t>
  </si>
  <si>
    <t>Eye Bolt</t>
  </si>
  <si>
    <t>U-Bolt</t>
  </si>
  <si>
    <t>J-Bolt</t>
  </si>
  <si>
    <t>L-Bolt</t>
  </si>
  <si>
    <t>Foundation Bolt</t>
  </si>
  <si>
    <t>Anchor Bolt</t>
  </si>
  <si>
    <t>Expansion Bolt</t>
  </si>
  <si>
    <t>Wedge Anchor Bolt</t>
  </si>
  <si>
    <t>Chemical Anchor Bolt</t>
  </si>
  <si>
    <t>Structural Bolt</t>
  </si>
  <si>
    <t>Track Bolt</t>
  </si>
  <si>
    <t>Plough Bolt</t>
  </si>
  <si>
    <t>Elevator Bolt</t>
  </si>
  <si>
    <t>Hanger Bolt</t>
  </si>
  <si>
    <t>Step Bolt</t>
  </si>
  <si>
    <t>Plow Bolt</t>
  </si>
  <si>
    <t>Ribbed Neck Bolt</t>
  </si>
  <si>
    <t>Machine Bolt</t>
  </si>
  <si>
    <t>High Tensile Bolt</t>
  </si>
  <si>
    <t>Wheel Bolt</t>
  </si>
  <si>
    <t>Stud Bolt</t>
  </si>
  <si>
    <t>Banjo Bolt</t>
  </si>
  <si>
    <t>Shear Bolt</t>
  </si>
  <si>
    <t>Flange Bolt</t>
  </si>
  <si>
    <t>2. Nuts – नट के प्रकार</t>
  </si>
  <si>
    <t>Hex Nut</t>
  </si>
  <si>
    <t>Heavy Hex Nut</t>
  </si>
  <si>
    <t>Hex Flange Nut</t>
  </si>
  <si>
    <t>Nyloc Nut</t>
  </si>
  <si>
    <t>Lock Nut</t>
  </si>
  <si>
    <t>Jam Nut</t>
  </si>
  <si>
    <t>Castle Nut</t>
  </si>
  <si>
    <t>Slotted Nut</t>
  </si>
  <si>
    <t>Wing Nut</t>
  </si>
  <si>
    <t>Square Nut</t>
  </si>
  <si>
    <t>Coupling Nut</t>
  </si>
  <si>
    <t>Cap Nut / Acorn Nut</t>
  </si>
  <si>
    <t>Dome Nut</t>
  </si>
  <si>
    <t>T-Nut</t>
  </si>
  <si>
    <t>Weld Nut</t>
  </si>
  <si>
    <t>Rivet Nut</t>
  </si>
  <si>
    <t>Barrel Nut</t>
  </si>
  <si>
    <t>Thumb Nut</t>
  </si>
  <si>
    <t>Knurled Nut</t>
  </si>
  <si>
    <t>Serrated Flange Nut</t>
  </si>
  <si>
    <t>Keps Nut</t>
  </si>
  <si>
    <t>Prevailing Torque Nut</t>
  </si>
  <si>
    <t>Wheel Nut</t>
  </si>
  <si>
    <t>Eye Nut</t>
  </si>
  <si>
    <t>Shear Nut</t>
  </si>
  <si>
    <t>Self-Locking Nut</t>
  </si>
  <si>
    <t>High Tensile Nut</t>
  </si>
  <si>
    <t>Long Nut</t>
  </si>
  <si>
    <t>Round Nut</t>
  </si>
  <si>
    <t>Thin Hex Nut</t>
  </si>
  <si>
    <t>3. Washers – वॉशर के प्रकार</t>
  </si>
  <si>
    <t>Plain Washer</t>
  </si>
  <si>
    <t>Flat Washer</t>
  </si>
  <si>
    <t>Hardened Washer</t>
  </si>
  <si>
    <t>Spring Washer</t>
  </si>
  <si>
    <t>Single Coil Spring Washer</t>
  </si>
  <si>
    <t>Double Coil Washer</t>
  </si>
  <si>
    <t>Fender Washer</t>
  </si>
  <si>
    <t>Square Washer</t>
  </si>
  <si>
    <t>Structural Washer</t>
  </si>
  <si>
    <t>Bevel Washer</t>
  </si>
  <si>
    <t>Tab Washer</t>
  </si>
  <si>
    <t>Tooth Lock Washer</t>
  </si>
  <si>
    <t>Internal Tooth Washer</t>
  </si>
  <si>
    <t>External Tooth Washer</t>
  </si>
  <si>
    <t>Serrated Washer</t>
  </si>
  <si>
    <t>Nord-Lock Type Wedge-Locking Washer</t>
  </si>
  <si>
    <t>Sealing Washer</t>
  </si>
  <si>
    <t>Bonded Washer</t>
  </si>
  <si>
    <t>Rubber Washer</t>
  </si>
  <si>
    <t>Copper Washer</t>
  </si>
  <si>
    <t>Shim Washer</t>
  </si>
  <si>
    <t>Wave Washer</t>
  </si>
  <si>
    <t>Belleville Washer</t>
  </si>
  <si>
    <t>Shoulder Washer</t>
  </si>
  <si>
    <t>C-Washer</t>
  </si>
  <si>
    <t>D-Washer</t>
  </si>
  <si>
    <t>Load Indicating Washer</t>
  </si>
  <si>
    <t>4. Screws – स्क्रू के प्रकार</t>
  </si>
  <si>
    <t>Machine Screw</t>
  </si>
  <si>
    <t>Self-Tapping Screw</t>
  </si>
  <si>
    <t>Self-Drilling Screw</t>
  </si>
  <si>
    <t>Drywall Screw</t>
  </si>
  <si>
    <t>Wood Screw</t>
  </si>
  <si>
    <t>Chipboard Screw</t>
  </si>
  <si>
    <t>Sheet Metal Screw</t>
  </si>
  <si>
    <t>Socket Head Screw</t>
  </si>
  <si>
    <t>Set Screw / Grub Screw</t>
  </si>
  <si>
    <t>Grub Screw with Cup Point</t>
  </si>
  <si>
    <t>Countersunk Screw</t>
  </si>
  <si>
    <t>Pan Head Screw</t>
  </si>
  <si>
    <t>Button Head Screw</t>
  </si>
  <si>
    <t>Truss Head Screw</t>
  </si>
  <si>
    <t>Wafer Head Screw</t>
  </si>
  <si>
    <t>Flange Head Screw</t>
  </si>
  <si>
    <t>Thumb Screw</t>
  </si>
  <si>
    <t>Wing Screw</t>
  </si>
  <si>
    <t>Shoulder Screw</t>
  </si>
  <si>
    <t>Concrete Screw</t>
  </si>
  <si>
    <t>Deck Screw</t>
  </si>
  <si>
    <t>Security Screw</t>
  </si>
  <si>
    <t>Thread Cutting Screw</t>
  </si>
  <si>
    <t>Thread Forming Screw</t>
  </si>
  <si>
    <t>Captive Screw</t>
  </si>
  <si>
    <t>Plastite Screw</t>
  </si>
  <si>
    <t>Torx Screw</t>
  </si>
  <si>
    <t>Phillips Head Screw</t>
  </si>
  <si>
    <t>Slotted Head Screw</t>
  </si>
  <si>
    <t>Pozi Drive Screw</t>
  </si>
  <si>
    <t>5. Studs, Threaded Rods &amp; Pins</t>
  </si>
  <si>
    <t>Fully Threaded Rod / Thread Rod</t>
  </si>
  <si>
    <t>Double-End Stud</t>
  </si>
  <si>
    <t>Tap-End Stud</t>
  </si>
  <si>
    <t>Continuous Thread Stud</t>
  </si>
  <si>
    <t>Weld Stud</t>
  </si>
  <si>
    <t>Flange Stud</t>
  </si>
  <si>
    <t>Reduced Shank Stud</t>
  </si>
  <si>
    <t>Dowel Pin</t>
  </si>
  <si>
    <t>Spring Pin / Roll Pin</t>
  </si>
  <si>
    <t>Split Pin / Cotter Pin</t>
  </si>
  <si>
    <t>Clevis Pin</t>
  </si>
  <si>
    <t>Taper Pin</t>
  </si>
  <si>
    <t>Grooved Pin</t>
  </si>
  <si>
    <t>Knurled Pin</t>
  </si>
  <si>
    <t>Hinge Pin</t>
  </si>
  <si>
    <t>Lock Pin</t>
  </si>
  <si>
    <t>Quick Release Pin</t>
  </si>
  <si>
    <t>Retaining Pin</t>
  </si>
  <si>
    <t>6. Rivets &amp; Permanent Fasteners</t>
  </si>
  <si>
    <t>Solid Rivet</t>
  </si>
  <si>
    <t>Blind Rivet / Pop Rivet</t>
  </si>
  <si>
    <t>Structural Blind Rivet</t>
  </si>
  <si>
    <t>Semi-Tubular Rivet</t>
  </si>
  <si>
    <t>Tubular Rivet</t>
  </si>
  <si>
    <t>Drive Rivet</t>
  </si>
  <si>
    <t>Split Rivet</t>
  </si>
  <si>
    <t>Shoulder Rivet</t>
  </si>
  <si>
    <t>Rivet Nut / Blind Rivet Nut</t>
  </si>
  <si>
    <t>Threaded Insert</t>
  </si>
  <si>
    <t>7. Industrial &amp; Special Fasteners</t>
  </si>
  <si>
    <t>Hose Clamp</t>
  </si>
  <si>
    <t>Pipe Clamp</t>
  </si>
  <si>
    <t>U-Clamp</t>
  </si>
  <si>
    <t>Pipe Saddle Clamp</t>
  </si>
  <si>
    <t>Cable Clamp</t>
  </si>
  <si>
    <t>P-Clamp</t>
  </si>
  <si>
    <t>Jubilee Clamp</t>
  </si>
  <si>
    <t>Spring Clip</t>
  </si>
  <si>
    <t>Retaining Ring / Circlip</t>
  </si>
  <si>
    <t>External Circlip</t>
  </si>
  <si>
    <t>Internal Circlip</t>
  </si>
  <si>
    <t>E-Clip</t>
  </si>
  <si>
    <t>Snap Ring</t>
  </si>
  <si>
    <t>Cable Tie Mount</t>
  </si>
  <si>
    <t>Turnbuckle</t>
  </si>
  <si>
    <t>Quick Link</t>
  </si>
  <si>
    <t>Shackle</t>
  </si>
  <si>
    <t>Clevis</t>
  </si>
  <si>
    <t>Wire Rope Clip</t>
  </si>
  <si>
    <t>Locking Pin</t>
  </si>
  <si>
    <t>Fastener Assembly</t>
  </si>
  <si>
    <t>Stud Welding Fastener</t>
  </si>
  <si>
    <t>8. Automotive &amp; High-Tensile Fasteners</t>
  </si>
  <si>
    <t>Cylinder Head Bolt</t>
  </si>
  <si>
    <t>Connecting Rod Bolt</t>
  </si>
  <si>
    <t>Flywheel Bolt</t>
  </si>
  <si>
    <t>Main Bearing Bolt</t>
  </si>
  <si>
    <t>Exhaust Manifold Stud</t>
  </si>
  <si>
    <t>Flange Nut</t>
  </si>
  <si>
    <t>Suspension Bolt</t>
  </si>
  <si>
    <t>Axle Bolt</t>
  </si>
  <si>
    <t>Hub Bolt</t>
  </si>
  <si>
    <t>High Tensile Hex Bolt</t>
  </si>
  <si>
    <t>High Tensile Flange Bolt</t>
  </si>
  <si>
    <t>Tension-Control Bolt</t>
  </si>
  <si>
    <t>Huck Bolt</t>
  </si>
  <si>
    <t>Shear Connector Stud</t>
  </si>
  <si>
    <t>Engine Mounting Bolt</t>
  </si>
  <si>
    <t>9. Construction &amp; Structural Fasteners</t>
  </si>
  <si>
    <t>J-Type Foundation Bolt</t>
  </si>
  <si>
    <t>L-Type Foundation Bolt</t>
  </si>
  <si>
    <t>Eye Foundation Bolt</t>
  </si>
  <si>
    <t>Rag Bolt</t>
  </si>
  <si>
    <t>Anchor Rod</t>
  </si>
  <si>
    <t>Structural Hex Bolt</t>
  </si>
  <si>
    <t>High-Strength Structural Bolt</t>
  </si>
  <si>
    <t>Roofing Screw</t>
  </si>
  <si>
    <t>Roofing Bolt</t>
  </si>
  <si>
    <t>Purlin Bolt</t>
  </si>
  <si>
    <t>Scaffolding Bolt</t>
  </si>
  <si>
    <t>Formwork Tie Rod</t>
  </si>
  <si>
    <t>Wing Nut for Formwork</t>
  </si>
  <si>
    <t>Anchor Fastener</t>
  </si>
  <si>
    <t>Concrete Wedge Anchor</t>
  </si>
  <si>
    <t>Chemical Anchor Stud</t>
  </si>
  <si>
    <t>10. Fastener Manufacturing &amp; Special Thread Products</t>
  </si>
  <si>
    <t>Threaded Bar</t>
  </si>
  <si>
    <t>Threaded Rod</t>
  </si>
  <si>
    <t>Double-Coil Washer</t>
  </si>
  <si>
    <t>Threaded Stud</t>
  </si>
  <si>
    <t>Special Drawing Fastener</t>
  </si>
  <si>
    <t>Cold Forged Bolt</t>
  </si>
  <si>
    <t>Hot Forged Bolt</t>
  </si>
  <si>
    <t>CNC-Machined Fastener</t>
  </si>
  <si>
    <t>Custom-Made Fastener</t>
  </si>
  <si>
    <t>Non-Standard Fastener</t>
  </si>
  <si>
    <t>1. Detailed Square Bar Sizes</t>
  </si>
  <si>
    <t>S. No.</t>
  </si>
  <si>
    <t>Square Bar Size (mm)</t>
  </si>
  <si>
    <t>Cross-Sectional Area (mm²)</t>
  </si>
  <si>
    <t>Approx. Weight (kg/m)</t>
  </si>
  <si>
    <t>10 × 10</t>
  </si>
  <si>
    <t>12 × 12</t>
  </si>
  <si>
    <t>14 × 14</t>
  </si>
  <si>
    <t>15 × 15</t>
  </si>
  <si>
    <t>16 × 16</t>
  </si>
  <si>
    <t>18 × 18</t>
  </si>
  <si>
    <t>20 × 20</t>
  </si>
  <si>
    <t>22 × 22</t>
  </si>
  <si>
    <t>25 × 25</t>
  </si>
  <si>
    <t>28 × 28</t>
  </si>
  <si>
    <t>30 × 30</t>
  </si>
  <si>
    <t>32 × 32</t>
  </si>
  <si>
    <t>35 × 35</t>
  </si>
  <si>
    <t>36 × 36</t>
  </si>
  <si>
    <t>38 × 38</t>
  </si>
  <si>
    <t>40 × 40</t>
  </si>
  <si>
    <t>42 × 42</t>
  </si>
  <si>
    <t>45 × 45</t>
  </si>
  <si>
    <t>48 × 48</t>
  </si>
  <si>
    <t>50 × 50</t>
  </si>
  <si>
    <t>55 × 55</t>
  </si>
  <si>
    <t>60 × 60</t>
  </si>
  <si>
    <t>65 × 65</t>
  </si>
  <si>
    <t>70 × 70</t>
  </si>
  <si>
    <t>75 × 75</t>
  </si>
  <si>
    <t>80 × 80</t>
  </si>
  <si>
    <t>85 × 85</t>
  </si>
  <si>
    <t>90 × 90</t>
  </si>
  <si>
    <t>95 × 95</t>
  </si>
  <si>
    <t>100 × 100</t>
  </si>
  <si>
    <t>105 × 105</t>
  </si>
  <si>
    <t>110 × 110</t>
  </si>
  <si>
    <t>115 × 115</t>
  </si>
  <si>
    <t>120 × 120</t>
  </si>
  <si>
    <t>125 × 125</t>
  </si>
  <si>
    <t>130 × 130</t>
  </si>
  <si>
    <t>135 × 135</t>
  </si>
  <si>
    <t>140 × 140</t>
  </si>
  <si>
    <t>145 × 145</t>
  </si>
  <si>
    <t>150 × 150</t>
  </si>
  <si>
    <t>RATE MS</t>
  </si>
  <si>
    <t>RATE ALLOY</t>
  </si>
  <si>
    <t>1000 PCS/WT.</t>
  </si>
  <si>
    <t>12 X 130</t>
  </si>
  <si>
    <t>22 X 35</t>
  </si>
  <si>
    <t>22 X 40</t>
  </si>
  <si>
    <t>22 X 45</t>
  </si>
  <si>
    <t>22 X 50</t>
  </si>
  <si>
    <t>22 X 55</t>
  </si>
  <si>
    <t>22 X 60</t>
  </si>
  <si>
    <t>22 X 65</t>
  </si>
  <si>
    <t>22 X 70</t>
  </si>
  <si>
    <t>22 X 75</t>
  </si>
  <si>
    <t>22 X 80</t>
  </si>
  <si>
    <t>22 X 85</t>
  </si>
  <si>
    <t>22  X90</t>
  </si>
  <si>
    <t>22 X 95</t>
  </si>
  <si>
    <t>22 X 100</t>
  </si>
  <si>
    <t>22 X 110</t>
  </si>
  <si>
    <t>22 X 120</t>
  </si>
  <si>
    <t>22 X 130</t>
  </si>
  <si>
    <t>22 X 140</t>
  </si>
  <si>
    <t>22 X 150</t>
  </si>
  <si>
    <t>22 X 160</t>
  </si>
  <si>
    <t>22 X 170</t>
  </si>
  <si>
    <t>22 X 180</t>
  </si>
  <si>
    <t>22 X 190</t>
  </si>
  <si>
    <t>22 X 200</t>
  </si>
  <si>
    <t>24 X 45</t>
  </si>
  <si>
    <t>24 X 50</t>
  </si>
  <si>
    <t>24 X 55</t>
  </si>
  <si>
    <t>24 X 60</t>
  </si>
  <si>
    <t>24 X 65</t>
  </si>
  <si>
    <t>24 X 70</t>
  </si>
  <si>
    <t>24 X 75</t>
  </si>
  <si>
    <t>24 X 80</t>
  </si>
  <si>
    <t>24 X 85</t>
  </si>
  <si>
    <t>24 X 90</t>
  </si>
  <si>
    <t>24 X 95</t>
  </si>
  <si>
    <t>24 X 100</t>
  </si>
  <si>
    <t>24 X 110</t>
  </si>
  <si>
    <t>24 X 120</t>
  </si>
  <si>
    <t>24 X 130</t>
  </si>
  <si>
    <t>24 X 140</t>
  </si>
  <si>
    <t>24 X 150</t>
  </si>
  <si>
    <t>24 X 160</t>
  </si>
  <si>
    <t>24 X 170</t>
  </si>
  <si>
    <t>24 X 180</t>
  </si>
  <si>
    <t>24 X 190</t>
  </si>
  <si>
    <t>24 X 200</t>
  </si>
  <si>
    <t>27 X 40</t>
  </si>
  <si>
    <t>27 X 45</t>
  </si>
  <si>
    <t>27 X 50</t>
  </si>
  <si>
    <t>27 X 55</t>
  </si>
  <si>
    <t>27 X 60</t>
  </si>
  <si>
    <t>27 X 65</t>
  </si>
  <si>
    <t>27 X 70</t>
  </si>
  <si>
    <t>27 X 75</t>
  </si>
  <si>
    <t>27 X 80</t>
  </si>
  <si>
    <t>27 X 85</t>
  </si>
  <si>
    <t>27 X 90</t>
  </si>
  <si>
    <t>27 X 95</t>
  </si>
  <si>
    <t>27 X 100</t>
  </si>
  <si>
    <t>27 X 110</t>
  </si>
  <si>
    <t>27 X 120</t>
  </si>
  <si>
    <t>27 X 130</t>
  </si>
  <si>
    <t>27 X 140</t>
  </si>
  <si>
    <t>27 X 150</t>
  </si>
  <si>
    <t>27 X 160</t>
  </si>
  <si>
    <t>27 X 170</t>
  </si>
  <si>
    <t>27 X 180</t>
  </si>
  <si>
    <t>27 X 190</t>
  </si>
  <si>
    <t>27 X 200</t>
  </si>
  <si>
    <t>27 X 210</t>
  </si>
  <si>
    <t>27 X 220</t>
  </si>
  <si>
    <t>27 X 230</t>
  </si>
  <si>
    <t>27 X 240</t>
  </si>
  <si>
    <t>27 X 250</t>
  </si>
  <si>
    <t>27 X 260</t>
  </si>
  <si>
    <t>27 X 270</t>
  </si>
  <si>
    <t>27 X 280</t>
  </si>
  <si>
    <t>27 X 290</t>
  </si>
  <si>
    <t>27 X 300</t>
  </si>
  <si>
    <t>30 X 40</t>
  </si>
  <si>
    <t>30 X 45</t>
  </si>
  <si>
    <t>30 X 50</t>
  </si>
  <si>
    <t>30 X 55</t>
  </si>
  <si>
    <t>30 X 60</t>
  </si>
  <si>
    <t>30 X 65</t>
  </si>
  <si>
    <t>30 X 70</t>
  </si>
  <si>
    <t>30 X 75</t>
  </si>
  <si>
    <t>30 X 80</t>
  </si>
  <si>
    <t>30 X 85</t>
  </si>
  <si>
    <t>30 X 90</t>
  </si>
  <si>
    <t>30 X 95</t>
  </si>
  <si>
    <t>30 X 100</t>
  </si>
  <si>
    <t>30 X 110</t>
  </si>
  <si>
    <t>30 X 120</t>
  </si>
  <si>
    <t>30 X 130</t>
  </si>
  <si>
    <t>30 X 140</t>
  </si>
  <si>
    <t>30 X 150</t>
  </si>
  <si>
    <t>30 X 160</t>
  </si>
  <si>
    <t>30 X 170</t>
  </si>
  <si>
    <t>30 X 180</t>
  </si>
  <si>
    <t>30 X 190</t>
  </si>
  <si>
    <t>30 X 200</t>
  </si>
  <si>
    <t>30 X 210</t>
  </si>
  <si>
    <t>30 X 220</t>
  </si>
  <si>
    <t>30 X 230</t>
  </si>
  <si>
    <t>30 X 240</t>
  </si>
  <si>
    <t>30 X 250</t>
  </si>
  <si>
    <t>30 X 260</t>
  </si>
  <si>
    <t>30 X 270</t>
  </si>
  <si>
    <t>30 X 280</t>
  </si>
  <si>
    <t>30 X 290</t>
  </si>
  <si>
    <t>30 X 300</t>
  </si>
  <si>
    <t>33 X 40</t>
  </si>
  <si>
    <t>33 X 45</t>
  </si>
  <si>
    <t>33 X 50</t>
  </si>
  <si>
    <t>33 X 55</t>
  </si>
  <si>
    <t>33 X 60</t>
  </si>
  <si>
    <t>33 X 65</t>
  </si>
  <si>
    <t>33 X 70</t>
  </si>
  <si>
    <t>33 X 75</t>
  </si>
  <si>
    <t>33 X 80</t>
  </si>
  <si>
    <t>33 X 85</t>
  </si>
  <si>
    <t>33 X 90</t>
  </si>
  <si>
    <t>33 X 100</t>
  </si>
  <si>
    <t>33 X 110</t>
  </si>
  <si>
    <t>33 X 120</t>
  </si>
  <si>
    <t>33 X 130</t>
  </si>
  <si>
    <t>33 X 140</t>
  </si>
  <si>
    <t>33 X 150</t>
  </si>
  <si>
    <t>33 X 160</t>
  </si>
  <si>
    <t>33 X 170</t>
  </si>
  <si>
    <t>33 X 180</t>
  </si>
  <si>
    <t>33 X 190</t>
  </si>
  <si>
    <t>33 X 200</t>
  </si>
  <si>
    <t>33 X 210</t>
  </si>
  <si>
    <t>33 X 220</t>
  </si>
  <si>
    <t>33 X 230</t>
  </si>
  <si>
    <t>33 X 240</t>
  </si>
  <si>
    <t>33 X 250</t>
  </si>
  <si>
    <t>33 X 260</t>
  </si>
  <si>
    <t>33 X 270</t>
  </si>
  <si>
    <t>33 X 280</t>
  </si>
  <si>
    <t>33 X 290</t>
  </si>
  <si>
    <t>33 X 300</t>
  </si>
  <si>
    <t>36 X 50</t>
  </si>
  <si>
    <t>36 X 55</t>
  </si>
  <si>
    <t>36 X 60</t>
  </si>
  <si>
    <t>36 X 65</t>
  </si>
  <si>
    <t>36 X 70</t>
  </si>
  <si>
    <t>36 X 75</t>
  </si>
  <si>
    <t>36 X 80</t>
  </si>
  <si>
    <t>36 X 85</t>
  </si>
  <si>
    <t>36 X 90</t>
  </si>
  <si>
    <t>36 X 95</t>
  </si>
  <si>
    <t>36 X 100</t>
  </si>
  <si>
    <t>36 X 110</t>
  </si>
  <si>
    <t>36 X 120</t>
  </si>
  <si>
    <t>36 X 130</t>
  </si>
  <si>
    <t>36 X 140</t>
  </si>
  <si>
    <t>36 X 150</t>
  </si>
  <si>
    <t>36 X 160</t>
  </si>
  <si>
    <t>36 X 170</t>
  </si>
  <si>
    <t>36 X 180</t>
  </si>
  <si>
    <t>36 X 190</t>
  </si>
  <si>
    <t>36 X 200</t>
  </si>
  <si>
    <t>36 X 210</t>
  </si>
  <si>
    <t>36 X 220</t>
  </si>
  <si>
    <t>36 X 230</t>
  </si>
  <si>
    <t>36 X 240</t>
  </si>
  <si>
    <t>36 X 250</t>
  </si>
  <si>
    <t>36 X 260</t>
  </si>
  <si>
    <t>36 X 270</t>
  </si>
  <si>
    <t>36 X 280</t>
  </si>
  <si>
    <t>36 X 290</t>
  </si>
  <si>
    <t>36 X 300</t>
  </si>
  <si>
    <t>39 X 60</t>
  </si>
  <si>
    <t>39 X 65</t>
  </si>
  <si>
    <t>39 X 70</t>
  </si>
  <si>
    <t>39 X 75</t>
  </si>
  <si>
    <t>39 X 80</t>
  </si>
  <si>
    <t>39 X 85</t>
  </si>
  <si>
    <t>39 X 90</t>
  </si>
  <si>
    <t>39 X 95</t>
  </si>
  <si>
    <t>39 X 100</t>
  </si>
  <si>
    <t>39 X 110</t>
  </si>
  <si>
    <t>39 X 120</t>
  </si>
  <si>
    <t>39 X 130</t>
  </si>
  <si>
    <t>39 X 140</t>
  </si>
  <si>
    <t>39 X 150</t>
  </si>
  <si>
    <t>39 X 160</t>
  </si>
  <si>
    <t>39 X 170</t>
  </si>
  <si>
    <t>39 X 180</t>
  </si>
  <si>
    <t>39 X 190</t>
  </si>
  <si>
    <t>39 X 200</t>
  </si>
  <si>
    <t>39 X 210</t>
  </si>
  <si>
    <t>39 X 220</t>
  </si>
  <si>
    <t>39 X 230</t>
  </si>
  <si>
    <t>39 X 240</t>
  </si>
  <si>
    <t>39 X 250</t>
  </si>
  <si>
    <t>39 X 260</t>
  </si>
  <si>
    <t>39 X 270</t>
  </si>
  <si>
    <t>39 X 280</t>
  </si>
  <si>
    <t>39 X 290</t>
  </si>
  <si>
    <t>39 X 300</t>
  </si>
  <si>
    <t>42 X 70</t>
  </si>
  <si>
    <t>42 X 75</t>
  </si>
  <si>
    <t>42 X 80</t>
  </si>
  <si>
    <t>42 X 85</t>
  </si>
  <si>
    <t>42 X 90</t>
  </si>
  <si>
    <t>42 X 95</t>
  </si>
  <si>
    <t>42 X 100</t>
  </si>
  <si>
    <t>42 X 110</t>
  </si>
  <si>
    <t>42 X 120</t>
  </si>
  <si>
    <t>42 X 130</t>
  </si>
  <si>
    <t>42 X 140</t>
  </si>
  <si>
    <t>42 X 150</t>
  </si>
  <si>
    <t>42 X 160</t>
  </si>
  <si>
    <t>42 X 170</t>
  </si>
  <si>
    <t>42 X 180</t>
  </si>
  <si>
    <t>42 X 190</t>
  </si>
  <si>
    <t>42 X 200</t>
  </si>
  <si>
    <t>42 X 210</t>
  </si>
  <si>
    <t>42 X 220</t>
  </si>
  <si>
    <t>42 X 230</t>
  </si>
  <si>
    <t>42 X 240</t>
  </si>
  <si>
    <t>42 X 250</t>
  </si>
  <si>
    <t>42 X 260</t>
  </si>
  <si>
    <t>42 X 270</t>
  </si>
  <si>
    <t>42 X 280</t>
  </si>
  <si>
    <t>42 X 290</t>
  </si>
  <si>
    <t>42 X 300</t>
  </si>
  <si>
    <t>45 X 80</t>
  </si>
  <si>
    <t>45 X 85</t>
  </si>
  <si>
    <t>45 X 90</t>
  </si>
  <si>
    <t>45 X 100</t>
  </si>
  <si>
    <t>45 X 110</t>
  </si>
  <si>
    <t>45 X 120</t>
  </si>
  <si>
    <t>45 X 130</t>
  </si>
  <si>
    <t>45 X 140</t>
  </si>
  <si>
    <t>45 X 150</t>
  </si>
  <si>
    <t>45 X 160</t>
  </si>
  <si>
    <t>45 X 170</t>
  </si>
  <si>
    <t>45 X 180</t>
  </si>
  <si>
    <t>45 X 190</t>
  </si>
  <si>
    <t>45 X 200</t>
  </si>
  <si>
    <t>45 X 210</t>
  </si>
  <si>
    <t>45 X 220</t>
  </si>
  <si>
    <t>45 X 230</t>
  </si>
  <si>
    <t>45 X 240</t>
  </si>
  <si>
    <t>45 X 250</t>
  </si>
  <si>
    <t>45 X 260</t>
  </si>
  <si>
    <t>45 X 270</t>
  </si>
  <si>
    <t>45 X 280</t>
  </si>
  <si>
    <t>45 X 290</t>
  </si>
  <si>
    <t>45 X 300</t>
  </si>
  <si>
    <t>SINGLE PC. WT.</t>
  </si>
  <si>
    <t>Quantity (pieces) IN 50 KGS</t>
  </si>
  <si>
    <t>Column1</t>
  </si>
  <si>
    <t>Rate / PER kg (₹)</t>
  </si>
  <si>
    <t>Amount by 50 KG</t>
  </si>
  <si>
    <t>FTI | SPL (MS SELF)</t>
  </si>
  <si>
    <t>FTI | SPL (8.8 HT ZP)</t>
  </si>
  <si>
    <t>FTI | SPL (10.9 HT A/B)</t>
  </si>
  <si>
    <t>FTI | SPL (12.9 HT A/B)</t>
  </si>
  <si>
    <t>PER PIECE RATE</t>
  </si>
  <si>
    <t>510FTI-MS</t>
  </si>
  <si>
    <t>515FTI-MS</t>
  </si>
  <si>
    <t>520FTI-MS</t>
  </si>
  <si>
    <t>525FTI-MS</t>
  </si>
  <si>
    <t>530FTI-MS</t>
  </si>
  <si>
    <t>535FTI-MS</t>
  </si>
  <si>
    <t>540FTI-MS</t>
  </si>
  <si>
    <t>545FTI-MS</t>
  </si>
  <si>
    <t>550FTI-MS</t>
  </si>
  <si>
    <t>555FTI-MS</t>
  </si>
  <si>
    <t>560FTI-MS</t>
  </si>
  <si>
    <t>565FTI-MS</t>
  </si>
  <si>
    <t>570FTI-MS</t>
  </si>
  <si>
    <t>575FTI-MS</t>
  </si>
  <si>
    <t>580FTI-MS</t>
  </si>
  <si>
    <t>610FTI-MS</t>
  </si>
  <si>
    <t>615FTI-MS</t>
  </si>
  <si>
    <t>620FTI-MS</t>
  </si>
  <si>
    <t>625FTI-MS</t>
  </si>
  <si>
    <t>630FTI-MS</t>
  </si>
  <si>
    <t>635FTI-MS</t>
  </si>
  <si>
    <t>640FTI-MS</t>
  </si>
  <si>
    <t>645FTI-MS</t>
  </si>
  <si>
    <t>650FTI-MS</t>
  </si>
  <si>
    <t>655FTI-MS</t>
  </si>
  <si>
    <t>660FTI-MS</t>
  </si>
  <si>
    <t>665FTI-MS</t>
  </si>
  <si>
    <t>670FTI-MS</t>
  </si>
  <si>
    <t>675FTI-MS</t>
  </si>
  <si>
    <t>680FTI-MS</t>
  </si>
  <si>
    <t>815FTI-MS</t>
  </si>
  <si>
    <t>820FTI-MS</t>
  </si>
  <si>
    <t>825FTI-MS</t>
  </si>
  <si>
    <t>830FTI-MS</t>
  </si>
  <si>
    <t>835FTI-MS</t>
  </si>
  <si>
    <t>840FTI-MS</t>
  </si>
  <si>
    <t>845FTI-MS</t>
  </si>
  <si>
    <t>850FTI-MS</t>
  </si>
  <si>
    <t>855FTI-MS</t>
  </si>
  <si>
    <t>860FTI-MS</t>
  </si>
  <si>
    <t>865FTI-MS</t>
  </si>
  <si>
    <t>870FTI-MS</t>
  </si>
  <si>
    <t>875FTI-MS</t>
  </si>
  <si>
    <t>880FTI-MS</t>
  </si>
  <si>
    <t>885FTI-MS</t>
  </si>
  <si>
    <t>890FTI-MS</t>
  </si>
  <si>
    <t>895FTI-MS</t>
  </si>
  <si>
    <t>8100FTI-MS</t>
  </si>
  <si>
    <t>1020FTI-MS</t>
  </si>
  <si>
    <t>1025FTI-MS</t>
  </si>
  <si>
    <t>1030FTI-MS</t>
  </si>
  <si>
    <t>1035FTI-MS</t>
  </si>
  <si>
    <t>1040FTI-MS</t>
  </si>
  <si>
    <t>1045FTI-MS</t>
  </si>
  <si>
    <t>1050FTI-MS</t>
  </si>
  <si>
    <t>1055FTI-MS</t>
  </si>
  <si>
    <t>1060FTI-MS</t>
  </si>
  <si>
    <t>1065FTI-MS</t>
  </si>
  <si>
    <t>1070FTI-MS</t>
  </si>
  <si>
    <t>1075FTI-MS</t>
  </si>
  <si>
    <t>1080FTI-MS</t>
  </si>
  <si>
    <t>1085FTI-MS</t>
  </si>
  <si>
    <t>1090FTI-MS</t>
  </si>
  <si>
    <t>1095FTI-MS</t>
  </si>
  <si>
    <t>1225FTI-MS</t>
  </si>
  <si>
    <t>1230FTI-MS</t>
  </si>
  <si>
    <t>1235FTI-MS</t>
  </si>
  <si>
    <t>1240FTI-MS</t>
  </si>
  <si>
    <t>1245FTI-MS</t>
  </si>
  <si>
    <t>1250FTI-MS</t>
  </si>
  <si>
    <t>1255FTI-MS</t>
  </si>
  <si>
    <t>1260FTI-MS</t>
  </si>
  <si>
    <t>1265FTI-MS</t>
  </si>
  <si>
    <t>1270FTI-MS</t>
  </si>
  <si>
    <t>1275FTI-MS</t>
  </si>
  <si>
    <t>1280FTI-MS</t>
  </si>
  <si>
    <t>1285FTI-MS</t>
  </si>
  <si>
    <t>1290FTI-MS</t>
  </si>
  <si>
    <t>1295FTI-MS</t>
  </si>
  <si>
    <t>1425FTI-MS</t>
  </si>
  <si>
    <t>1430FTI-MS</t>
  </si>
  <si>
    <t>1435FTI-MS</t>
  </si>
  <si>
    <t>1440FTI-MS</t>
  </si>
  <si>
    <t>1445FTI-MS</t>
  </si>
  <si>
    <t>1450FTI-MS</t>
  </si>
  <si>
    <t>1455FTI-MS</t>
  </si>
  <si>
    <t>1460FTI-MS</t>
  </si>
  <si>
    <t>1465FTI-MS</t>
  </si>
  <si>
    <t>1470FTI-MS</t>
  </si>
  <si>
    <t>1475FTI-MS</t>
  </si>
  <si>
    <t>1480FTI-MS</t>
  </si>
  <si>
    <t>1485FTI-MS</t>
  </si>
  <si>
    <t>1490FTI-MS</t>
  </si>
  <si>
    <t>1495FTI-MS</t>
  </si>
  <si>
    <t>1625FTI-MS</t>
  </si>
  <si>
    <t>1630FTI-MS</t>
  </si>
  <si>
    <t>1635FTI-MS</t>
  </si>
  <si>
    <t>1640FTI-MS</t>
  </si>
  <si>
    <t>1645FTI-MS</t>
  </si>
  <si>
    <t>1650FTI-MS</t>
  </si>
  <si>
    <t>1655FTI-MS</t>
  </si>
  <si>
    <t>1660FTI-MS</t>
  </si>
  <si>
    <t>1670FTI-MS</t>
  </si>
  <si>
    <t>1675FTI-MS</t>
  </si>
  <si>
    <t>1680FTI-MS</t>
  </si>
  <si>
    <t>1685FTI-MS</t>
  </si>
  <si>
    <t>1690FTI-MS</t>
  </si>
  <si>
    <t>1695FTI-MS</t>
  </si>
  <si>
    <t>2035FTI-MS</t>
  </si>
  <si>
    <t>2040FTI-MS</t>
  </si>
  <si>
    <t>2045FTI-MS</t>
  </si>
  <si>
    <t>2050FTI-MS</t>
  </si>
  <si>
    <t>2055FTI-MS</t>
  </si>
  <si>
    <t>2060FTI-MS</t>
  </si>
  <si>
    <t>2065FTI-MS</t>
  </si>
  <si>
    <t>2070FTI-MS</t>
  </si>
  <si>
    <t>2075FTI-MS</t>
  </si>
  <si>
    <t>2080FTI-MS</t>
  </si>
  <si>
    <t>2085FTI-MS</t>
  </si>
  <si>
    <t>2090FTI-MS</t>
  </si>
  <si>
    <t>2095FTI-MS</t>
  </si>
  <si>
    <t>2235FTI-MS</t>
  </si>
  <si>
    <t>2240FTI-MS</t>
  </si>
  <si>
    <t>2245FTI-MS</t>
  </si>
  <si>
    <t>2250FTI-MS</t>
  </si>
  <si>
    <t>2255FTI-MS</t>
  </si>
  <si>
    <t>2260FTI-MS</t>
  </si>
  <si>
    <t>2265FTI-MS</t>
  </si>
  <si>
    <t>2270FTI-MS</t>
  </si>
  <si>
    <t>2275FTI-MS</t>
  </si>
  <si>
    <t>2280FTI-MS</t>
  </si>
  <si>
    <t>2285FTI-MS</t>
  </si>
  <si>
    <t>2295FTI-MS</t>
  </si>
  <si>
    <t>2445FTI-MS</t>
  </si>
  <si>
    <t>2450FTI-MS</t>
  </si>
  <si>
    <t>2455FTI-MS</t>
  </si>
  <si>
    <t>2460FTI-MS</t>
  </si>
  <si>
    <t>2465FTI-MS</t>
  </si>
  <si>
    <t>2470FTI-MS</t>
  </si>
  <si>
    <t>2475FTI-MS</t>
  </si>
  <si>
    <t>2480FTI-MS</t>
  </si>
  <si>
    <t>2485FTI-MS</t>
  </si>
  <si>
    <t>2490FTI-MS</t>
  </si>
  <si>
    <t>2495FTI-MS</t>
  </si>
  <si>
    <t>2740FTI-MS</t>
  </si>
  <si>
    <t>2745FTI-MS</t>
  </si>
  <si>
    <t>2750FTI-MS</t>
  </si>
  <si>
    <t>2755FTI-MS</t>
  </si>
  <si>
    <t>2760FTI-MS</t>
  </si>
  <si>
    <t>2765FTI-MS</t>
  </si>
  <si>
    <t>2770FTI-MS</t>
  </si>
  <si>
    <t>2775FTI-MS</t>
  </si>
  <si>
    <t>2780FTI-MS</t>
  </si>
  <si>
    <t>2785FTI-MS</t>
  </si>
  <si>
    <t>2790FTI-MS</t>
  </si>
  <si>
    <t>2795FTI-MS</t>
  </si>
  <si>
    <t>3040FTI-MS</t>
  </si>
  <si>
    <t>3045FTI-MS</t>
  </si>
  <si>
    <t>3050FTI-MS</t>
  </si>
  <si>
    <t>3055FTI-MS</t>
  </si>
  <si>
    <t>3060FTI-MS</t>
  </si>
  <si>
    <t>3065FTI-MS</t>
  </si>
  <si>
    <t>3070FTI-MS</t>
  </si>
  <si>
    <t>3075FTI-MS</t>
  </si>
  <si>
    <t>3080FTI-MS</t>
  </si>
  <si>
    <t>3085FTI-MS</t>
  </si>
  <si>
    <t>3090FTI-MS</t>
  </si>
  <si>
    <t>3095FTI-MS</t>
  </si>
  <si>
    <t>3340FTI-MS</t>
  </si>
  <si>
    <t>3345FTI-MS</t>
  </si>
  <si>
    <t>3350FTI-MS</t>
  </si>
  <si>
    <t>3355FTI-MS</t>
  </si>
  <si>
    <t>3360FTI-MS</t>
  </si>
  <si>
    <t>3365FTI-MS</t>
  </si>
  <si>
    <t>3370FTI-MS</t>
  </si>
  <si>
    <t>3375FTI-MS</t>
  </si>
  <si>
    <t>3380FTI-MS</t>
  </si>
  <si>
    <t>3385FTI-MS</t>
  </si>
  <si>
    <t>3390FTI-MS</t>
  </si>
  <si>
    <t>3650FTI-MS</t>
  </si>
  <si>
    <t>3655FTI-MS</t>
  </si>
  <si>
    <t>3660FTI-MS</t>
  </si>
  <si>
    <t>3665FTI-MS</t>
  </si>
  <si>
    <t>3670FTI-MS</t>
  </si>
  <si>
    <t>3675FTI-MS</t>
  </si>
  <si>
    <t>3680FTI-MS</t>
  </si>
  <si>
    <t>3685FTI-MS</t>
  </si>
  <si>
    <t>3690FTI-MS</t>
  </si>
  <si>
    <t>3695FTI-MS</t>
  </si>
  <si>
    <t>3960FTI-MS</t>
  </si>
  <si>
    <t>3965FTI-MS</t>
  </si>
  <si>
    <t>3970FTI-MS</t>
  </si>
  <si>
    <t>3975FTI-MS</t>
  </si>
  <si>
    <t>3980FTI-MS</t>
  </si>
  <si>
    <t>3985FTI-MS</t>
  </si>
  <si>
    <t>3990FTI-MS</t>
  </si>
  <si>
    <t>3995FTI-MS</t>
  </si>
  <si>
    <t>4270FTI-MS</t>
  </si>
  <si>
    <t>4275FTI-MS</t>
  </si>
  <si>
    <t>4280FTI-MS</t>
  </si>
  <si>
    <t>4285FTI-MS</t>
  </si>
  <si>
    <t>4290FTI-MS</t>
  </si>
  <si>
    <t>4295FTI-MS</t>
  </si>
  <si>
    <t>4580FTI-MS</t>
  </si>
  <si>
    <t>4585FTI-MS</t>
  </si>
  <si>
    <t>4590FTI-MS</t>
  </si>
  <si>
    <t>10100FTI-MS</t>
  </si>
  <si>
    <t>10110FTI-MS</t>
  </si>
  <si>
    <t>10120FTI-MS</t>
  </si>
  <si>
    <t>10140FTI-MS</t>
  </si>
  <si>
    <t>10150FTI-MS</t>
  </si>
  <si>
    <t>12100FTI-MS</t>
  </si>
  <si>
    <t>12110FTI-MS</t>
  </si>
  <si>
    <t>12120FTI-MS</t>
  </si>
  <si>
    <t>12130FTI-MS</t>
  </si>
  <si>
    <t>12140FTI-MS</t>
  </si>
  <si>
    <t>12150FTI-MS</t>
  </si>
  <si>
    <t>12160FTI-MS</t>
  </si>
  <si>
    <t>12170FTI-MS</t>
  </si>
  <si>
    <t>12180FTI-MS</t>
  </si>
  <si>
    <t>12190FTI-MS</t>
  </si>
  <si>
    <t>12200FTI-MS</t>
  </si>
  <si>
    <t>14100FTI-MS</t>
  </si>
  <si>
    <t>14110FTI-MS</t>
  </si>
  <si>
    <t>14120FTI-MS</t>
  </si>
  <si>
    <t>14140FTI-MS</t>
  </si>
  <si>
    <t>14150FTI-MS</t>
  </si>
  <si>
    <t>14160FTI-MS</t>
  </si>
  <si>
    <t>14170FTI-MS</t>
  </si>
  <si>
    <t>14180FTI-MS</t>
  </si>
  <si>
    <t>14190FTI-MS</t>
  </si>
  <si>
    <t>14200FTI-MS</t>
  </si>
  <si>
    <t>16100FTI-MS</t>
  </si>
  <si>
    <t>16110FTI-MS</t>
  </si>
  <si>
    <t>16120FTI-MS</t>
  </si>
  <si>
    <t>16130FTI-MS</t>
  </si>
  <si>
    <t>16140FTI-MS</t>
  </si>
  <si>
    <t>16150FTI-MS</t>
  </si>
  <si>
    <t>16160FTI-MS</t>
  </si>
  <si>
    <t>16170FTI-MS</t>
  </si>
  <si>
    <t>16180FTI-MS</t>
  </si>
  <si>
    <t>16190FTI-MS</t>
  </si>
  <si>
    <t>16200FTI-MS</t>
  </si>
  <si>
    <t>20100FTI-MS</t>
  </si>
  <si>
    <t>20110FTI-MS</t>
  </si>
  <si>
    <t>20120FTI-MS</t>
  </si>
  <si>
    <t>20130FTI-MS</t>
  </si>
  <si>
    <t>20140FTI-MS</t>
  </si>
  <si>
    <t>20150FTI-MS</t>
  </si>
  <si>
    <t>20160FTI-MS</t>
  </si>
  <si>
    <t>20180FTI-MS</t>
  </si>
  <si>
    <t>20190FTI-MS</t>
  </si>
  <si>
    <t>20200FTI-MS</t>
  </si>
  <si>
    <t>2290FTI-MS</t>
  </si>
  <si>
    <t>22100FTI-MS</t>
  </si>
  <si>
    <t>22110FTI-MS</t>
  </si>
  <si>
    <t>22120FTI-MS</t>
  </si>
  <si>
    <t>22130FTI-MS</t>
  </si>
  <si>
    <t>22140FTI-MS</t>
  </si>
  <si>
    <t>22150FTI-MS</t>
  </si>
  <si>
    <t>22160FTI-MS</t>
  </si>
  <si>
    <t>22170FTI-MS</t>
  </si>
  <si>
    <t>22180FTI-MS</t>
  </si>
  <si>
    <t>22190FTI-MS</t>
  </si>
  <si>
    <t>22200FTI-MS</t>
  </si>
  <si>
    <t>24100FTI-MS</t>
  </si>
  <si>
    <t>24110FTI-MS</t>
  </si>
  <si>
    <t>24120FTI-MS</t>
  </si>
  <si>
    <t>24130FTI-MS</t>
  </si>
  <si>
    <t>24140FTI-MS</t>
  </si>
  <si>
    <t>24150FTI-MS</t>
  </si>
  <si>
    <t>24160FTI-MS</t>
  </si>
  <si>
    <t>24170FTI-MS</t>
  </si>
  <si>
    <t>24180FTI-MS</t>
  </si>
  <si>
    <t>24190FTI-MS</t>
  </si>
  <si>
    <t>24200FTI-MS</t>
  </si>
  <si>
    <t>27100FTI-MS</t>
  </si>
  <si>
    <t>27110FTI-MS</t>
  </si>
  <si>
    <t>27120FTI-MS</t>
  </si>
  <si>
    <t>27130FTI-MS</t>
  </si>
  <si>
    <t>27140FTI-MS</t>
  </si>
  <si>
    <t>27150FTI-MS</t>
  </si>
  <si>
    <t>27160FTI-MS</t>
  </si>
  <si>
    <t>27170FTI-MS</t>
  </si>
  <si>
    <t>27180FTI-MS</t>
  </si>
  <si>
    <t>27190FTI-MS</t>
  </si>
  <si>
    <t>27200FTI-MS</t>
  </si>
  <si>
    <t>27210FTI-MS</t>
  </si>
  <si>
    <t>27220FTI-MS</t>
  </si>
  <si>
    <t>27230FTI-MS</t>
  </si>
  <si>
    <t>27240FTI-MS</t>
  </si>
  <si>
    <t>27250FTI-MS</t>
  </si>
  <si>
    <t>27260FTI-MS</t>
  </si>
  <si>
    <t>27270FTI-MS</t>
  </si>
  <si>
    <t>27280FTI-MS</t>
  </si>
  <si>
    <t>27290FTI-MS</t>
  </si>
  <si>
    <t>27300FTI-MS</t>
  </si>
  <si>
    <t>30100FTI-MS</t>
  </si>
  <si>
    <t>30110FTI-MS</t>
  </si>
  <si>
    <t>30120FTI-MS</t>
  </si>
  <si>
    <t>30130FTI-MS</t>
  </si>
  <si>
    <t>30140FTI-MS</t>
  </si>
  <si>
    <t>30150FTI-MS</t>
  </si>
  <si>
    <t>30160FTI-MS</t>
  </si>
  <si>
    <t>30170FTI-MS</t>
  </si>
  <si>
    <t>30180FTI-MS</t>
  </si>
  <si>
    <t>30190FTI-MS</t>
  </si>
  <si>
    <t>30200FTI-MS</t>
  </si>
  <si>
    <t>30210FTI-MS</t>
  </si>
  <si>
    <t>30220FTI-MS</t>
  </si>
  <si>
    <t>30230FTI-MS</t>
  </si>
  <si>
    <t>30240FTI-MS</t>
  </si>
  <si>
    <t>30250FTI-MS</t>
  </si>
  <si>
    <t>30260FTI-MS</t>
  </si>
  <si>
    <t>30270FTI-MS</t>
  </si>
  <si>
    <t>30280FTI-MS</t>
  </si>
  <si>
    <t>30290FTI-MS</t>
  </si>
  <si>
    <t>30300FTI-MS</t>
  </si>
  <si>
    <t>33100FTI-MS</t>
  </si>
  <si>
    <t>33110FTI-MS</t>
  </si>
  <si>
    <t>33120FTI-MS</t>
  </si>
  <si>
    <t>33130FTI-MS</t>
  </si>
  <si>
    <t>33140FTI-MS</t>
  </si>
  <si>
    <t>33150FTI-MS</t>
  </si>
  <si>
    <t>33160FTI-MS</t>
  </si>
  <si>
    <t>33170FTI-MS</t>
  </si>
  <si>
    <t>33180FTI-MS</t>
  </si>
  <si>
    <t>33190FTI-MS</t>
  </si>
  <si>
    <t>33200FTI-MS</t>
  </si>
  <si>
    <t>33210FTI-MS</t>
  </si>
  <si>
    <t>33220FTI-MS</t>
  </si>
  <si>
    <t>33230FTI-MS</t>
  </si>
  <si>
    <t>33240FTI-MS</t>
  </si>
  <si>
    <t>33250FTI-MS</t>
  </si>
  <si>
    <t>33260FTI-MS</t>
  </si>
  <si>
    <t>33270FTI-MS</t>
  </si>
  <si>
    <t>33280FTI-MS</t>
  </si>
  <si>
    <t>33290FTI-MS</t>
  </si>
  <si>
    <t>33300FTI-MS</t>
  </si>
  <si>
    <t>36100FTI-MS</t>
  </si>
  <si>
    <t>36110FTI-MS</t>
  </si>
  <si>
    <t>36120FTI-MS</t>
  </si>
  <si>
    <t>36130FTI-MS</t>
  </si>
  <si>
    <t>36140FTI-MS</t>
  </si>
  <si>
    <t>36150FTI-MS</t>
  </si>
  <si>
    <t>36160FTI-MS</t>
  </si>
  <si>
    <t>36170FTI-MS</t>
  </si>
  <si>
    <t>36180FTI-MS</t>
  </si>
  <si>
    <t>36190FTI-MS</t>
  </si>
  <si>
    <t>36200FTI-MS</t>
  </si>
  <si>
    <t>36210FTI-MS</t>
  </si>
  <si>
    <t>36220FTI-MS</t>
  </si>
  <si>
    <t>36230FTI-MS</t>
  </si>
  <si>
    <t>36240FTI-MS</t>
  </si>
  <si>
    <t>36250FTI-MS</t>
  </si>
  <si>
    <t>36260FTI-MS</t>
  </si>
  <si>
    <t>36270FTI-MS</t>
  </si>
  <si>
    <t>36280FTI-MS</t>
  </si>
  <si>
    <t>36290FTI-MS</t>
  </si>
  <si>
    <t>36300FTI-MS</t>
  </si>
  <si>
    <t>39100FTI-MS</t>
  </si>
  <si>
    <t>39110FTI-MS</t>
  </si>
  <si>
    <t>39120FTI-MS</t>
  </si>
  <si>
    <t>39130FTI-MS</t>
  </si>
  <si>
    <t>39140FTI-MS</t>
  </si>
  <si>
    <t>39150FTI-MS</t>
  </si>
  <si>
    <t>39160FTI-MS</t>
  </si>
  <si>
    <t>39170FTI-MS</t>
  </si>
  <si>
    <t>39180FTI-MS</t>
  </si>
  <si>
    <t>39190FTI-MS</t>
  </si>
  <si>
    <t>39200FTI-MS</t>
  </si>
  <si>
    <t>39210FTI-MS</t>
  </si>
  <si>
    <t>39220FTI-MS</t>
  </si>
  <si>
    <t>39230FTI-MS</t>
  </si>
  <si>
    <t>39240FTI-MS</t>
  </si>
  <si>
    <t>39250FTI-MS</t>
  </si>
  <si>
    <t>39260FTI-MS</t>
  </si>
  <si>
    <t>39270FTI-MS</t>
  </si>
  <si>
    <t>39280FTI-MS</t>
  </si>
  <si>
    <t>39290FTI-MS</t>
  </si>
  <si>
    <t>39300FTI-MS</t>
  </si>
  <si>
    <t>42100FTI-MS</t>
  </si>
  <si>
    <t>42110FTI-MS</t>
  </si>
  <si>
    <t>42120FTI-MS</t>
  </si>
  <si>
    <t>42130FTI-MS</t>
  </si>
  <si>
    <t>42140FTI-MS</t>
  </si>
  <si>
    <t>42150FTI-MS</t>
  </si>
  <si>
    <t>42160FTI-MS</t>
  </si>
  <si>
    <t>42170FTI-MS</t>
  </si>
  <si>
    <t>42180FTI-MS</t>
  </si>
  <si>
    <t>42190FTI-MS</t>
  </si>
  <si>
    <t>42200FTI-MS</t>
  </si>
  <si>
    <t>42210FTI-MS</t>
  </si>
  <si>
    <t>42220FTI-MS</t>
  </si>
  <si>
    <t>42230FTI-MS</t>
  </si>
  <si>
    <t>42240FTI-MS</t>
  </si>
  <si>
    <t>42250FTI-MS</t>
  </si>
  <si>
    <t>42260FTI-MS</t>
  </si>
  <si>
    <t>42270FTI-MS</t>
  </si>
  <si>
    <t>42280FTI-MS</t>
  </si>
  <si>
    <t>42290FTI-MS</t>
  </si>
  <si>
    <t>42300FTI-MS</t>
  </si>
  <si>
    <t>45100FTI-MS</t>
  </si>
  <si>
    <t>45110FTI-MS</t>
  </si>
  <si>
    <t>45120FTI-MS</t>
  </si>
  <si>
    <t>45130FTI-MS</t>
  </si>
  <si>
    <t>45140FTI-MS</t>
  </si>
  <si>
    <t>45150FTI-MS</t>
  </si>
  <si>
    <t>45160FTI-MS</t>
  </si>
  <si>
    <t>45170FTI-MS</t>
  </si>
  <si>
    <t>45180FTI-MS</t>
  </si>
  <si>
    <t>45190FTI-MS</t>
  </si>
  <si>
    <t>45200FTI-MS</t>
  </si>
  <si>
    <t>45210FTI-MS</t>
  </si>
  <si>
    <t>45220FTI-MS</t>
  </si>
  <si>
    <t>45230FTI-MS</t>
  </si>
  <si>
    <t>45240FTI-MS</t>
  </si>
  <si>
    <t>45250FTI-MS</t>
  </si>
  <si>
    <t>45260FTI-MS</t>
  </si>
  <si>
    <t>45270FTI-MS</t>
  </si>
  <si>
    <t>45280FTI-MS</t>
  </si>
  <si>
    <t>45290FTI-MS</t>
  </si>
  <si>
    <t>45300FTI-MS</t>
  </si>
  <si>
    <t>10 X 130</t>
  </si>
  <si>
    <t>10130FTI-MS</t>
  </si>
  <si>
    <t>14 X 130</t>
  </si>
  <si>
    <t>14130FTI-MS</t>
  </si>
  <si>
    <t>510FTI-8.8ZP</t>
  </si>
  <si>
    <t>ZP</t>
  </si>
  <si>
    <t>515FTI8.8ZP</t>
  </si>
  <si>
    <t>520FTI8.8ZP</t>
  </si>
  <si>
    <t>525FTI8.8ZP</t>
  </si>
  <si>
    <t>530FTI8.8ZP</t>
  </si>
  <si>
    <t>535FTI8.8ZP</t>
  </si>
  <si>
    <t>540FTI8.8ZP</t>
  </si>
  <si>
    <t>545FTI8.8ZP</t>
  </si>
  <si>
    <t>550FTI8.8ZP</t>
  </si>
  <si>
    <t>555FTI8.8ZP</t>
  </si>
  <si>
    <t>560FTI8.8ZP</t>
  </si>
  <si>
    <t>565FTI8.8ZP</t>
  </si>
  <si>
    <t>570FTI8.8ZP</t>
  </si>
  <si>
    <t>575FTI8.8ZP</t>
  </si>
  <si>
    <t>580FTI8.8ZP</t>
  </si>
  <si>
    <t>610FTI8.8ZP</t>
  </si>
  <si>
    <t>615FTI8.8ZP</t>
  </si>
  <si>
    <t>620FTI8.8ZP</t>
  </si>
  <si>
    <t>625FTI8.8ZP</t>
  </si>
  <si>
    <t>630FTI8.8ZP</t>
  </si>
  <si>
    <t>635FTI8.8ZP</t>
  </si>
  <si>
    <t>640FTI8.8ZP</t>
  </si>
  <si>
    <t>645FTI8.8ZP</t>
  </si>
  <si>
    <t>650FTI8.8ZP</t>
  </si>
  <si>
    <t>655FTI8.8ZP</t>
  </si>
  <si>
    <t>660FTI8.8ZP</t>
  </si>
  <si>
    <t>665FTI8.8ZP</t>
  </si>
  <si>
    <t>670FTI8.8ZP</t>
  </si>
  <si>
    <t>675FTI8.8ZP</t>
  </si>
  <si>
    <t>680FTI8.8ZP</t>
  </si>
  <si>
    <t>815FTI8.8ZP</t>
  </si>
  <si>
    <t>820FTI8.8ZP</t>
  </si>
  <si>
    <t>825FTI8.8ZP</t>
  </si>
  <si>
    <t>830FTI8.8ZP</t>
  </si>
  <si>
    <t>835FTI8.8ZP</t>
  </si>
  <si>
    <t>840FTI8.8ZP</t>
  </si>
  <si>
    <t>845FTI8.8ZP</t>
  </si>
  <si>
    <t>850FTI8.8ZP</t>
  </si>
  <si>
    <t>855FTI8.8ZP</t>
  </si>
  <si>
    <t>860FTI8.8ZP</t>
  </si>
  <si>
    <t>865FTI8.8ZP</t>
  </si>
  <si>
    <t>870FTI8.8ZP</t>
  </si>
  <si>
    <t>875FTI8.8ZP</t>
  </si>
  <si>
    <t>880FTI8.8ZP</t>
  </si>
  <si>
    <t>885FTI8.8ZP</t>
  </si>
  <si>
    <t>890FTI8.8ZP</t>
  </si>
  <si>
    <t>895FTI8.8ZP</t>
  </si>
  <si>
    <t>8100FTI8.8ZP</t>
  </si>
  <si>
    <t>1020FTI8.8ZP</t>
  </si>
  <si>
    <t>1025FTI8.8ZP</t>
  </si>
  <si>
    <t>1030FTI8.8ZP</t>
  </si>
  <si>
    <t>1035FTI8.8ZP</t>
  </si>
  <si>
    <t>1040FTI8.8ZP</t>
  </si>
  <si>
    <t>1045FTI8.8ZP</t>
  </si>
  <si>
    <t>1050FTI8.8ZP</t>
  </si>
  <si>
    <t>1055FTI8.8ZP</t>
  </si>
  <si>
    <t>1060FTI8.8ZP</t>
  </si>
  <si>
    <t>1065FTI8.8ZP</t>
  </si>
  <si>
    <t>1070FTI8.8ZP</t>
  </si>
  <si>
    <t>1075FTI8.8ZP</t>
  </si>
  <si>
    <t>1080FTI8.8ZP</t>
  </si>
  <si>
    <t>1085FTI8.8ZP</t>
  </si>
  <si>
    <t>1090FTI8.8ZP</t>
  </si>
  <si>
    <t>1095FTI8.8ZP</t>
  </si>
  <si>
    <t>10100FTI8.8ZP</t>
  </si>
  <si>
    <t>10110FTI8.8ZP</t>
  </si>
  <si>
    <t>10120FTI8.8ZP</t>
  </si>
  <si>
    <t>10140FTI8.8ZP</t>
  </si>
  <si>
    <t>10150FTI8.8ZP</t>
  </si>
  <si>
    <t>1225FTI8.8ZP</t>
  </si>
  <si>
    <t>1230FTI8.8ZP</t>
  </si>
  <si>
    <t>1235FTI8.8ZP</t>
  </si>
  <si>
    <t>1240FTI8.8ZP</t>
  </si>
  <si>
    <t>1245FTI8.8ZP</t>
  </si>
  <si>
    <t>1250FTI8.8ZP</t>
  </si>
  <si>
    <t>1255FTI8.8ZP</t>
  </si>
  <si>
    <t>1260FTI8.8ZP</t>
  </si>
  <si>
    <t>1265FTI8.8ZP</t>
  </si>
  <si>
    <t>1270FTI8.8ZP</t>
  </si>
  <si>
    <t>1275FTI8.8ZP</t>
  </si>
  <si>
    <t>1280FTI8.8ZP</t>
  </si>
  <si>
    <t>1285FTI8.8ZP</t>
  </si>
  <si>
    <t>1290FTI8.8ZP</t>
  </si>
  <si>
    <t>1295FTI8.8ZP</t>
  </si>
  <si>
    <t>12100FTI8.8ZP</t>
  </si>
  <si>
    <t>12110FTI8.8ZP</t>
  </si>
  <si>
    <t>12120FTI8.8ZP</t>
  </si>
  <si>
    <t>12130FTI8.8ZP</t>
  </si>
  <si>
    <t>12140FTI8.8ZP</t>
  </si>
  <si>
    <t>12150FTI8.8ZP</t>
  </si>
  <si>
    <t>12160FTI8.8ZP</t>
  </si>
  <si>
    <t>12170FTI8.8ZP</t>
  </si>
  <si>
    <t>12180FTI8.8ZP</t>
  </si>
  <si>
    <t>12190FTI8.8ZP</t>
  </si>
  <si>
    <t>12200FTI8.8ZP</t>
  </si>
  <si>
    <t>1425FTI8.8ZP</t>
  </si>
  <si>
    <t>1430FTI8.8ZP</t>
  </si>
  <si>
    <t>1435FTI8.8ZP</t>
  </si>
  <si>
    <t>1440FTI8.8ZP</t>
  </si>
  <si>
    <t>1445FTI8.8ZP</t>
  </si>
  <si>
    <t>1450FTI8.8ZP</t>
  </si>
  <si>
    <t>1455FTI8.8ZP</t>
  </si>
  <si>
    <t>1460FTI8.8ZP</t>
  </si>
  <si>
    <t>1465FTI8.8ZP</t>
  </si>
  <si>
    <t>1470FTI8.8ZP</t>
  </si>
  <si>
    <t>1475FTI8.8ZP</t>
  </si>
  <si>
    <t>1480FTI8.8ZP</t>
  </si>
  <si>
    <t>1485FTI8.8ZP</t>
  </si>
  <si>
    <t>1490FTI8.8ZP</t>
  </si>
  <si>
    <t>1495FTI8.8ZP</t>
  </si>
  <si>
    <t>14100FTI8.8ZP</t>
  </si>
  <si>
    <t>14110FTI8.8ZP</t>
  </si>
  <si>
    <t>14120FTI8.8ZP</t>
  </si>
  <si>
    <t>14140FTI8.8ZP</t>
  </si>
  <si>
    <t>14150FTI8.8ZP</t>
  </si>
  <si>
    <t>14160FTI8.8ZP</t>
  </si>
  <si>
    <t>14170FTI8.8ZP</t>
  </si>
  <si>
    <t>14180FTI8.8ZP</t>
  </si>
  <si>
    <t>14190FTI8.8ZP</t>
  </si>
  <si>
    <t>14200FTI8.8ZP</t>
  </si>
  <si>
    <t>1625FTI8.8ZP</t>
  </si>
  <si>
    <t>1630FTI8.8ZP</t>
  </si>
  <si>
    <t>1635FTI8.8ZP</t>
  </si>
  <si>
    <t>1640FTI8.8ZP</t>
  </si>
  <si>
    <t>1645FTI8.8ZP</t>
  </si>
  <si>
    <t>1650FTI8.8ZP</t>
  </si>
  <si>
    <t>1655FTI8.8ZP</t>
  </si>
  <si>
    <t>1660FTI8.8ZP</t>
  </si>
  <si>
    <t>1670FTI8.8ZP</t>
  </si>
  <si>
    <t>1675FTI8.8ZP</t>
  </si>
  <si>
    <t>1680FTI8.8ZP</t>
  </si>
  <si>
    <t>1685FTI8.8ZP</t>
  </si>
  <si>
    <t>1690FTI8.8ZP</t>
  </si>
  <si>
    <t>1695FTI8.8ZP</t>
  </si>
  <si>
    <t>16100FTI8.8ZP</t>
  </si>
  <si>
    <t>16110FTI8.8ZP</t>
  </si>
  <si>
    <t>16120FTI8.8ZP</t>
  </si>
  <si>
    <t>16130FTI8.8ZP</t>
  </si>
  <si>
    <t>16140FTI8.8ZP</t>
  </si>
  <si>
    <t>16150FTI8.8ZP</t>
  </si>
  <si>
    <t>16160FTI8.8ZP</t>
  </si>
  <si>
    <t>16170FTI8.8ZP</t>
  </si>
  <si>
    <t>16180FTI8.8ZP</t>
  </si>
  <si>
    <t>16190FTI8.8ZP</t>
  </si>
  <si>
    <t>16200FTI8.8ZP</t>
  </si>
  <si>
    <t>2035FTI8.8ZP</t>
  </si>
  <si>
    <t>2040FTI8.8ZP</t>
  </si>
  <si>
    <t>2045FTI8.8ZP</t>
  </si>
  <si>
    <t>2050FTI8.8ZP</t>
  </si>
  <si>
    <t>2055FTI8.8ZP</t>
  </si>
  <si>
    <t>2060FTI8.8ZP</t>
  </si>
  <si>
    <t>2065FTI8.8ZP</t>
  </si>
  <si>
    <t>2070FTI8.8ZP</t>
  </si>
  <si>
    <t>2075FTI8.8ZP</t>
  </si>
  <si>
    <t>2080FTI8.8ZP</t>
  </si>
  <si>
    <t>2085FTI8.8ZP</t>
  </si>
  <si>
    <t>2090FTI8.8ZP</t>
  </si>
  <si>
    <t>2095FTI8.8ZP</t>
  </si>
  <si>
    <t>20100FTI8.8ZP</t>
  </si>
  <si>
    <t>20110FTI8.8ZP</t>
  </si>
  <si>
    <t>20120FTI8.8ZP</t>
  </si>
  <si>
    <t>20130FTI8.8ZP</t>
  </si>
  <si>
    <t>20140FTI8.8ZP</t>
  </si>
  <si>
    <t>20150FTI8.8ZP</t>
  </si>
  <si>
    <t>20160FTI8.8ZP</t>
  </si>
  <si>
    <t>20180FTI8.8ZP</t>
  </si>
  <si>
    <t>20190FTI8.8ZP</t>
  </si>
  <si>
    <t>20200FTI8.8ZP</t>
  </si>
  <si>
    <t>2235FTI8.8ZP</t>
  </si>
  <si>
    <t>2240FTI8.8ZP</t>
  </si>
  <si>
    <t>2245FTI8.8ZP</t>
  </si>
  <si>
    <t>2250FTI8.8ZP</t>
  </si>
  <si>
    <t>2255FTI8.8ZP</t>
  </si>
  <si>
    <t>2260FTI8.8ZP</t>
  </si>
  <si>
    <t>2265FTI8.8ZP</t>
  </si>
  <si>
    <t>2270FTI8.8ZP</t>
  </si>
  <si>
    <t>2275FTI8.8ZP</t>
  </si>
  <si>
    <t>2280FTI8.8ZP</t>
  </si>
  <si>
    <t>2285FTI8.8ZP</t>
  </si>
  <si>
    <t>2290FTI8.8ZP</t>
  </si>
  <si>
    <t>2295FTI8.8ZP</t>
  </si>
  <si>
    <t>22100FTI8.8ZP</t>
  </si>
  <si>
    <t>22110FTI8.8ZP</t>
  </si>
  <si>
    <t>22120FTI8.8ZP</t>
  </si>
  <si>
    <t>22130FTI8.8ZP</t>
  </si>
  <si>
    <t>22140FTI8.8ZP</t>
  </si>
  <si>
    <t>22150FTI8.8ZP</t>
  </si>
  <si>
    <t>22160FTI8.8ZP</t>
  </si>
  <si>
    <t>22170FTI8.8ZP</t>
  </si>
  <si>
    <t>22180FTI8.8ZP</t>
  </si>
  <si>
    <t>22190FTI8.8ZP</t>
  </si>
  <si>
    <t>22200FTI8.8ZP</t>
  </si>
  <si>
    <t>2445FTI8.8ZP</t>
  </si>
  <si>
    <t>2450FTI8.8ZP</t>
  </si>
  <si>
    <t>2455FTI8.8ZP</t>
  </si>
  <si>
    <t>2460FTI8.8ZP</t>
  </si>
  <si>
    <t>2465FTI8.8ZP</t>
  </si>
  <si>
    <t>2470FTI8.8ZP</t>
  </si>
  <si>
    <t>2475FTI8.8ZP</t>
  </si>
  <si>
    <t>2480FTI8.8ZP</t>
  </si>
  <si>
    <t>2485FTI8.8ZP</t>
  </si>
  <si>
    <t>2490FTI8.8ZP</t>
  </si>
  <si>
    <t>2495FTI8.8ZP</t>
  </si>
  <si>
    <t>24100FTI8.8ZP</t>
  </si>
  <si>
    <t>24110FTI8.8ZP</t>
  </si>
  <si>
    <t>24120FTI8.8ZP</t>
  </si>
  <si>
    <t>24130FTI8.8ZP</t>
  </si>
  <si>
    <t>24140FTI8.8ZP</t>
  </si>
  <si>
    <t>24150FTI8.8ZP</t>
  </si>
  <si>
    <t>24160FTI8.8ZP</t>
  </si>
  <si>
    <t>24170FTI8.8ZP</t>
  </si>
  <si>
    <t>24180FTI8.8ZP</t>
  </si>
  <si>
    <t>24190FTI8.8ZP</t>
  </si>
  <si>
    <t>24200FTI8.8ZP</t>
  </si>
  <si>
    <t>2740FTI8.8ZP</t>
  </si>
  <si>
    <t>2745FTI8.8ZP</t>
  </si>
  <si>
    <t>2750FTI8.8ZP</t>
  </si>
  <si>
    <t>2755FTI8.8ZP</t>
  </si>
  <si>
    <t>2760FTI8.8ZP</t>
  </si>
  <si>
    <t>2765FTI8.8ZP</t>
  </si>
  <si>
    <t>2770FTI8.8ZP</t>
  </si>
  <si>
    <t>2775FTI8.8ZP</t>
  </si>
  <si>
    <t>2780FTI8.8ZP</t>
  </si>
  <si>
    <t>2785FTI8.8ZP</t>
  </si>
  <si>
    <t>2790FTI8.8ZP</t>
  </si>
  <si>
    <t>2795FTI8.8ZP</t>
  </si>
  <si>
    <t>27100FTI8.8ZP</t>
  </si>
  <si>
    <t>27110FTI8.8ZP</t>
  </si>
  <si>
    <t>27120FTI8.8ZP</t>
  </si>
  <si>
    <t>27130FTI8.8ZP</t>
  </si>
  <si>
    <t>27140FTI8.8ZP</t>
  </si>
  <si>
    <t>27150FTI8.8ZP</t>
  </si>
  <si>
    <t>27160FTI8.8ZP</t>
  </si>
  <si>
    <t>27170FTI8.8ZP</t>
  </si>
  <si>
    <t>27180FTI8.8ZP</t>
  </si>
  <si>
    <t>27190FTI8.8ZP</t>
  </si>
  <si>
    <t>27200FTI8.8ZP</t>
  </si>
  <si>
    <t>27210FTI8.8ZP</t>
  </si>
  <si>
    <t>27220FTI8.8ZP</t>
  </si>
  <si>
    <t>27230FTI8.8ZP</t>
  </si>
  <si>
    <t>27240FTI8.8ZP</t>
  </si>
  <si>
    <t>27250FTI8.8ZP</t>
  </si>
  <si>
    <t>27260FTI8.8ZP</t>
  </si>
  <si>
    <t>27270FTI8.8ZP</t>
  </si>
  <si>
    <t>27280FTI8.8ZP</t>
  </si>
  <si>
    <t>27290FTI8.8ZP</t>
  </si>
  <si>
    <t>27300FTI8.8ZP</t>
  </si>
  <si>
    <t>3040FTI8.8ZP</t>
  </si>
  <si>
    <t>3045FTI8.8ZP</t>
  </si>
  <si>
    <t>3050FTI8.8ZP</t>
  </si>
  <si>
    <t>3055FTI8.8ZP</t>
  </si>
  <si>
    <t>3060FTI8.8ZP</t>
  </si>
  <si>
    <t>3065FTI8.8ZP</t>
  </si>
  <si>
    <t>3070FTI8.8ZP</t>
  </si>
  <si>
    <t>3075FTI8.8ZP</t>
  </si>
  <si>
    <t>3080FTI8.8ZP</t>
  </si>
  <si>
    <t>3085FTI8.8ZP</t>
  </si>
  <si>
    <t>3090FTI8.8ZP</t>
  </si>
  <si>
    <t>3095FTI8.8ZP</t>
  </si>
  <si>
    <t>30100FTI8.8ZP</t>
  </si>
  <si>
    <t>30110FTI8.8ZP</t>
  </si>
  <si>
    <t>30120FTI8.8ZP</t>
  </si>
  <si>
    <t>30130FTI8.8ZP</t>
  </si>
  <si>
    <t>30140FTI8.8ZP</t>
  </si>
  <si>
    <t>30150FTI8.8ZP</t>
  </si>
  <si>
    <t>30160FTI8.8ZP</t>
  </si>
  <si>
    <t>30170FTI8.8ZP</t>
  </si>
  <si>
    <t>30180FTI8.8ZP</t>
  </si>
  <si>
    <t>30190FTI8.8ZP</t>
  </si>
  <si>
    <t>30200FTI8.8ZP</t>
  </si>
  <si>
    <t>30210FTI8.8ZP</t>
  </si>
  <si>
    <t>30220FTI8.8ZP</t>
  </si>
  <si>
    <t>30230FTI8.8ZP</t>
  </si>
  <si>
    <t>30240FTI8.8ZP</t>
  </si>
  <si>
    <t>30250FTI8.8ZP</t>
  </si>
  <si>
    <t>30260FTI8.8ZP</t>
  </si>
  <si>
    <t>30270FTI8.8ZP</t>
  </si>
  <si>
    <t>30280FTI8.8ZP</t>
  </si>
  <si>
    <t>30290FTI8.8ZP</t>
  </si>
  <si>
    <t>30300FTI8.8ZP</t>
  </si>
  <si>
    <t>3340FTI8.8ZP</t>
  </si>
  <si>
    <t>3345FTI8.8ZP</t>
  </si>
  <si>
    <t>3350FTI8.8ZP</t>
  </si>
  <si>
    <t>3355FTI8.8ZP</t>
  </si>
  <si>
    <t>3360FTI8.8ZP</t>
  </si>
  <si>
    <t>3365FTI8.8ZP</t>
  </si>
  <si>
    <t>3370FTI8.8ZP</t>
  </si>
  <si>
    <t>3375FTI8.8ZP</t>
  </si>
  <si>
    <t>3380FTI8.8ZP</t>
  </si>
  <si>
    <t>3385FTI8.8ZP</t>
  </si>
  <si>
    <t>3390FTI8.8ZP</t>
  </si>
  <si>
    <t>33100FTI8.8ZP</t>
  </si>
  <si>
    <t>33110FTI8.8ZP</t>
  </si>
  <si>
    <t>33120FTI8.8ZP</t>
  </si>
  <si>
    <t>33130FTI8.8ZP</t>
  </si>
  <si>
    <t>33140FTI8.8ZP</t>
  </si>
  <si>
    <t>33150FTI8.8ZP</t>
  </si>
  <si>
    <t>33160FTI8.8ZP</t>
  </si>
  <si>
    <t>33170FTI8.8ZP</t>
  </si>
  <si>
    <t>33180FTI8.8ZP</t>
  </si>
  <si>
    <t>33190FTI8.8ZP</t>
  </si>
  <si>
    <t>33200FTI8.8ZP</t>
  </si>
  <si>
    <t>33210FTI8.8ZP</t>
  </si>
  <si>
    <t>33220FTI8.8ZP</t>
  </si>
  <si>
    <t>33230FTI8.8ZP</t>
  </si>
  <si>
    <t>33240FTI8.8ZP</t>
  </si>
  <si>
    <t>33250FTI8.8ZP</t>
  </si>
  <si>
    <t>33260FTI8.8ZP</t>
  </si>
  <si>
    <t>33270FTI8.8ZP</t>
  </si>
  <si>
    <t>33280FTI8.8ZP</t>
  </si>
  <si>
    <t>33290FTI8.8ZP</t>
  </si>
  <si>
    <t>33300FTI8.8ZP</t>
  </si>
  <si>
    <t>3650FTI8.8ZP</t>
  </si>
  <si>
    <t>3655FTI8.8ZP</t>
  </si>
  <si>
    <t>3660FTI8.8ZP</t>
  </si>
  <si>
    <t>3665FTI8.8ZP</t>
  </si>
  <si>
    <t>3670FTI8.8ZP</t>
  </si>
  <si>
    <t>3675FTI8.8ZP</t>
  </si>
  <si>
    <t>3680FTI8.8ZP</t>
  </si>
  <si>
    <t>3685FTI8.8ZP</t>
  </si>
  <si>
    <t>3690FTI8.8ZP</t>
  </si>
  <si>
    <t>3695FTI8.8ZP</t>
  </si>
  <si>
    <t>36100FTI8.8ZP</t>
  </si>
  <si>
    <t>36110FTI8.8ZP</t>
  </si>
  <si>
    <t>36120FTI8.8ZP</t>
  </si>
  <si>
    <t>36130FTI8.8ZP</t>
  </si>
  <si>
    <t>36140FTI8.8ZP</t>
  </si>
  <si>
    <t>36150FTI8.8ZP</t>
  </si>
  <si>
    <t>36160FTI8.8ZP</t>
  </si>
  <si>
    <t>36170FTI8.8ZP</t>
  </si>
  <si>
    <t>36180FTI8.8ZP</t>
  </si>
  <si>
    <t>36190FTI8.8ZP</t>
  </si>
  <si>
    <t>36200FTI8.8ZP</t>
  </si>
  <si>
    <t>36210FTI8.8ZP</t>
  </si>
  <si>
    <t>36220FTI8.8ZP</t>
  </si>
  <si>
    <t>36230FTI8.8ZP</t>
  </si>
  <si>
    <t>36240FTI8.8ZP</t>
  </si>
  <si>
    <t>36250FTI8.8ZP</t>
  </si>
  <si>
    <t>36260FTI8.8ZP</t>
  </si>
  <si>
    <t>36270FTI8.8ZP</t>
  </si>
  <si>
    <t>36280FTI8.8ZP</t>
  </si>
  <si>
    <t>36290FTI8.8ZP</t>
  </si>
  <si>
    <t>36300FTI8.8ZP</t>
  </si>
  <si>
    <t>3960FTI8.8ZP</t>
  </si>
  <si>
    <t>3965FTI8.8ZP</t>
  </si>
  <si>
    <t>3970FTI8.8ZP</t>
  </si>
  <si>
    <t>3975FTI8.8ZP</t>
  </si>
  <si>
    <t>3980FTI8.8ZP</t>
  </si>
  <si>
    <t>3985FTI8.8ZP</t>
  </si>
  <si>
    <t>3990FTI8.8ZP</t>
  </si>
  <si>
    <t>3995FTI8.8ZP</t>
  </si>
  <si>
    <t>39100FTI8.8ZP</t>
  </si>
  <si>
    <t>39110FTI8.8ZP</t>
  </si>
  <si>
    <t>39120FTI8.8ZP</t>
  </si>
  <si>
    <t>39130FTI8.8ZP</t>
  </si>
  <si>
    <t>39140FTI8.8ZP</t>
  </si>
  <si>
    <t>39150FTI8.8ZP</t>
  </si>
  <si>
    <t>39160FTI8.8ZP</t>
  </si>
  <si>
    <t>39170FTI8.8ZP</t>
  </si>
  <si>
    <t>39180FTI8.8ZP</t>
  </si>
  <si>
    <t>39190FTI8.8ZP</t>
  </si>
  <si>
    <t>39200FTI8.8ZP</t>
  </si>
  <si>
    <t>39210FTI8.8ZP</t>
  </si>
  <si>
    <t>39220FTI8.8ZP</t>
  </si>
  <si>
    <t>39230FTI8.8ZP</t>
  </si>
  <si>
    <t>39240FTI8.8ZP</t>
  </si>
  <si>
    <t>39250FTI8.8ZP</t>
  </si>
  <si>
    <t>39260FTI8.8ZP</t>
  </si>
  <si>
    <t>39270FTI8.8ZP</t>
  </si>
  <si>
    <t>39280FTI8.8ZP</t>
  </si>
  <si>
    <t>39290FTI8.8ZP</t>
  </si>
  <si>
    <t>39300FTI8.8ZP</t>
  </si>
  <si>
    <t>4270FTI8.8ZP</t>
  </si>
  <si>
    <t>4275FTI8.8ZP</t>
  </si>
  <si>
    <t>4280FTI8.8ZP</t>
  </si>
  <si>
    <t>4285FTI8.8ZP</t>
  </si>
  <si>
    <t>4290FTI8.8ZP</t>
  </si>
  <si>
    <t>4295FTI8.8ZP</t>
  </si>
  <si>
    <t>42100FTI8.8ZP</t>
  </si>
  <si>
    <t>42110FTI8.8ZP</t>
  </si>
  <si>
    <t>42120FTI8.8ZP</t>
  </si>
  <si>
    <t>42130FTI8.8ZP</t>
  </si>
  <si>
    <t>42140FTI8.8ZP</t>
  </si>
  <si>
    <t>42150FTI8.8ZP</t>
  </si>
  <si>
    <t>42160FTI8.8ZP</t>
  </si>
  <si>
    <t>42170FTI8.8ZP</t>
  </si>
  <si>
    <t>42180FTI8.8ZP</t>
  </si>
  <si>
    <t>42190FTI8.8ZP</t>
  </si>
  <si>
    <t>42200FTI8.8ZP</t>
  </si>
  <si>
    <t>42210FTI8.8ZP</t>
  </si>
  <si>
    <t>42220FTI8.8ZP</t>
  </si>
  <si>
    <t>42230FTI8.8ZP</t>
  </si>
  <si>
    <t>42240FTI8.8ZP</t>
  </si>
  <si>
    <t>42250FTI8.8ZP</t>
  </si>
  <si>
    <t>42260FTI8.8ZP</t>
  </si>
  <si>
    <t>42270FTI8.8ZP</t>
  </si>
  <si>
    <t>42280FTI8.8ZP</t>
  </si>
  <si>
    <t>42290FTI8.8ZP</t>
  </si>
  <si>
    <t>42300FTI8.8ZP</t>
  </si>
  <si>
    <t>4580FTI8.8ZP</t>
  </si>
  <si>
    <t>4585FTI8.8ZP</t>
  </si>
  <si>
    <t>4590FTI8.8ZP</t>
  </si>
  <si>
    <t>45100FTI8.8ZP</t>
  </si>
  <si>
    <t>45110FTI8.8ZP</t>
  </si>
  <si>
    <t>45120FTI8.8ZP</t>
  </si>
  <si>
    <t>45130FTI8.8ZP</t>
  </si>
  <si>
    <t>45140FTI8.8ZP</t>
  </si>
  <si>
    <t>45150FTI8.8ZP</t>
  </si>
  <si>
    <t>45160FTI8.8ZP</t>
  </si>
  <si>
    <t>45170FTI8.8ZP</t>
  </si>
  <si>
    <t>45180FTI8.8ZP</t>
  </si>
  <si>
    <t>45190FTI8.8ZP</t>
  </si>
  <si>
    <t>45200FTI8.8ZP</t>
  </si>
  <si>
    <t>45210FTI8.8ZP</t>
  </si>
  <si>
    <t>45220FTI8.8ZP</t>
  </si>
  <si>
    <t>45230FTI8.8ZP</t>
  </si>
  <si>
    <t>45240FTI8.8ZP</t>
  </si>
  <si>
    <t>45250FTI8.8ZP</t>
  </si>
  <si>
    <t>45260FTI8.8ZP</t>
  </si>
  <si>
    <t>45270FTI8.8ZP</t>
  </si>
  <si>
    <t>45280FTI8.8ZP</t>
  </si>
  <si>
    <t>45290FTI8.8ZP</t>
  </si>
  <si>
    <t>45300FTI8.8ZP</t>
  </si>
  <si>
    <t>10130FTI8.8ZP</t>
  </si>
  <si>
    <t>14130FTI8.8ZP</t>
  </si>
  <si>
    <t>510FTI10.9AB</t>
  </si>
  <si>
    <t>AB</t>
  </si>
  <si>
    <t>515FTI10.9AB</t>
  </si>
  <si>
    <t>520FTI10.9AB</t>
  </si>
  <si>
    <t>525FTI10.9AB</t>
  </si>
  <si>
    <t>530FTI10.9AB</t>
  </si>
  <si>
    <t>535FTI10.9AB</t>
  </si>
  <si>
    <t>540FTI10.9AB</t>
  </si>
  <si>
    <t>545FTI10.9AB</t>
  </si>
  <si>
    <t>550FTI10.9AB</t>
  </si>
  <si>
    <t>555FTI10.9AB</t>
  </si>
  <si>
    <t>560FTI10.9AB</t>
  </si>
  <si>
    <t>565FTI10.9AB</t>
  </si>
  <si>
    <t>570FTI10.9AB</t>
  </si>
  <si>
    <t>575FTI10.9AB</t>
  </si>
  <si>
    <t>580FTI10.9AB</t>
  </si>
  <si>
    <t>610FTI10.9AB</t>
  </si>
  <si>
    <t>615FTI10.9AB</t>
  </si>
  <si>
    <t>620FTI10.9AB</t>
  </si>
  <si>
    <t>625FTI10.9AB</t>
  </si>
  <si>
    <t>630FTI10.9AB</t>
  </si>
  <si>
    <t>635FTI10.9AB</t>
  </si>
  <si>
    <t>640FTI10.9AB</t>
  </si>
  <si>
    <t>645FTI10.9AB</t>
  </si>
  <si>
    <t>650FTI10.9AB</t>
  </si>
  <si>
    <t>655FTI10.9AB</t>
  </si>
  <si>
    <t>660FTI10.9AB</t>
  </si>
  <si>
    <t>665FTI10.9AB</t>
  </si>
  <si>
    <t>670FTI10.9AB</t>
  </si>
  <si>
    <t>675FTI10.9AB</t>
  </si>
  <si>
    <t>680FTI10.9AB</t>
  </si>
  <si>
    <t>815FTI10.9AB</t>
  </si>
  <si>
    <t>820FTI10.9AB</t>
  </si>
  <si>
    <t>825FTI10.9AB</t>
  </si>
  <si>
    <t>830FTI10.9AB</t>
  </si>
  <si>
    <t>835FTI10.9AB</t>
  </si>
  <si>
    <t>840FTI10.9AB</t>
  </si>
  <si>
    <t>845FTI10.9AB</t>
  </si>
  <si>
    <t>850FTI10.9AB</t>
  </si>
  <si>
    <t>855FTI10.9AB</t>
  </si>
  <si>
    <t>860FTI10.9AB</t>
  </si>
  <si>
    <t>865FTI10.9AB</t>
  </si>
  <si>
    <t>870FTI10.9AB</t>
  </si>
  <si>
    <t>875FTI10.9AB</t>
  </si>
  <si>
    <t>880FTI10.9AB</t>
  </si>
  <si>
    <t>885FTI10.9AB</t>
  </si>
  <si>
    <t>890FTI10.9AB</t>
  </si>
  <si>
    <t>895FTI10.9AB</t>
  </si>
  <si>
    <t>8100FTI10.9AB</t>
  </si>
  <si>
    <t>1020FTI10.9AB</t>
  </si>
  <si>
    <t>1025FTI10.9AB</t>
  </si>
  <si>
    <t>1030FTI10.9AB</t>
  </si>
  <si>
    <t>1035FTI10.9AB</t>
  </si>
  <si>
    <t>1040FTI10.9AB</t>
  </si>
  <si>
    <t>1045FTI10.9AB</t>
  </si>
  <si>
    <t>1050FTI10.9AB</t>
  </si>
  <si>
    <t>1055FTI10.9AB</t>
  </si>
  <si>
    <t>1060FTI10.9AB</t>
  </si>
  <si>
    <t>1065FTI10.9AB</t>
  </si>
  <si>
    <t>1070FTI10.9AB</t>
  </si>
  <si>
    <t>1075FTI10.9AB</t>
  </si>
  <si>
    <t>1080FTI10.9AB</t>
  </si>
  <si>
    <t>1085FTI10.9AB</t>
  </si>
  <si>
    <t>1090FTI10.9AB</t>
  </si>
  <si>
    <t>1095FTI10.9AB</t>
  </si>
  <si>
    <t>10100FTI10.9AB</t>
  </si>
  <si>
    <t>10110FTI10.9AB</t>
  </si>
  <si>
    <t>10120FTI10.9AB</t>
  </si>
  <si>
    <t>10140FTI10.9AB</t>
  </si>
  <si>
    <t>10150FTI10.9AB</t>
  </si>
  <si>
    <t>1225FTI10.9AB</t>
  </si>
  <si>
    <t>1230FTI10.9AB</t>
  </si>
  <si>
    <t>1235FTI10.9AB</t>
  </si>
  <si>
    <t>1240FTI10.9AB</t>
  </si>
  <si>
    <t>1245FTI10.9AB</t>
  </si>
  <si>
    <t>1250FTI10.9AB</t>
  </si>
  <si>
    <t>1255FTI10.9AB</t>
  </si>
  <si>
    <t>1260FTI10.9AB</t>
  </si>
  <si>
    <t>1265FTI10.9AB</t>
  </si>
  <si>
    <t>1270FTI10.9AB</t>
  </si>
  <si>
    <t>1275FTI10.9AB</t>
  </si>
  <si>
    <t>1280FTI10.9AB</t>
  </si>
  <si>
    <t>1285FTI10.9AB</t>
  </si>
  <si>
    <t>1290FTI10.9AB</t>
  </si>
  <si>
    <t>1295FTI10.9AB</t>
  </si>
  <si>
    <t>12100FTI10.9AB</t>
  </si>
  <si>
    <t>12110FTI10.9AB</t>
  </si>
  <si>
    <t>12120FTI10.9AB</t>
  </si>
  <si>
    <t>12130FTI10.9AB</t>
  </si>
  <si>
    <t>12140FTI10.9AB</t>
  </si>
  <si>
    <t>12150FTI10.9AB</t>
  </si>
  <si>
    <t>12160FTI10.9AB</t>
  </si>
  <si>
    <t>12170FTI10.9AB</t>
  </si>
  <si>
    <t>12180FTI10.9AB</t>
  </si>
  <si>
    <t>12190FTI10.9AB</t>
  </si>
  <si>
    <t>12200FTI10.9AB</t>
  </si>
  <si>
    <t>1425FTI10.9AB</t>
  </si>
  <si>
    <t>1430FTI10.9AB</t>
  </si>
  <si>
    <t>1435FTI10.9AB</t>
  </si>
  <si>
    <t>1440FTI10.9AB</t>
  </si>
  <si>
    <t>1445FTI10.9AB</t>
  </si>
  <si>
    <t>1450FTI10.9AB</t>
  </si>
  <si>
    <t>1455FTI10.9AB</t>
  </si>
  <si>
    <t>1460FTI10.9AB</t>
  </si>
  <si>
    <t>1465FTI10.9AB</t>
  </si>
  <si>
    <t>1470FTI10.9AB</t>
  </si>
  <si>
    <t>1475FTI10.9AB</t>
  </si>
  <si>
    <t>1480FTI10.9AB</t>
  </si>
  <si>
    <t>1485FTI10.9AB</t>
  </si>
  <si>
    <t>1490FTI10.9AB</t>
  </si>
  <si>
    <t>1495FTI10.9AB</t>
  </si>
  <si>
    <t>14100FTI10.9AB</t>
  </si>
  <si>
    <t>14110FTI10.9AB</t>
  </si>
  <si>
    <t>14120FTI10.9AB</t>
  </si>
  <si>
    <t>14140FTI10.9AB</t>
  </si>
  <si>
    <t>14150FTI10.9AB</t>
  </si>
  <si>
    <t>14160FTI10.9AB</t>
  </si>
  <si>
    <t>14170FTI10.9AB</t>
  </si>
  <si>
    <t>14180FTI10.9AB</t>
  </si>
  <si>
    <t>14190FTI10.9AB</t>
  </si>
  <si>
    <t>14200FTI10.9AB</t>
  </si>
  <si>
    <t>1625FTI10.9AB</t>
  </si>
  <si>
    <t>1630FTI10.9AB</t>
  </si>
  <si>
    <t>1635FTI10.9AB</t>
  </si>
  <si>
    <t>1640FTI10.9AB</t>
  </si>
  <si>
    <t>1645FTI10.9AB</t>
  </si>
  <si>
    <t>1650FTI10.9AB</t>
  </si>
  <si>
    <t>1655FTI10.9AB</t>
  </si>
  <si>
    <t>1660FTI10.9AB</t>
  </si>
  <si>
    <t>1670FTI10.9AB</t>
  </si>
  <si>
    <t>1675FTI10.9AB</t>
  </si>
  <si>
    <t>1680FTI10.9AB</t>
  </si>
  <si>
    <t>1685FTI10.9AB</t>
  </si>
  <si>
    <t>1690FTI10.9AB</t>
  </si>
  <si>
    <t>1695FTI10.9AB</t>
  </si>
  <si>
    <t>16100FTI10.9AB</t>
  </si>
  <si>
    <t>16110FTI10.9AB</t>
  </si>
  <si>
    <t>16120FTI10.9AB</t>
  </si>
  <si>
    <t>16130FTI10.9AB</t>
  </si>
  <si>
    <t>16140FTI10.9AB</t>
  </si>
  <si>
    <t>16150FTI10.9AB</t>
  </si>
  <si>
    <t>16160FTI10.9AB</t>
  </si>
  <si>
    <t>16170FTI10.9AB</t>
  </si>
  <si>
    <t>16180FTI10.9AB</t>
  </si>
  <si>
    <t>16190FTI10.9AB</t>
  </si>
  <si>
    <t>16200FTI10.9AB</t>
  </si>
  <si>
    <t>2035FTI10.9AB</t>
  </si>
  <si>
    <t>2040FTI10.9AB</t>
  </si>
  <si>
    <t>2045FTI10.9AB</t>
  </si>
  <si>
    <t>2050FTI10.9AB</t>
  </si>
  <si>
    <t>2055FTI10.9AB</t>
  </si>
  <si>
    <t>2060FTI10.9AB</t>
  </si>
  <si>
    <t>2065FTI10.9AB</t>
  </si>
  <si>
    <t>2070FTI10.9AB</t>
  </si>
  <si>
    <t>2075FTI10.9AB</t>
  </si>
  <si>
    <t>2080FTI10.9AB</t>
  </si>
  <si>
    <t>2085FTI10.9AB</t>
  </si>
  <si>
    <t>2090FTI10.9AB</t>
  </si>
  <si>
    <t>2095FTI10.9AB</t>
  </si>
  <si>
    <t>20100FTI10.9AB</t>
  </si>
  <si>
    <t>20110FTI10.9AB</t>
  </si>
  <si>
    <t>20120FTI10.9AB</t>
  </si>
  <si>
    <t>20130FTI10.9AB</t>
  </si>
  <si>
    <t>20140FTI10.9AB</t>
  </si>
  <si>
    <t>20150FTI10.9AB</t>
  </si>
  <si>
    <t>20160FTI10.9AB</t>
  </si>
  <si>
    <t>20180FTI10.9AB</t>
  </si>
  <si>
    <t>20190FTI10.9AB</t>
  </si>
  <si>
    <t>20200FTI10.9AB</t>
  </si>
  <si>
    <t>2235FTI10.9AB</t>
  </si>
  <si>
    <t>2240FTI10.9AB</t>
  </si>
  <si>
    <t>2245FTI10.9AB</t>
  </si>
  <si>
    <t>2250FTI10.9AB</t>
  </si>
  <si>
    <t>2255FTI10.9AB</t>
  </si>
  <si>
    <t>2260FTI10.9AB</t>
  </si>
  <si>
    <t>2265FTI10.9AB</t>
  </si>
  <si>
    <t>2270FTI10.9AB</t>
  </si>
  <si>
    <t>2275FTI10.9AB</t>
  </si>
  <si>
    <t>2280FTI10.9AB</t>
  </si>
  <si>
    <t>2285FTI10.9AB</t>
  </si>
  <si>
    <t>2290FTI10.9AB</t>
  </si>
  <si>
    <t>2295FTI10.9AB</t>
  </si>
  <si>
    <t>22100FTI10.9AB</t>
  </si>
  <si>
    <t>22110FTI10.9AB</t>
  </si>
  <si>
    <t>22120FTI10.9AB</t>
  </si>
  <si>
    <t>22130FTI10.9AB</t>
  </si>
  <si>
    <t>22140FTI10.9AB</t>
  </si>
  <si>
    <t>22150FTI10.9AB</t>
  </si>
  <si>
    <t>22160FTI10.9AB</t>
  </si>
  <si>
    <t>22170FTI10.9AB</t>
  </si>
  <si>
    <t>22180FTI10.9AB</t>
  </si>
  <si>
    <t>22190FTI10.9AB</t>
  </si>
  <si>
    <t>22200FTI10.9AB</t>
  </si>
  <si>
    <t>2445FTI10.9AB</t>
  </si>
  <si>
    <t>2450FTI10.9AB</t>
  </si>
  <si>
    <t>2455FTI10.9AB</t>
  </si>
  <si>
    <t>2460FTI10.9AB</t>
  </si>
  <si>
    <t>2465FTI10.9AB</t>
  </si>
  <si>
    <t>2470FTI10.9AB</t>
  </si>
  <si>
    <t>2475FTI10.9AB</t>
  </si>
  <si>
    <t>2480FTI10.9AB</t>
  </si>
  <si>
    <t>2485FTI10.9AB</t>
  </si>
  <si>
    <t>2490FTI10.9AB</t>
  </si>
  <si>
    <t>2495FTI10.9AB</t>
  </si>
  <si>
    <t>24100FTI10.9AB</t>
  </si>
  <si>
    <t>24110FTI10.9AB</t>
  </si>
  <si>
    <t>24120FTI10.9AB</t>
  </si>
  <si>
    <t>24130FTI10.9AB</t>
  </si>
  <si>
    <t>24140FTI10.9AB</t>
  </si>
  <si>
    <t>24150FTI10.9AB</t>
  </si>
  <si>
    <t>24160FTI10.9AB</t>
  </si>
  <si>
    <t>24170FTI10.9AB</t>
  </si>
  <si>
    <t>24180FTI10.9AB</t>
  </si>
  <si>
    <t>24190FTI10.9AB</t>
  </si>
  <si>
    <t>24200FTI10.9AB</t>
  </si>
  <si>
    <t>2740FTI10.9AB</t>
  </si>
  <si>
    <t>2745FTI10.9AB</t>
  </si>
  <si>
    <t>2750FTI10.9AB</t>
  </si>
  <si>
    <t>2755FTI10.9AB</t>
  </si>
  <si>
    <t>2760FTI10.9AB</t>
  </si>
  <si>
    <t>2765FTI10.9AB</t>
  </si>
  <si>
    <t>2770FTI10.9AB</t>
  </si>
  <si>
    <t>2775FTI10.9AB</t>
  </si>
  <si>
    <t>2780FTI10.9AB</t>
  </si>
  <si>
    <t>2785FTI10.9AB</t>
  </si>
  <si>
    <t>2790FTI10.9AB</t>
  </si>
  <si>
    <t>2795FTI10.9AB</t>
  </si>
  <si>
    <t>27100FTI10.9AB</t>
  </si>
  <si>
    <t>27110FTI10.9AB</t>
  </si>
  <si>
    <t>27120FTI10.9AB</t>
  </si>
  <si>
    <t>27130FTI10.9AB</t>
  </si>
  <si>
    <t>27140FTI10.9AB</t>
  </si>
  <si>
    <t>27150FTI10.9AB</t>
  </si>
  <si>
    <t>27160FTI10.9AB</t>
  </si>
  <si>
    <t>27170FTI10.9AB</t>
  </si>
  <si>
    <t>27180FTI10.9AB</t>
  </si>
  <si>
    <t>27190FTI10.9AB</t>
  </si>
  <si>
    <t>27200FTI10.9AB</t>
  </si>
  <si>
    <t>27210FTI10.9AB</t>
  </si>
  <si>
    <t>27220FTI10.9AB</t>
  </si>
  <si>
    <t>27230FTI10.9AB</t>
  </si>
  <si>
    <t>27240FTI10.9AB</t>
  </si>
  <si>
    <t>27250FTI10.9AB</t>
  </si>
  <si>
    <t>27260FTI10.9AB</t>
  </si>
  <si>
    <t>27270FTI10.9AB</t>
  </si>
  <si>
    <t>27280FTI10.9AB</t>
  </si>
  <si>
    <t>27290FTI10.9AB</t>
  </si>
  <si>
    <t>27300FTI10.9AB</t>
  </si>
  <si>
    <t>3040FTI10.9AB</t>
  </si>
  <si>
    <t>3045FTI10.9AB</t>
  </si>
  <si>
    <t>3050FTI10.9AB</t>
  </si>
  <si>
    <t>3055FTI10.9AB</t>
  </si>
  <si>
    <t>3060FTI10.9AB</t>
  </si>
  <si>
    <t>3065FTI10.9AB</t>
  </si>
  <si>
    <t>3070FTI10.9AB</t>
  </si>
  <si>
    <t>3075FTI10.9AB</t>
  </si>
  <si>
    <t>3080FTI10.9AB</t>
  </si>
  <si>
    <t>3085FTI10.9AB</t>
  </si>
  <si>
    <t>3090FTI10.9AB</t>
  </si>
  <si>
    <t>3095FTI10.9AB</t>
  </si>
  <si>
    <t>30100FTI10.9AB</t>
  </si>
  <si>
    <t>30110FTI10.9AB</t>
  </si>
  <si>
    <t>30120FTI10.9AB</t>
  </si>
  <si>
    <t>30130FTI10.9AB</t>
  </si>
  <si>
    <t>30140FTI10.9AB</t>
  </si>
  <si>
    <t>30150FTI10.9AB</t>
  </si>
  <si>
    <t>30160FTI10.9AB</t>
  </si>
  <si>
    <t>30170FTI10.9AB</t>
  </si>
  <si>
    <t>30180FTI10.9AB</t>
  </si>
  <si>
    <t>30190FTI10.9AB</t>
  </si>
  <si>
    <t>30200FTI10.9AB</t>
  </si>
  <si>
    <t>30210FTI10.9AB</t>
  </si>
  <si>
    <t>30220FTI10.9AB</t>
  </si>
  <si>
    <t>30230FTI10.9AB</t>
  </si>
  <si>
    <t>30240FTI10.9AB</t>
  </si>
  <si>
    <t>30250FTI10.9AB</t>
  </si>
  <si>
    <t>30260FTI10.9AB</t>
  </si>
  <si>
    <t>30270FTI10.9AB</t>
  </si>
  <si>
    <t>30280FTI10.9AB</t>
  </si>
  <si>
    <t>30290FTI10.9AB</t>
  </si>
  <si>
    <t>30300FTI10.9AB</t>
  </si>
  <si>
    <t>3340FTI10.9AB</t>
  </si>
  <si>
    <t>3345FTI10.9AB</t>
  </si>
  <si>
    <t>3350FTI10.9AB</t>
  </si>
  <si>
    <t>3355FTI10.9AB</t>
  </si>
  <si>
    <t>3360FTI10.9AB</t>
  </si>
  <si>
    <t>3365FTI10.9AB</t>
  </si>
  <si>
    <t>3370FTI10.9AB</t>
  </si>
  <si>
    <t>3375FTI10.9AB</t>
  </si>
  <si>
    <t>3380FTI10.9AB</t>
  </si>
  <si>
    <t>3385FTI10.9AB</t>
  </si>
  <si>
    <t>3390FTI10.9AB</t>
  </si>
  <si>
    <t>33100FTI10.9AB</t>
  </si>
  <si>
    <t>33110FTI10.9AB</t>
  </si>
  <si>
    <t>33120FTI10.9AB</t>
  </si>
  <si>
    <t>33130FTI10.9AB</t>
  </si>
  <si>
    <t>33140FTI10.9AB</t>
  </si>
  <si>
    <t>33150FTI10.9AB</t>
  </si>
  <si>
    <t>33160FTI10.9AB</t>
  </si>
  <si>
    <t>33170FTI10.9AB</t>
  </si>
  <si>
    <t>33180FTI10.9AB</t>
  </si>
  <si>
    <t>33190FTI10.9AB</t>
  </si>
  <si>
    <t>33200FTI10.9AB</t>
  </si>
  <si>
    <t>33210FTI10.9AB</t>
  </si>
  <si>
    <t>33220FTI10.9AB</t>
  </si>
  <si>
    <t>33230FTI10.9AB</t>
  </si>
  <si>
    <t>33240FTI10.9AB</t>
  </si>
  <si>
    <t>33250FTI10.9AB</t>
  </si>
  <si>
    <t>33260FTI10.9AB</t>
  </si>
  <si>
    <t>33270FTI10.9AB</t>
  </si>
  <si>
    <t>33280FTI10.9AB</t>
  </si>
  <si>
    <t>33290FTI10.9AB</t>
  </si>
  <si>
    <t>33300FTI10.9AB</t>
  </si>
  <si>
    <t>3650FTI10.9AB</t>
  </si>
  <si>
    <t>3655FTI10.9AB</t>
  </si>
  <si>
    <t>3660FTI10.9AB</t>
  </si>
  <si>
    <t>3665FTI10.9AB</t>
  </si>
  <si>
    <t>3670FTI10.9AB</t>
  </si>
  <si>
    <t>3675FTI10.9AB</t>
  </si>
  <si>
    <t>3680FTI10.9AB</t>
  </si>
  <si>
    <t>3685FTI10.9AB</t>
  </si>
  <si>
    <t>3690FTI10.9AB</t>
  </si>
  <si>
    <t>3695FTI10.9AB</t>
  </si>
  <si>
    <t>36100FTI10.9AB</t>
  </si>
  <si>
    <t>36110FTI10.9AB</t>
  </si>
  <si>
    <t>36120FTI10.9AB</t>
  </si>
  <si>
    <t>36130FTI10.9AB</t>
  </si>
  <si>
    <t>36140FTI10.9AB</t>
  </si>
  <si>
    <t>36150FTI10.9AB</t>
  </si>
  <si>
    <t>36160FTI10.9AB</t>
  </si>
  <si>
    <t>36170FTI10.9AB</t>
  </si>
  <si>
    <t>36180FTI10.9AB</t>
  </si>
  <si>
    <t>36190FTI10.9AB</t>
  </si>
  <si>
    <t>36200FTI10.9AB</t>
  </si>
  <si>
    <t>36210FTI10.9AB</t>
  </si>
  <si>
    <t>36220FTI10.9AB</t>
  </si>
  <si>
    <t>36230FTI10.9AB</t>
  </si>
  <si>
    <t>36240FTI10.9AB</t>
  </si>
  <si>
    <t>36250FTI10.9AB</t>
  </si>
  <si>
    <t>36260FTI10.9AB</t>
  </si>
  <si>
    <t>36270FTI10.9AB</t>
  </si>
  <si>
    <t>36280FTI10.9AB</t>
  </si>
  <si>
    <t>36290FTI10.9AB</t>
  </si>
  <si>
    <t>36300FTI10.9AB</t>
  </si>
  <si>
    <t>3960FTI10.9AB</t>
  </si>
  <si>
    <t>3965FTI10.9AB</t>
  </si>
  <si>
    <t>3970FTI10.9AB</t>
  </si>
  <si>
    <t>3975FTI10.9AB</t>
  </si>
  <si>
    <t>3980FTI10.9AB</t>
  </si>
  <si>
    <t>3985FTI10.9AB</t>
  </si>
  <si>
    <t>3990FTI10.9AB</t>
  </si>
  <si>
    <t>3995FTI10.9AB</t>
  </si>
  <si>
    <t>39100FTI10.9AB</t>
  </si>
  <si>
    <t>39110FTI10.9AB</t>
  </si>
  <si>
    <t>39120FTI10.9AB</t>
  </si>
  <si>
    <t>39130FTI10.9AB</t>
  </si>
  <si>
    <t>39140FTI10.9AB</t>
  </si>
  <si>
    <t>39150FTI10.9AB</t>
  </si>
  <si>
    <t>39160FTI10.9AB</t>
  </si>
  <si>
    <t>39170FTI10.9AB</t>
  </si>
  <si>
    <t>39180FTI10.9AB</t>
  </si>
  <si>
    <t>39190FTI10.9AB</t>
  </si>
  <si>
    <t>39200FTI10.9AB</t>
  </si>
  <si>
    <t>39210FTI10.9AB</t>
  </si>
  <si>
    <t>39220FTI10.9AB</t>
  </si>
  <si>
    <t>39230FTI10.9AB</t>
  </si>
  <si>
    <t>39240FTI10.9AB</t>
  </si>
  <si>
    <t>39250FTI10.9AB</t>
  </si>
  <si>
    <t>39260FTI10.9AB</t>
  </si>
  <si>
    <t>39270FTI10.9AB</t>
  </si>
  <si>
    <t>39280FTI10.9AB</t>
  </si>
  <si>
    <t>39290FTI10.9AB</t>
  </si>
  <si>
    <t>39300FTI10.9AB</t>
  </si>
  <si>
    <t>4270FTI10.9AB</t>
  </si>
  <si>
    <t>4275FTI10.9AB</t>
  </si>
  <si>
    <t>4280FTI10.9AB</t>
  </si>
  <si>
    <t>4285FTI10.9AB</t>
  </si>
  <si>
    <t>4290FTI10.9AB</t>
  </si>
  <si>
    <t>4295FTI10.9AB</t>
  </si>
  <si>
    <t>42100FTI10.9AB</t>
  </si>
  <si>
    <t>42110FTI10.9AB</t>
  </si>
  <si>
    <t>42120FTI10.9AB</t>
  </si>
  <si>
    <t>42130FTI10.9AB</t>
  </si>
  <si>
    <t>42140FTI10.9AB</t>
  </si>
  <si>
    <t>42150FTI10.9AB</t>
  </si>
  <si>
    <t>42160FTI10.9AB</t>
  </si>
  <si>
    <t>42170FTI10.9AB</t>
  </si>
  <si>
    <t>42180FTI10.9AB</t>
  </si>
  <si>
    <t>42190FTI10.9AB</t>
  </si>
  <si>
    <t>42200FTI10.9AB</t>
  </si>
  <si>
    <t>42210FTI10.9AB</t>
  </si>
  <si>
    <t>42220FTI10.9AB</t>
  </si>
  <si>
    <t>42230FTI10.9AB</t>
  </si>
  <si>
    <t>42240FTI10.9AB</t>
  </si>
  <si>
    <t>42250FTI10.9AB</t>
  </si>
  <si>
    <t>42260FTI10.9AB</t>
  </si>
  <si>
    <t>42270FTI10.9AB</t>
  </si>
  <si>
    <t>42280FTI10.9AB</t>
  </si>
  <si>
    <t>42290FTI10.9AB</t>
  </si>
  <si>
    <t>42300FTI10.9AB</t>
  </si>
  <si>
    <t>4580FTI10.9AB</t>
  </si>
  <si>
    <t>4585FTI10.9AB</t>
  </si>
  <si>
    <t>4590FTI10.9AB</t>
  </si>
  <si>
    <t>45100FTI10.9AB</t>
  </si>
  <si>
    <t>45110FTI10.9AB</t>
  </si>
  <si>
    <t>45120FTI10.9AB</t>
  </si>
  <si>
    <t>45130FTI10.9AB</t>
  </si>
  <si>
    <t>45140FTI10.9AB</t>
  </si>
  <si>
    <t>45150FTI10.9AB</t>
  </si>
  <si>
    <t>45160FTI10.9AB</t>
  </si>
  <si>
    <t>45170FTI10.9AB</t>
  </si>
  <si>
    <t>45180FTI10.9AB</t>
  </si>
  <si>
    <t>45190FTI10.9AB</t>
  </si>
  <si>
    <t>45200FTI10.9AB</t>
  </si>
  <si>
    <t>45210FTI10.9AB</t>
  </si>
  <si>
    <t>45220FTI10.9AB</t>
  </si>
  <si>
    <t>45230FTI10.9AB</t>
  </si>
  <si>
    <t>45240FTI10.9AB</t>
  </si>
  <si>
    <t>45250FTI10.9AB</t>
  </si>
  <si>
    <t>45260FTI10.9AB</t>
  </si>
  <si>
    <t>45270FTI10.9AB</t>
  </si>
  <si>
    <t>45280FTI10.9AB</t>
  </si>
  <si>
    <t>45290FTI10.9AB</t>
  </si>
  <si>
    <t>45300FTI10.9AB</t>
  </si>
  <si>
    <t>10130FTI10.9AB</t>
  </si>
  <si>
    <t>14130FTI10.9AB</t>
  </si>
  <si>
    <t>510FTI12.9AB</t>
  </si>
  <si>
    <t>515FTI12.9AB</t>
  </si>
  <si>
    <t>520FTI12.9AB</t>
  </si>
  <si>
    <t>525FTI12.9AB</t>
  </si>
  <si>
    <t>530FTI12.9AB</t>
  </si>
  <si>
    <t>535FTI12.9AB</t>
  </si>
  <si>
    <t>540FTI12.9AB</t>
  </si>
  <si>
    <t>545FTI12.9AB</t>
  </si>
  <si>
    <t>550FTI12.9AB</t>
  </si>
  <si>
    <t>555FTI12.9AB</t>
  </si>
  <si>
    <t>560FTI12.9AB</t>
  </si>
  <si>
    <t>565FTI12.9AB</t>
  </si>
  <si>
    <t>570FTI12.9AB</t>
  </si>
  <si>
    <t>575FTI12.9AB</t>
  </si>
  <si>
    <t>580FTI12.9AB</t>
  </si>
  <si>
    <t>610FTI12.9AB</t>
  </si>
  <si>
    <t>615FTI12.9AB</t>
  </si>
  <si>
    <t>620FTI12.9AB</t>
  </si>
  <si>
    <t>625FTI12.9AB</t>
  </si>
  <si>
    <t>630FTI12.9AB</t>
  </si>
  <si>
    <t>635FTI12.9AB</t>
  </si>
  <si>
    <t>640FTI12.9AB</t>
  </si>
  <si>
    <t>645FTI12.9AB</t>
  </si>
  <si>
    <t>650FTI12.9AB</t>
  </si>
  <si>
    <t>655FTI12.9AB</t>
  </si>
  <si>
    <t>660FTI12.9AB</t>
  </si>
  <si>
    <t>665FTI12.9AB</t>
  </si>
  <si>
    <t>670FTI12.9AB</t>
  </si>
  <si>
    <t>675FTI12.9AB</t>
  </si>
  <si>
    <t>680FTI12.9AB</t>
  </si>
  <si>
    <t>815FTI12.9AB</t>
  </si>
  <si>
    <t>820FTI12.9AB</t>
  </si>
  <si>
    <t>825FTI12.9AB</t>
  </si>
  <si>
    <t>830FTI12.9AB</t>
  </si>
  <si>
    <t>835FTI12.9AB</t>
  </si>
  <si>
    <t>840FTI12.9AB</t>
  </si>
  <si>
    <t>845FTI12.9AB</t>
  </si>
  <si>
    <t>850FTI12.9AB</t>
  </si>
  <si>
    <t>855FTI12.9AB</t>
  </si>
  <si>
    <t>860FTI12.9AB</t>
  </si>
  <si>
    <t>865FTI12.9AB</t>
  </si>
  <si>
    <t>870FTI12.9AB</t>
  </si>
  <si>
    <t>875FTI12.9AB</t>
  </si>
  <si>
    <t>880FTI12.9AB</t>
  </si>
  <si>
    <t>885FTI12.9AB</t>
  </si>
  <si>
    <t>890FTI12.9AB</t>
  </si>
  <si>
    <t>895FTI12.9AB</t>
  </si>
  <si>
    <t>8100FTI12.9AB</t>
  </si>
  <si>
    <t>1020FTI12.9AB</t>
  </si>
  <si>
    <t>1025FTI12.9AB</t>
  </si>
  <si>
    <t>1030FTI12.9AB</t>
  </si>
  <si>
    <t>1035FTI12.9AB</t>
  </si>
  <si>
    <t>1040FTI12.9AB</t>
  </si>
  <si>
    <t>1045FTI12.9AB</t>
  </si>
  <si>
    <t>1050FTI12.9AB</t>
  </si>
  <si>
    <t>1055FTI12.9AB</t>
  </si>
  <si>
    <t>1060FTI12.9AB</t>
  </si>
  <si>
    <t>1065FTI12.9AB</t>
  </si>
  <si>
    <t>1070FTI12.9AB</t>
  </si>
  <si>
    <t>1075FTI12.9AB</t>
  </si>
  <si>
    <t>1080FTI12.9AB</t>
  </si>
  <si>
    <t>1085FTI12.9AB</t>
  </si>
  <si>
    <t>1090FTI12.9AB</t>
  </si>
  <si>
    <t>1095FTI12.9AB</t>
  </si>
  <si>
    <t>10100FTI12.9AB</t>
  </si>
  <si>
    <t>10110FTI12.9AB</t>
  </si>
  <si>
    <t>10120FTI12.9AB</t>
  </si>
  <si>
    <t>10140FTI12.9AB</t>
  </si>
  <si>
    <t>10150FTI12.9AB</t>
  </si>
  <si>
    <t>1225FTI12.9AB</t>
  </si>
  <si>
    <t>1230FTI12.9AB</t>
  </si>
  <si>
    <t>1235FTI12.9AB</t>
  </si>
  <si>
    <t>1240FTI12.9AB</t>
  </si>
  <si>
    <t>1245FTI12.9AB</t>
  </si>
  <si>
    <t>1250FTI12.9AB</t>
  </si>
  <si>
    <t>1255FTI12.9AB</t>
  </si>
  <si>
    <t>1260FTI12.9AB</t>
  </si>
  <si>
    <t>1265FTI12.9AB</t>
  </si>
  <si>
    <t>1270FTI12.9AB</t>
  </si>
  <si>
    <t>1275FTI12.9AB</t>
  </si>
  <si>
    <t>1280FTI12.9AB</t>
  </si>
  <si>
    <t>1285FTI12.9AB</t>
  </si>
  <si>
    <t>1290FTI12.9AB</t>
  </si>
  <si>
    <t>1295FTI12.9AB</t>
  </si>
  <si>
    <t>12100FTI12.9AB</t>
  </si>
  <si>
    <t>12110FTI12.9AB</t>
  </si>
  <si>
    <t>12120FTI12.9AB</t>
  </si>
  <si>
    <t>12130FTI12.9AB</t>
  </si>
  <si>
    <t>12140FTI12.9AB</t>
  </si>
  <si>
    <t>12150FTI12.9AB</t>
  </si>
  <si>
    <t>12160FTI12.9AB</t>
  </si>
  <si>
    <t>12170FTI12.9AB</t>
  </si>
  <si>
    <t>12180FTI12.9AB</t>
  </si>
  <si>
    <t>12190FTI12.9AB</t>
  </si>
  <si>
    <t>12200FTI12.9AB</t>
  </si>
  <si>
    <t>1425FTI12.9AB</t>
  </si>
  <si>
    <t>1430FTI12.9AB</t>
  </si>
  <si>
    <t>1435FTI12.9AB</t>
  </si>
  <si>
    <t>1440FTI12.9AB</t>
  </si>
  <si>
    <t>1445FTI12.9AB</t>
  </si>
  <si>
    <t>1450FTI12.9AB</t>
  </si>
  <si>
    <t>1455FTI12.9AB</t>
  </si>
  <si>
    <t>1460FTI12.9AB</t>
  </si>
  <si>
    <t>1465FTI12.9AB</t>
  </si>
  <si>
    <t>1470FTI12.9AB</t>
  </si>
  <si>
    <t>1475FTI12.9AB</t>
  </si>
  <si>
    <t>1480FTI12.9AB</t>
  </si>
  <si>
    <t>1485FTI12.9AB</t>
  </si>
  <si>
    <t>1490FTI12.9AB</t>
  </si>
  <si>
    <t>1495FTI12.9AB</t>
  </si>
  <si>
    <t>14100FTI12.9AB</t>
  </si>
  <si>
    <t>14110FTI12.9AB</t>
  </si>
  <si>
    <t>14120FTI12.9AB</t>
  </si>
  <si>
    <t>14140FTI12.9AB</t>
  </si>
  <si>
    <t>14150FTI12.9AB</t>
  </si>
  <si>
    <t>14160FTI12.9AB</t>
  </si>
  <si>
    <t>14170FTI12.9AB</t>
  </si>
  <si>
    <t>14180FTI12.9AB</t>
  </si>
  <si>
    <t>14190FTI12.9AB</t>
  </si>
  <si>
    <t>14200FTI12.9AB</t>
  </si>
  <si>
    <t>1625FTI12.9AB</t>
  </si>
  <si>
    <t>1630FTI12.9AB</t>
  </si>
  <si>
    <t>1635FTI12.9AB</t>
  </si>
  <si>
    <t>1640FTI12.9AB</t>
  </si>
  <si>
    <t>1645FTI12.9AB</t>
  </si>
  <si>
    <t>1650FTI12.9AB</t>
  </si>
  <si>
    <t>1655FTI12.9AB</t>
  </si>
  <si>
    <t>1660FTI12.9AB</t>
  </si>
  <si>
    <t>1670FTI12.9AB</t>
  </si>
  <si>
    <t>1675FTI12.9AB</t>
  </si>
  <si>
    <t>1680FTI12.9AB</t>
  </si>
  <si>
    <t>1685FTI12.9AB</t>
  </si>
  <si>
    <t>1690FTI12.9AB</t>
  </si>
  <si>
    <t>1695FTI12.9AB</t>
  </si>
  <si>
    <t>16100FTI12.9AB</t>
  </si>
  <si>
    <t>16110FTI12.9AB</t>
  </si>
  <si>
    <t>16120FTI12.9AB</t>
  </si>
  <si>
    <t>16130FTI12.9AB</t>
  </si>
  <si>
    <t>16140FTI12.9AB</t>
  </si>
  <si>
    <t>16150FTI12.9AB</t>
  </si>
  <si>
    <t>16160FTI12.9AB</t>
  </si>
  <si>
    <t>16170FTI12.9AB</t>
  </si>
  <si>
    <t>16180FTI12.9AB</t>
  </si>
  <si>
    <t>16190FTI12.9AB</t>
  </si>
  <si>
    <t>16200FTI12.9AB</t>
  </si>
  <si>
    <t>2035FTI12.9AB</t>
  </si>
  <si>
    <t>2040FTI12.9AB</t>
  </si>
  <si>
    <t>2045FTI12.9AB</t>
  </si>
  <si>
    <t>2050FTI12.9AB</t>
  </si>
  <si>
    <t>2055FTI12.9AB</t>
  </si>
  <si>
    <t>2060FTI12.9AB</t>
  </si>
  <si>
    <t>2065FTI12.9AB</t>
  </si>
  <si>
    <t>2070FTI12.9AB</t>
  </si>
  <si>
    <t>2075FTI12.9AB</t>
  </si>
  <si>
    <t>2080FTI12.9AB</t>
  </si>
  <si>
    <t>2085FTI12.9AB</t>
  </si>
  <si>
    <t>2090FTI12.9AB</t>
  </si>
  <si>
    <t>2095FTI12.9AB</t>
  </si>
  <si>
    <t>20100FTI12.9AB</t>
  </si>
  <si>
    <t>20110FTI12.9AB</t>
  </si>
  <si>
    <t>20120FTI12.9AB</t>
  </si>
  <si>
    <t>20130FTI12.9AB</t>
  </si>
  <si>
    <t>20140FTI12.9AB</t>
  </si>
  <si>
    <t>20150FTI12.9AB</t>
  </si>
  <si>
    <t>20160FTI12.9AB</t>
  </si>
  <si>
    <t>20180FTI12.9AB</t>
  </si>
  <si>
    <t>20190FTI12.9AB</t>
  </si>
  <si>
    <t>20200FTI12.9AB</t>
  </si>
  <si>
    <t>2235FTI12.9AB</t>
  </si>
  <si>
    <t>2240FTI12.9AB</t>
  </si>
  <si>
    <t>2245FTI12.9AB</t>
  </si>
  <si>
    <t>2250FTI12.9AB</t>
  </si>
  <si>
    <t>2255FTI12.9AB</t>
  </si>
  <si>
    <t>2260FTI12.9AB</t>
  </si>
  <si>
    <t>2265FTI12.9AB</t>
  </si>
  <si>
    <t>2270FTI12.9AB</t>
  </si>
  <si>
    <t>2275FTI12.9AB</t>
  </si>
  <si>
    <t>2280FTI12.9AB</t>
  </si>
  <si>
    <t>2285FTI12.9AB</t>
  </si>
  <si>
    <t>2290FTI12.9AB</t>
  </si>
  <si>
    <t>2295FTI12.9AB</t>
  </si>
  <si>
    <t>22100FTI12.9AB</t>
  </si>
  <si>
    <t>22110FTI12.9AB</t>
  </si>
  <si>
    <t>22120FTI12.9AB</t>
  </si>
  <si>
    <t>22130FTI12.9AB</t>
  </si>
  <si>
    <t>22140FTI12.9AB</t>
  </si>
  <si>
    <t>22150FTI12.9AB</t>
  </si>
  <si>
    <t>22160FTI12.9AB</t>
  </si>
  <si>
    <t>22170FTI12.9AB</t>
  </si>
  <si>
    <t>22180FTI12.9AB</t>
  </si>
  <si>
    <t>22190FTI12.9AB</t>
  </si>
  <si>
    <t>22200FTI12.9AB</t>
  </si>
  <si>
    <t>2445FTI12.9AB</t>
  </si>
  <si>
    <t>2450FTI12.9AB</t>
  </si>
  <si>
    <t>2455FTI12.9AB</t>
  </si>
  <si>
    <t>2460FTI12.9AB</t>
  </si>
  <si>
    <t>2465FTI12.9AB</t>
  </si>
  <si>
    <t>2470FTI12.9AB</t>
  </si>
  <si>
    <t>2475FTI12.9AB</t>
  </si>
  <si>
    <t>2480FTI12.9AB</t>
  </si>
  <si>
    <t>2485FTI12.9AB</t>
  </si>
  <si>
    <t>2490FTI12.9AB</t>
  </si>
  <si>
    <t>2495FTI12.9AB</t>
  </si>
  <si>
    <t>24100FTI12.9AB</t>
  </si>
  <si>
    <t>24110FTI12.9AB</t>
  </si>
  <si>
    <t>24120FTI12.9AB</t>
  </si>
  <si>
    <t>24130FTI12.9AB</t>
  </si>
  <si>
    <t>24140FTI12.9AB</t>
  </si>
  <si>
    <t>24150FTI12.9AB</t>
  </si>
  <si>
    <t>24160FTI12.9AB</t>
  </si>
  <si>
    <t>24170FTI12.9AB</t>
  </si>
  <si>
    <t>24180FTI12.9AB</t>
  </si>
  <si>
    <t>24190FTI12.9AB</t>
  </si>
  <si>
    <t>24200FTI12.9AB</t>
  </si>
  <si>
    <t>2740FTI12.9AB</t>
  </si>
  <si>
    <t>2745FTI12.9AB</t>
  </si>
  <si>
    <t>2750FTI12.9AB</t>
  </si>
  <si>
    <t>2755FTI12.9AB</t>
  </si>
  <si>
    <t>2760FTI12.9AB</t>
  </si>
  <si>
    <t>2765FTI12.9AB</t>
  </si>
  <si>
    <t>2770FTI12.9AB</t>
  </si>
  <si>
    <t>2775FTI12.9AB</t>
  </si>
  <si>
    <t>2780FTI12.9AB</t>
  </si>
  <si>
    <t>2785FTI12.9AB</t>
  </si>
  <si>
    <t>2790FTI12.9AB</t>
  </si>
  <si>
    <t>2795FTI12.9AB</t>
  </si>
  <si>
    <t>27100FTI12.9AB</t>
  </si>
  <si>
    <t>27110FTI12.9AB</t>
  </si>
  <si>
    <t>27120FTI12.9AB</t>
  </si>
  <si>
    <t>27130FTI12.9AB</t>
  </si>
  <si>
    <t>27140FTI12.9AB</t>
  </si>
  <si>
    <t>27150FTI12.9AB</t>
  </si>
  <si>
    <t>27160FTI12.9AB</t>
  </si>
  <si>
    <t>27170FTI12.9AB</t>
  </si>
  <si>
    <t>27180FTI12.9AB</t>
  </si>
  <si>
    <t>27190FTI12.9AB</t>
  </si>
  <si>
    <t>27200FTI12.9AB</t>
  </si>
  <si>
    <t>27210FTI12.9AB</t>
  </si>
  <si>
    <t>27220FTI12.9AB</t>
  </si>
  <si>
    <t>27230FTI12.9AB</t>
  </si>
  <si>
    <t>27240FTI12.9AB</t>
  </si>
  <si>
    <t>27250FTI12.9AB</t>
  </si>
  <si>
    <t>27260FTI12.9AB</t>
  </si>
  <si>
    <t>27270FTI12.9AB</t>
  </si>
  <si>
    <t>27280FTI12.9AB</t>
  </si>
  <si>
    <t>27290FTI12.9AB</t>
  </si>
  <si>
    <t>27300FTI12.9AB</t>
  </si>
  <si>
    <t>3040FTI12.9AB</t>
  </si>
  <si>
    <t>3045FTI12.9AB</t>
  </si>
  <si>
    <t>3050FTI12.9AB</t>
  </si>
  <si>
    <t>3055FTI12.9AB</t>
  </si>
  <si>
    <t>3060FTI12.9AB</t>
  </si>
  <si>
    <t>3065FTI12.9AB</t>
  </si>
  <si>
    <t>3070FTI12.9AB</t>
  </si>
  <si>
    <t>3075FTI12.9AB</t>
  </si>
  <si>
    <t>3080FTI12.9AB</t>
  </si>
  <si>
    <t>3085FTI12.9AB</t>
  </si>
  <si>
    <t>3090FTI12.9AB</t>
  </si>
  <si>
    <t>3095FTI12.9AB</t>
  </si>
  <si>
    <t>30100FTI12.9AB</t>
  </si>
  <si>
    <t>30110FTI12.9AB</t>
  </si>
  <si>
    <t>30120FTI12.9AB</t>
  </si>
  <si>
    <t>30130FTI12.9AB</t>
  </si>
  <si>
    <t>30140FTI12.9AB</t>
  </si>
  <si>
    <t>30150FTI12.9AB</t>
  </si>
  <si>
    <t>30160FTI12.9AB</t>
  </si>
  <si>
    <t>30170FTI12.9AB</t>
  </si>
  <si>
    <t>30180FTI12.9AB</t>
  </si>
  <si>
    <t>30190FTI12.9AB</t>
  </si>
  <si>
    <t>30200FTI12.9AB</t>
  </si>
  <si>
    <t>30210FTI12.9AB</t>
  </si>
  <si>
    <t>30220FTI12.9AB</t>
  </si>
  <si>
    <t>30230FTI12.9AB</t>
  </si>
  <si>
    <t>30240FTI12.9AB</t>
  </si>
  <si>
    <t>30250FTI12.9AB</t>
  </si>
  <si>
    <t>30260FTI12.9AB</t>
  </si>
  <si>
    <t>30270FTI12.9AB</t>
  </si>
  <si>
    <t>30280FTI12.9AB</t>
  </si>
  <si>
    <t>30290FTI12.9AB</t>
  </si>
  <si>
    <t>30300FTI12.9AB</t>
  </si>
  <si>
    <t>3340FTI12.9AB</t>
  </si>
  <si>
    <t>3345FTI12.9AB</t>
  </si>
  <si>
    <t>3350FTI12.9AB</t>
  </si>
  <si>
    <t>3355FTI12.9AB</t>
  </si>
  <si>
    <t>3360FTI12.9AB</t>
  </si>
  <si>
    <t>3365FTI12.9AB</t>
  </si>
  <si>
    <t>3370FTI12.9AB</t>
  </si>
  <si>
    <t>3375FTI12.9AB</t>
  </si>
  <si>
    <t>3380FTI12.9AB</t>
  </si>
  <si>
    <t>3385FTI12.9AB</t>
  </si>
  <si>
    <t>3390FTI12.9AB</t>
  </si>
  <si>
    <t>33100FTI12.9AB</t>
  </si>
  <si>
    <t>33110FTI12.9AB</t>
  </si>
  <si>
    <t>33120FTI12.9AB</t>
  </si>
  <si>
    <t>33130FTI12.9AB</t>
  </si>
  <si>
    <t>33140FTI12.9AB</t>
  </si>
  <si>
    <t>33150FTI12.9AB</t>
  </si>
  <si>
    <t>33160FTI12.9AB</t>
  </si>
  <si>
    <t>33170FTI12.9AB</t>
  </si>
  <si>
    <t>33180FTI12.9AB</t>
  </si>
  <si>
    <t>33190FTI12.9AB</t>
  </si>
  <si>
    <t>33200FTI12.9AB</t>
  </si>
  <si>
    <t>33210FTI12.9AB</t>
  </si>
  <si>
    <t>33220FTI12.9AB</t>
  </si>
  <si>
    <t>33230FTI12.9AB</t>
  </si>
  <si>
    <t>33240FTI12.9AB</t>
  </si>
  <si>
    <t>33250FTI12.9AB</t>
  </si>
  <si>
    <t>33260FTI12.9AB</t>
  </si>
  <si>
    <t>33270FTI12.9AB</t>
  </si>
  <si>
    <t>33280FTI12.9AB</t>
  </si>
  <si>
    <t>33290FTI12.9AB</t>
  </si>
  <si>
    <t>33300FTI12.9AB</t>
  </si>
  <si>
    <t>3650FTI12.9AB</t>
  </si>
  <si>
    <t>3655FTI12.9AB</t>
  </si>
  <si>
    <t>3660FTI12.9AB</t>
  </si>
  <si>
    <t>3665FTI12.9AB</t>
  </si>
  <si>
    <t>3670FTI12.9AB</t>
  </si>
  <si>
    <t>3675FTI12.9AB</t>
  </si>
  <si>
    <t>3680FTI12.9AB</t>
  </si>
  <si>
    <t>3685FTI12.9AB</t>
  </si>
  <si>
    <t>3690FTI12.9AB</t>
  </si>
  <si>
    <t>3695FTI12.9AB</t>
  </si>
  <si>
    <t>36100FTI12.9AB</t>
  </si>
  <si>
    <t>36110FTI12.9AB</t>
  </si>
  <si>
    <t>36120FTI12.9AB</t>
  </si>
  <si>
    <t>36130FTI12.9AB</t>
  </si>
  <si>
    <t>36140FTI12.9AB</t>
  </si>
  <si>
    <t>36150FTI12.9AB</t>
  </si>
  <si>
    <t>36160FTI12.9AB</t>
  </si>
  <si>
    <t>36170FTI12.9AB</t>
  </si>
  <si>
    <t>36180FTI12.9AB</t>
  </si>
  <si>
    <t>36190FTI12.9AB</t>
  </si>
  <si>
    <t>36200FTI12.9AB</t>
  </si>
  <si>
    <t>36210FTI12.9AB</t>
  </si>
  <si>
    <t>36220FTI12.9AB</t>
  </si>
  <si>
    <t>36230FTI12.9AB</t>
  </si>
  <si>
    <t>36240FTI12.9AB</t>
  </si>
  <si>
    <t>36250FTI12.9AB</t>
  </si>
  <si>
    <t>36260FTI12.9AB</t>
  </si>
  <si>
    <t>36270FTI12.9AB</t>
  </si>
  <si>
    <t>36280FTI12.9AB</t>
  </si>
  <si>
    <t>36290FTI12.9AB</t>
  </si>
  <si>
    <t>36300FTI12.9AB</t>
  </si>
  <si>
    <t>3960FTI12.9AB</t>
  </si>
  <si>
    <t>3965FTI12.9AB</t>
  </si>
  <si>
    <t>3970FTI12.9AB</t>
  </si>
  <si>
    <t>3975FTI12.9AB</t>
  </si>
  <si>
    <t>3980FTI12.9AB</t>
  </si>
  <si>
    <t>3985FTI12.9AB</t>
  </si>
  <si>
    <t>3990FTI12.9AB</t>
  </si>
  <si>
    <t>3995FTI12.9AB</t>
  </si>
  <si>
    <t>39100FTI12.9AB</t>
  </si>
  <si>
    <t>39110FTI12.9AB</t>
  </si>
  <si>
    <t>39120FTI12.9AB</t>
  </si>
  <si>
    <t>39130FTI12.9AB</t>
  </si>
  <si>
    <t>39140FTI12.9AB</t>
  </si>
  <si>
    <t>39150FTI12.9AB</t>
  </si>
  <si>
    <t>39160FTI12.9AB</t>
  </si>
  <si>
    <t>39170FTI12.9AB</t>
  </si>
  <si>
    <t>39180FTI12.9AB</t>
  </si>
  <si>
    <t>39190FTI12.9AB</t>
  </si>
  <si>
    <t>39200FTI12.9AB</t>
  </si>
  <si>
    <t>39210FTI12.9AB</t>
  </si>
  <si>
    <t>39220FTI12.9AB</t>
  </si>
  <si>
    <t>39230FTI12.9AB</t>
  </si>
  <si>
    <t>39240FTI12.9AB</t>
  </si>
  <si>
    <t>39250FTI12.9AB</t>
  </si>
  <si>
    <t>39260FTI12.9AB</t>
  </si>
  <si>
    <t>39270FTI12.9AB</t>
  </si>
  <si>
    <t>39280FTI12.9AB</t>
  </si>
  <si>
    <t>39290FTI12.9AB</t>
  </si>
  <si>
    <t>39300FTI12.9AB</t>
  </si>
  <si>
    <t>4270FTI12.9AB</t>
  </si>
  <si>
    <t>4275FTI12.9AB</t>
  </si>
  <si>
    <t>4280FTI12.9AB</t>
  </si>
  <si>
    <t>4285FTI12.9AB</t>
  </si>
  <si>
    <t>4290FTI12.9AB</t>
  </si>
  <si>
    <t>4295FTI12.9AB</t>
  </si>
  <si>
    <t>42100FTI12.9AB</t>
  </si>
  <si>
    <t>42110FTI12.9AB</t>
  </si>
  <si>
    <t>42120FTI12.9AB</t>
  </si>
  <si>
    <t>42130FTI12.9AB</t>
  </si>
  <si>
    <t>42140FTI12.9AB</t>
  </si>
  <si>
    <t>42150FTI12.9AB</t>
  </si>
  <si>
    <t>42160FTI12.9AB</t>
  </si>
  <si>
    <t>42170FTI12.9AB</t>
  </si>
  <si>
    <t>42180FTI12.9AB</t>
  </si>
  <si>
    <t>42190FTI12.9AB</t>
  </si>
  <si>
    <t>42200FTI12.9AB</t>
  </si>
  <si>
    <t>42210FTI12.9AB</t>
  </si>
  <si>
    <t>42220FTI12.9AB</t>
  </si>
  <si>
    <t>42230FTI12.9AB</t>
  </si>
  <si>
    <t>42240FTI12.9AB</t>
  </si>
  <si>
    <t>42250FTI12.9AB</t>
  </si>
  <si>
    <t>42260FTI12.9AB</t>
  </si>
  <si>
    <t>42270FTI12.9AB</t>
  </si>
  <si>
    <t>42280FTI12.9AB</t>
  </si>
  <si>
    <t>42290FTI12.9AB</t>
  </si>
  <si>
    <t>42300FTI12.9AB</t>
  </si>
  <si>
    <t>4580FTI12.9AB</t>
  </si>
  <si>
    <t>4585FTI12.9AB</t>
  </si>
  <si>
    <t>4590FTI12.9AB</t>
  </si>
  <si>
    <t>45100FTI12.9AB</t>
  </si>
  <si>
    <t>45110FTI12.9AB</t>
  </si>
  <si>
    <t>45120FTI12.9AB</t>
  </si>
  <si>
    <t>45130FTI12.9AB</t>
  </si>
  <si>
    <t>45140FTI12.9AB</t>
  </si>
  <si>
    <t>45150FTI12.9AB</t>
  </si>
  <si>
    <t>45160FTI12.9AB</t>
  </si>
  <si>
    <t>45170FTI12.9AB</t>
  </si>
  <si>
    <t>45180FTI12.9AB</t>
  </si>
  <si>
    <t>45190FTI12.9AB</t>
  </si>
  <si>
    <t>45200FTI12.9AB</t>
  </si>
  <si>
    <t>45210FTI12.9AB</t>
  </si>
  <si>
    <t>45220FTI12.9AB</t>
  </si>
  <si>
    <t>45230FTI12.9AB</t>
  </si>
  <si>
    <t>45240FTI12.9AB</t>
  </si>
  <si>
    <t>45250FTI12.9AB</t>
  </si>
  <si>
    <t>45260FTI12.9AB</t>
  </si>
  <si>
    <t>45270FTI12.9AB</t>
  </si>
  <si>
    <t>45280FTI12.9AB</t>
  </si>
  <si>
    <t>45290FTI12.9AB</t>
  </si>
  <si>
    <t>45300FTI12.9AB</t>
  </si>
  <si>
    <t>10130FTI12.9AB</t>
  </si>
  <si>
    <t>14130FTI12.9AB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</si>
</sst>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₹#,##0.00"/>
  </numFmts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34465B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sz val="10"/>
      <color rgb="FF164E38"/>
      <name val="Arial"/>
      <family val="2"/>
    </font>
    <font>
      <b/>
      <sz val="10"/>
      <color rgb="FF0B3975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B3975"/>
      </patternFill>
    </fill>
    <fill>
      <patternFill patternType="solid">
        <fgColor rgb="FFEAF1F8"/>
      </patternFill>
    </fill>
    <fill>
      <patternFill patternType="solid">
        <fgColor rgb="FF174E8C"/>
      </patternFill>
    </fill>
    <fill>
      <patternFill patternType="solid">
        <fgColor rgb="FFF2F7FC"/>
      </patternFill>
    </fill>
    <fill>
      <patternFill patternType="solid">
        <fgColor rgb="FFE9F5EF"/>
      </patternFill>
    </fill>
    <fill>
      <patternFill patternType="solid">
        <fgColor rgb="FFDCE8F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165" fontId="6" fillId="7" borderId="0" xfId="0" applyNumberFormat="1" applyFont="1" applyFill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165" fontId="4" fillId="5" borderId="1" xfId="0" applyNumberFormat="1" applyFont="1" applyFill="1" applyBorder="1" applyAlignment="1">
      <alignment vertical="center"/>
    </xf>
    <xf numFmtId="165" fontId="5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4" fillId="5" borderId="2" xfId="0" applyFont="1" applyFill="1" applyBorder="1" applyAlignment="1">
      <alignment vertical="center"/>
    </xf>
    <xf numFmtId="165" fontId="4" fillId="5" borderId="2" xfId="0" applyNumberFormat="1" applyFont="1" applyFill="1" applyBorder="1" applyAlignment="1">
      <alignment vertical="center"/>
    </xf>
    <xf numFmtId="165" fontId="5" fillId="6" borderId="2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7" fillId="0" borderId="1" xfId="0" applyFont="1" applyBorder="1" applyAlignment="1">
      <alignment horizontal="center"/>
    </xf>
    <xf numFmtId="0" fontId="9" fillId="0" borderId="0" xfId="0" applyFont="1"/>
    <xf numFmtId="0" fontId="7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" fontId="7" fillId="8" borderId="1" xfId="0" applyNumberFormat="1" applyFont="1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0" fillId="9" borderId="0" xfId="0" applyFill="1"/>
    <xf numFmtId="0" fontId="7" fillId="9" borderId="5" xfId="0" applyFont="1" applyFill="1" applyBorder="1"/>
    <xf numFmtId="0" fontId="2" fillId="3" borderId="0" xfId="0" applyFont="1" applyFill="1" applyAlignment="1">
      <alignment vertical="center" wrapText="1"/>
    </xf>
    <xf numFmtId="0" fontId="0" fillId="3" borderId="0" xfId="0" applyFill="1"/>
    <xf numFmtId="0" fontId="6" fillId="7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10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4" fillId="10" borderId="0" xfId="0" applyFont="1" applyFill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11" borderId="10" xfId="0" applyFill="1" applyBorder="1"/>
    <xf numFmtId="0" fontId="0" fillId="11" borderId="11" xfId="0" applyFill="1" applyBorder="1"/>
    <xf numFmtId="0" fontId="13" fillId="10" borderId="3" xfId="0" applyFont="1" applyFill="1" applyBorder="1" applyAlignment="1">
      <alignment horizontal="center"/>
    </xf>
    <xf numFmtId="0" fontId="15" fillId="10" borderId="3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11" borderId="12" xfId="0" applyFill="1" applyBorder="1"/>
    <xf numFmtId="0" fontId="7" fillId="0" borderId="9" xfId="0" applyFont="1" applyBorder="1" applyAlignment="1">
      <alignment horizontal="center" vertical="center" wrapText="1"/>
    </xf>
    <xf numFmtId="0" fontId="7" fillId="12" borderId="0" xfId="0" applyFont="1" applyFill="1" applyAlignment="1">
      <alignment horizontal="center"/>
    </xf>
    <xf numFmtId="0" fontId="0" fillId="13" borderId="0" xfId="0" applyFill="1"/>
    <xf numFmtId="0" fontId="0" fillId="0" borderId="0" xfId="0" applyFill="1"/>
    <xf numFmtId="0" fontId="0" fillId="11" borderId="0" xfId="0" applyFill="1"/>
    <xf numFmtId="0" fontId="12" fillId="14" borderId="0" xfId="0" applyFont="1" applyFill="1"/>
    <xf numFmtId="0" fontId="13" fillId="14" borderId="0" xfId="0" applyFont="1" applyFill="1"/>
    <xf numFmtId="0" fontId="12" fillId="14" borderId="0" xfId="0" applyFont="1" applyFill="1" applyAlignment="1">
      <alignment vertical="center" wrapText="1"/>
    </xf>
    <xf numFmtId="0" fontId="13" fillId="1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9" fillId="15" borderId="13" xfId="0" applyFont="1" applyFill="1" applyBorder="1"/>
    <xf numFmtId="0" fontId="16" fillId="15" borderId="1" xfId="0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1" fontId="0" fillId="0" borderId="0" xfId="0" applyNumberFormat="1"/>
    <xf numFmtId="1" fontId="3" fillId="4" borderId="4" xfId="0" applyNumberFormat="1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vertical="center"/>
    </xf>
    <xf numFmtId="1" fontId="0" fillId="0" borderId="1" xfId="0" applyNumberFormat="1" applyBorder="1"/>
    <xf numFmtId="1" fontId="0" fillId="0" borderId="0" xfId="0" applyNumberFormat="1" applyAlignment="1">
      <alignment horizontal="center"/>
    </xf>
    <xf numFmtId="1" fontId="4" fillId="5" borderId="2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4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60">
    <dxf>
      <font>
        <sz val="10"/>
        <color rgb="FF1F2937"/>
        <name val="Arial"/>
        <family val="2"/>
        <scheme val="none"/>
      </font>
      <fill>
        <patternFill patternType="solid">
          <fgColor indexed="64"/>
          <bgColor rgb="FFF2F7F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z val="10"/>
        <color rgb="FF1F2937"/>
        <name val="Arial"/>
        <family val="2"/>
        <scheme val="none"/>
      </font>
      <fill>
        <patternFill patternType="solid">
          <fgColor indexed="64"/>
          <bgColor rgb="FFF2F7F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z val="10"/>
        <color rgb="FF1F2937"/>
        <name val="Arial"/>
        <family val="2"/>
        <scheme val="none"/>
      </font>
      <fill>
        <patternFill patternType="solid">
          <fgColor indexed="64"/>
          <bgColor rgb="FFF2F7F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5" formatCode="\₹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\₹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\₹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color rgb="FF1F2937"/>
        <name val="Arial"/>
        <family val="2"/>
        <scheme val="none"/>
      </font>
      <fill>
        <patternFill patternType="solid">
          <fgColor indexed="64"/>
          <bgColor rgb="FFF2F7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5" formatCode="\₹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\₹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numFmt numFmtId="0" formatCode="General"/>
      <fill>
        <patternFill patternType="solid">
          <fgColor indexed="64"/>
          <bgColor rgb="FFF2F7F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sz val="10"/>
        <color rgb="FF1F2937"/>
        <name val="Arial"/>
        <family val="2"/>
        <scheme val="none"/>
      </font>
      <fill>
        <patternFill patternType="solid">
          <fgColor indexed="64"/>
          <bgColor rgb="FFF2F7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5" formatCode="\₹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\₹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numFmt numFmtId="0" formatCode="General"/>
      <fill>
        <patternFill patternType="solid">
          <fgColor indexed="64"/>
          <bgColor rgb="FFF2F7F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sz val="10"/>
        <color rgb="FF1F2937"/>
        <name val="Arial"/>
        <family val="2"/>
        <scheme val="none"/>
      </font>
      <fill>
        <patternFill patternType="solid">
          <fgColor indexed="64"/>
          <bgColor rgb="FFF2F7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5" formatCode="\₹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\₹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numFmt numFmtId="0" formatCode="General"/>
      <fill>
        <patternFill patternType="solid">
          <fgColor indexed="64"/>
          <bgColor rgb="FFF2F7F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165" formatCode="\₹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\₹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numFmt numFmtId="0" formatCode="General"/>
      <fill>
        <patternFill patternType="solid">
          <fgColor indexed="64"/>
          <bgColor rgb="FFF2F7F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stenersPriceList" displayName="FastenersPriceList" ref="A4:M429" headerRowDxfId="59" headerRowBorderDxfId="58">
  <autoFilter ref="A4:M429" xr:uid="{00000000-0009-0000-0100-000001000000}"/>
  <tableColumns count="13">
    <tableColumn id="1" xr3:uid="{00000000-0010-0000-0000-000001000000}" name="Product Code" dataDxfId="57"/>
    <tableColumn id="2" xr3:uid="{00000000-0010-0000-0000-000002000000}" name="Product Name" dataDxfId="56"/>
    <tableColumn id="3" xr3:uid="{00000000-0010-0000-0000-000003000000}" name="Material Grade" dataDxfId="55"/>
    <tableColumn id="4" xr3:uid="{00000000-0010-0000-0000-000004000000}" name="1000 PCS/WT." dataDxfId="54"/>
    <tableColumn id="13" xr3:uid="{2A44C4ED-FFD3-4FA3-B0C5-EA6FC8F9433E}" name="SINGLE PC. WT." dataDxfId="49">
      <calculatedColumnFormula>FastenersPriceList[[#This Row],[1000 PCS/WT.]]/1000</calculatedColumnFormula>
    </tableColumn>
    <tableColumn id="5" xr3:uid="{00000000-0010-0000-0000-000005000000}" name="Size" dataDxfId="53"/>
    <tableColumn id="6" xr3:uid="{00000000-0010-0000-0000-000006000000}" name="Finish" dataDxfId="52"/>
    <tableColumn id="7" xr3:uid="{00000000-0010-0000-0000-000007000000}" name="Quantity (kg)" dataDxfId="48"/>
    <tableColumn id="8" xr3:uid="{00000000-0010-0000-0000-000008000000}" name="Quantity (pieces) IN 50 KGS" dataDxfId="47">
      <calculatedColumnFormula>FastenersPriceList[[#This Row],[Quantity (kg)]]/FastenersPriceList[[#This Row],[SINGLE PC. WT.]]</calculatedColumnFormula>
    </tableColumn>
    <tableColumn id="9" xr3:uid="{00000000-0010-0000-0000-000009000000}" name="Rate / PER kg (₹)" dataDxfId="51"/>
    <tableColumn id="10" xr3:uid="{00000000-0010-0000-0000-00000A000000}" name="Rate / piece (₹) Per 1000 Pcs" dataDxfId="46">
      <calculatedColumnFormula>FastenersPriceList[[#This Row],[1000 PCS/WT.]]*FastenersPriceList[[#This Row],[Rate / PER kg (₹)]]</calculatedColumnFormula>
    </tableColumn>
    <tableColumn id="11" xr3:uid="{00000000-0010-0000-0000-00000B000000}" name="Amount by 50 KG" dataDxfId="45">
      <calculatedColumnFormula>FastenersPriceList[[#This Row],[Rate / PER kg (₹)]]*FastenersPriceList[[#This Row],[Quantity (kg)]]</calculatedColumnFormula>
    </tableColumn>
    <tableColumn id="12" xr3:uid="{00000000-0010-0000-0000-00000C000000}" name="Column1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23BE48-8B54-4D8B-A478-0C733D71BD53}" name="FastenersPriceList3" displayName="FastenersPriceList3" ref="A4:M429" headerRowDxfId="44" headerRowBorderDxfId="43">
  <autoFilter ref="A4:M429" xr:uid="{4E23BE48-8B54-4D8B-A478-0C733D71BD53}"/>
  <tableColumns count="13">
    <tableColumn id="1" xr3:uid="{8158A2F7-DE90-499C-A13A-ADE7F41182A5}" name="Product Code" dataDxfId="42"/>
    <tableColumn id="2" xr3:uid="{334CEBCE-7EAC-417E-921A-951B95F7DE1C}" name="Product Name" dataDxfId="41"/>
    <tableColumn id="3" xr3:uid="{3A21DD78-F99C-4623-A982-C10B6EBC8347}" name="Material Grade" dataDxfId="32"/>
    <tableColumn id="4" xr3:uid="{CBE24859-51E1-4470-9399-0F1737D3738F}" name="1000 PCS/WT." dataDxfId="40"/>
    <tableColumn id="13" xr3:uid="{1E38049D-3342-430A-9CEC-0BF3D32629C8}" name="SINGLE PC. WT." dataDxfId="39">
      <calculatedColumnFormula>FastenersPriceList3[[#This Row],[1000 PCS/WT.]]/1000</calculatedColumnFormula>
    </tableColumn>
    <tableColumn id="5" xr3:uid="{413C1E74-C5FC-4722-8D66-A9F37DCABCF9}" name="Size" dataDxfId="38"/>
    <tableColumn id="6" xr3:uid="{9FBA6295-601F-4A07-9624-769190FEA0DB}" name="Finish" dataDxfId="2"/>
    <tableColumn id="7" xr3:uid="{06D61670-F8ED-4867-A0F9-A14AC6E8035C}" name="Quantity (kg)" dataDxfId="37"/>
    <tableColumn id="8" xr3:uid="{A050F48A-1E1C-45FB-98B8-BB890413DDAA}" name="Quantity (pieces) IN 50 KGS" dataDxfId="36">
      <calculatedColumnFormula>FastenersPriceList3[[#This Row],[Quantity (kg)]]/FastenersPriceList3[[#This Row],[SINGLE PC. WT.]]</calculatedColumnFormula>
    </tableColumn>
    <tableColumn id="9" xr3:uid="{CE05801E-85D0-4F11-BFDB-BCB9EA6C8CFF}" name="Rate / PER kg (₹)" dataDxfId="35"/>
    <tableColumn id="10" xr3:uid="{E9905922-F4C9-4880-9876-E786899213E6}" name="Rate / piece (₹) Per 1000 Pcs" dataDxfId="34">
      <calculatedColumnFormula>FastenersPriceList3[[#This Row],[1000 PCS/WT.]]*FastenersPriceList3[[#This Row],[Rate / PER kg (₹)]]</calculatedColumnFormula>
    </tableColumn>
    <tableColumn id="11" xr3:uid="{FF5D41CE-5476-4D75-8C77-D150382B8A97}" name="Amount by 50 KG" dataDxfId="33">
      <calculatedColumnFormula>FastenersPriceList3[[#This Row],[Rate / PER kg (₹)]]*FastenersPriceList3[[#This Row],[Quantity (kg)]]</calculatedColumnFormula>
    </tableColumn>
    <tableColumn id="12" xr3:uid="{AF7D82BB-DDBF-4A07-9C4F-82B46F2ABE75}" name="PER PIECE RATE" dataDxfId="3">
      <calculatedColumnFormula>FastenersPriceList3[[#This Row],[SINGLE PC. WT.]]*FastenersPriceList3[[#This Row],[Rate / PER kg (₹)]]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0C7683-F373-4B9D-825C-6F2EC10ED535}" name="FastenersPriceList34" displayName="FastenersPriceList34" ref="A4:M429" headerRowDxfId="31" headerRowBorderDxfId="30">
  <autoFilter ref="A4:M429" xr:uid="{CA0C7683-F373-4B9D-825C-6F2EC10ED535}"/>
  <tableColumns count="13">
    <tableColumn id="1" xr3:uid="{09177155-0031-4DF6-8E78-86DC28EAAB5D}" name="Product Code" dataDxfId="29"/>
    <tableColumn id="2" xr3:uid="{CD2D105C-72C1-4AA7-9289-F37F43C481D6}" name="Product Name" dataDxfId="28"/>
    <tableColumn id="3" xr3:uid="{4CD44BC0-ED5F-421E-8960-BD391FC3CED5}" name="Material Grade" dataDxfId="19"/>
    <tableColumn id="4" xr3:uid="{9CE430E8-66B0-48CB-B8ED-5D3CCE1620C1}" name="1000 PCS/WT." dataDxfId="27"/>
    <tableColumn id="13" xr3:uid="{B364F526-2AB7-4CC5-91BA-DFC23546C21A}" name="SINGLE PC. WT." dataDxfId="26">
      <calculatedColumnFormula>FastenersPriceList34[[#This Row],[1000 PCS/WT.]]/1000</calculatedColumnFormula>
    </tableColumn>
    <tableColumn id="5" xr3:uid="{ECE0A3EE-7668-4BF8-B138-E660A5B08316}" name="Size" dataDxfId="25"/>
    <tableColumn id="6" xr3:uid="{085E6E26-AA61-4A3D-A68D-581427ABB8AD}" name="Finish" dataDxfId="1"/>
    <tableColumn id="7" xr3:uid="{CA001FFE-2E05-4F05-84C1-1E3D0FEE10C0}" name="Quantity (kg)" dataDxfId="24"/>
    <tableColumn id="8" xr3:uid="{500E8992-7ED7-4E98-A67B-DF773903AADB}" name="Quantity (pieces) IN 50 KGS" dataDxfId="23">
      <calculatedColumnFormula>FastenersPriceList34[[#This Row],[Quantity (kg)]]/FastenersPriceList34[[#This Row],[SINGLE PC. WT.]]</calculatedColumnFormula>
    </tableColumn>
    <tableColumn id="9" xr3:uid="{8FE5A0CF-1929-4A03-A0BA-7B6CBE693714}" name="Rate / PER kg (₹)" dataDxfId="22"/>
    <tableColumn id="10" xr3:uid="{5FBBA8F1-14B5-4B69-8718-ABF362683BCB}" name="Rate / piece (₹) Per 1000 Pcs" dataDxfId="21">
      <calculatedColumnFormula>FastenersPriceList34[[#This Row],[1000 PCS/WT.]]*FastenersPriceList34[[#This Row],[Rate / PER kg (₹)]]</calculatedColumnFormula>
    </tableColumn>
    <tableColumn id="11" xr3:uid="{55E8A3C8-557B-466D-8EA3-81C19A91EA68}" name="Amount by 50 KG" dataDxfId="20">
      <calculatedColumnFormula>FastenersPriceList34[[#This Row],[Rate / PER kg (₹)]]*FastenersPriceList34[[#This Row],[Quantity (kg)]]</calculatedColumnFormula>
    </tableColumn>
    <tableColumn id="12" xr3:uid="{36B66102-6010-4C82-917E-C19910205375}" name="PER PIECE RATE" dataDxfId="4">
      <calculatedColumnFormula>FastenersPriceList34[[#This Row],[SINGLE PC. WT.]]*FastenersPriceList34[[#This Row],[Rate / PER kg (₹)]]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82B566-6759-46A1-886F-051AF9504030}" name="FastenersPriceList345" displayName="FastenersPriceList345" ref="A4:M429" headerRowDxfId="18" headerRowBorderDxfId="17">
  <autoFilter ref="A4:M429" xr:uid="{7F82B566-6759-46A1-886F-051AF9504030}"/>
  <tableColumns count="13">
    <tableColumn id="1" xr3:uid="{63BC1FC6-CE82-43EC-966F-6C61A3378D6C}" name="Product Code" dataDxfId="16"/>
    <tableColumn id="2" xr3:uid="{03359B6D-8040-46CC-B802-365770F68B38}" name="Product Name" dataDxfId="15"/>
    <tableColumn id="3" xr3:uid="{DEA4BC30-1028-426D-9285-C35AB77C0158}" name="Material Grade" dataDxfId="6"/>
    <tableColumn id="4" xr3:uid="{FBC15FEE-69C4-4DB2-9536-8F4116F4500C}" name="1000 PCS/WT." dataDxfId="14"/>
    <tableColumn id="13" xr3:uid="{C1363632-3077-4C8C-8174-DFBDE8EFEFD0}" name="SINGLE PC. WT." dataDxfId="13">
      <calculatedColumnFormula>FastenersPriceList345[[#This Row],[1000 PCS/WT.]]/1000</calculatedColumnFormula>
    </tableColumn>
    <tableColumn id="5" xr3:uid="{6FC7FE4A-0F21-4110-81C1-1C64EE2D97A9}" name="Size" dataDxfId="12"/>
    <tableColumn id="6" xr3:uid="{AB720A81-4725-40A6-8C23-30DA7CBDA196}" name="Finish" dataDxfId="0"/>
    <tableColumn id="7" xr3:uid="{B7F50256-99C2-4836-8D9D-78B4F4886F1A}" name="Quantity (kg)" dataDxfId="11"/>
    <tableColumn id="8" xr3:uid="{CF711E4B-3E89-46D5-94F1-C2443D15AE69}" name="Quantity (pieces) IN 50 KGS" dataDxfId="10">
      <calculatedColumnFormula>FastenersPriceList345[[#This Row],[Quantity (kg)]]/FastenersPriceList345[[#This Row],[SINGLE PC. WT.]]</calculatedColumnFormula>
    </tableColumn>
    <tableColumn id="9" xr3:uid="{1C5AD53B-AB95-4E62-9540-A22F92C5230D}" name="Rate / PER kg (₹)" dataDxfId="9"/>
    <tableColumn id="10" xr3:uid="{0E0356FC-CC08-4CD9-87F7-8490E2FF2F1F}" name="Rate / piece (₹) Per 1000 Pcs" dataDxfId="8">
      <calculatedColumnFormula>FastenersPriceList345[[#This Row],[1000 PCS/WT.]]*FastenersPriceList345[[#This Row],[Rate / PER kg (₹)]]</calculatedColumnFormula>
    </tableColumn>
    <tableColumn id="11" xr3:uid="{AB39F0E0-BBC1-401B-83A3-B4862367D412}" name="Amount by 50 KG" dataDxfId="7">
      <calculatedColumnFormula>FastenersPriceList345[[#This Row],[Rate / PER kg (₹)]]*FastenersPriceList345[[#This Row],[Quantity (kg)]]</calculatedColumnFormula>
    </tableColumn>
    <tableColumn id="12" xr3:uid="{B2CD9BEB-5D0E-4FA3-A873-9BF3855278C9}" name="PER PIECE RATE" dataDxfId="5">
      <calculatedColumnFormula>FastenersPriceList345[[#This Row],[SINGLE PC. WT.]]*FastenersPriceList345[[#This Row],[Rate / PER kg (₹)]]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3975"/>
  </sheetPr>
  <dimension ref="A1:M431"/>
  <sheetViews>
    <sheetView showGridLines="0" workbookViewId="0">
      <pane ySplit="4" topLeftCell="A286" activePane="bottomLeft" state="frozen"/>
      <selection pane="bottomLeft" activeCell="A286" sqref="A286"/>
    </sheetView>
  </sheetViews>
  <sheetFormatPr defaultRowHeight="14.4" x14ac:dyDescent="0.3"/>
  <cols>
    <col min="1" max="1" width="18.109375" customWidth="1"/>
    <col min="2" max="2" width="27.77734375" customWidth="1"/>
    <col min="3" max="3" width="10.44140625" customWidth="1"/>
    <col min="4" max="5" width="9.21875" customWidth="1"/>
    <col min="6" max="6" width="9" customWidth="1"/>
    <col min="7" max="7" width="7.109375" customWidth="1"/>
    <col min="8" max="8" width="9.6640625" style="69" customWidth="1"/>
    <col min="9" max="9" width="10.21875" style="65" customWidth="1"/>
    <col min="10" max="10" width="7.88671875" customWidth="1"/>
    <col min="11" max="11" width="11.77734375" customWidth="1"/>
    <col min="12" max="12" width="9.33203125" customWidth="1"/>
    <col min="13" max="13" width="13.109375" customWidth="1"/>
  </cols>
  <sheetData>
    <row r="1" spans="1:13" ht="31.95" customHeight="1" x14ac:dyDescent="0.3">
      <c r="A1" s="35" t="s">
        <v>896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34.049999999999997" customHeight="1" x14ac:dyDescent="0.3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15" thickBot="1" x14ac:dyDescent="0.35"/>
    <row r="4" spans="1:13" ht="37.950000000000003" customHeight="1" thickBot="1" x14ac:dyDescent="0.35">
      <c r="A4" s="9" t="s">
        <v>1</v>
      </c>
      <c r="B4" s="10" t="s">
        <v>2</v>
      </c>
      <c r="C4" s="10" t="s">
        <v>3</v>
      </c>
      <c r="D4" s="10" t="s">
        <v>634</v>
      </c>
      <c r="E4" s="10" t="s">
        <v>891</v>
      </c>
      <c r="F4" s="10" t="s">
        <v>4</v>
      </c>
      <c r="G4" s="10" t="s">
        <v>5</v>
      </c>
      <c r="H4" s="66" t="s">
        <v>6</v>
      </c>
      <c r="I4" s="66" t="s">
        <v>892</v>
      </c>
      <c r="J4" s="10" t="s">
        <v>894</v>
      </c>
      <c r="K4" s="10" t="s">
        <v>178</v>
      </c>
      <c r="L4" s="10" t="s">
        <v>895</v>
      </c>
      <c r="M4" s="11" t="s">
        <v>893</v>
      </c>
    </row>
    <row r="5" spans="1:13" ht="22.05" customHeight="1" x14ac:dyDescent="0.3">
      <c r="A5" s="6" t="s">
        <v>901</v>
      </c>
      <c r="B5" s="6" t="s">
        <v>8</v>
      </c>
      <c r="C5" s="12" t="s">
        <v>9</v>
      </c>
      <c r="D5" s="6">
        <v>2.63</v>
      </c>
      <c r="E5" s="6">
        <f>FastenersPriceList[[#This Row],[1000 PCS/WT.]]/1000</f>
        <v>2.63E-3</v>
      </c>
      <c r="F5" s="6" t="s">
        <v>10</v>
      </c>
      <c r="G5" s="6" t="s">
        <v>11</v>
      </c>
      <c r="H5" s="70">
        <v>50</v>
      </c>
      <c r="I5" s="67">
        <f>FastenersPriceList[[#This Row],[Quantity (kg)]]/FastenersPriceList[[#This Row],[SINGLE PC. WT.]]</f>
        <v>19011.406844106463</v>
      </c>
      <c r="J5" s="7">
        <v>120</v>
      </c>
      <c r="K5" s="7">
        <f>FastenersPriceList[[#This Row],[1000 PCS/WT.]]*FastenersPriceList[[#This Row],[Rate / PER kg (₹)]]</f>
        <v>315.59999999999997</v>
      </c>
      <c r="L5" s="8">
        <f>FastenersPriceList[[#This Row],[Rate / PER kg (₹)]]*FastenersPriceList[[#This Row],[Quantity (kg)]]</f>
        <v>6000</v>
      </c>
      <c r="M5" s="8"/>
    </row>
    <row r="6" spans="1:13" ht="22.05" customHeight="1" x14ac:dyDescent="0.3">
      <c r="A6" s="2" t="s">
        <v>902</v>
      </c>
      <c r="B6" s="12" t="s">
        <v>8</v>
      </c>
      <c r="C6" s="12" t="s">
        <v>9</v>
      </c>
      <c r="D6" s="2">
        <v>3.37</v>
      </c>
      <c r="E6" s="2">
        <f>FastenersPriceList[[#This Row],[1000 PCS/WT.]]/1000</f>
        <v>3.3700000000000002E-3</v>
      </c>
      <c r="F6" s="2" t="s">
        <v>12</v>
      </c>
      <c r="G6" s="6" t="s">
        <v>11</v>
      </c>
      <c r="H6" s="70">
        <v>50</v>
      </c>
      <c r="I6" s="72">
        <f>FastenersPriceList[[#This Row],[Quantity (kg)]]/FastenersPriceList[[#This Row],[SINGLE PC. WT.]]</f>
        <v>14836.795252225518</v>
      </c>
      <c r="J6" s="3">
        <v>120</v>
      </c>
      <c r="K6" s="3">
        <f>FastenersPriceList[[#This Row],[1000 PCS/WT.]]*FastenersPriceList[[#This Row],[Rate / PER kg (₹)]]</f>
        <v>404.40000000000003</v>
      </c>
      <c r="L6" s="4">
        <f>FastenersPriceList[[#This Row],[Rate / PER kg (₹)]]*FastenersPriceList[[#This Row],[Quantity (kg)]]</f>
        <v>6000</v>
      </c>
      <c r="M6" s="4"/>
    </row>
    <row r="7" spans="1:13" ht="22.05" customHeight="1" x14ac:dyDescent="0.3">
      <c r="A7" s="2" t="s">
        <v>903</v>
      </c>
      <c r="B7" s="12" t="s">
        <v>8</v>
      </c>
      <c r="C7" s="12" t="s">
        <v>9</v>
      </c>
      <c r="D7" s="2">
        <v>3.87</v>
      </c>
      <c r="E7" s="2">
        <f>FastenersPriceList[[#This Row],[1000 PCS/WT.]]/1000</f>
        <v>3.8700000000000002E-3</v>
      </c>
      <c r="F7" s="2" t="s">
        <v>13</v>
      </c>
      <c r="G7" s="6" t="s">
        <v>11</v>
      </c>
      <c r="H7" s="70">
        <v>50</v>
      </c>
      <c r="I7" s="72">
        <f>FastenersPriceList[[#This Row],[Quantity (kg)]]/FastenersPriceList[[#This Row],[SINGLE PC. WT.]]</f>
        <v>12919.896640826873</v>
      </c>
      <c r="J7" s="3">
        <v>120</v>
      </c>
      <c r="K7" s="3">
        <f>FastenersPriceList[[#This Row],[1000 PCS/WT.]]*FastenersPriceList[[#This Row],[Rate / PER kg (₹)]]</f>
        <v>464.40000000000003</v>
      </c>
      <c r="L7" s="4">
        <f>FastenersPriceList[[#This Row],[Rate / PER kg (₹)]]*FastenersPriceList[[#This Row],[Quantity (kg)]]</f>
        <v>6000</v>
      </c>
      <c r="M7" s="4"/>
    </row>
    <row r="8" spans="1:13" ht="22.05" customHeight="1" x14ac:dyDescent="0.3">
      <c r="A8" s="2" t="s">
        <v>904</v>
      </c>
      <c r="B8" s="12" t="s">
        <v>8</v>
      </c>
      <c r="C8" s="12" t="s">
        <v>9</v>
      </c>
      <c r="D8" s="2">
        <v>4.49</v>
      </c>
      <c r="E8" s="2">
        <f>FastenersPriceList[[#This Row],[1000 PCS/WT.]]/1000</f>
        <v>4.4900000000000001E-3</v>
      </c>
      <c r="F8" s="2" t="s">
        <v>14</v>
      </c>
      <c r="G8" s="6" t="s">
        <v>11</v>
      </c>
      <c r="H8" s="70">
        <v>50</v>
      </c>
      <c r="I8" s="72">
        <f>FastenersPriceList[[#This Row],[Quantity (kg)]]/FastenersPriceList[[#This Row],[SINGLE PC. WT.]]</f>
        <v>11135.8574610245</v>
      </c>
      <c r="J8" s="3">
        <v>120</v>
      </c>
      <c r="K8" s="3">
        <f>FastenersPriceList[[#This Row],[1000 PCS/WT.]]*FastenersPriceList[[#This Row],[Rate / PER kg (₹)]]</f>
        <v>538.80000000000007</v>
      </c>
      <c r="L8" s="4">
        <f>FastenersPriceList[[#This Row],[Rate / PER kg (₹)]]*FastenersPriceList[[#This Row],[Quantity (kg)]]</f>
        <v>6000</v>
      </c>
      <c r="M8" s="4"/>
    </row>
    <row r="9" spans="1:13" ht="22.05" customHeight="1" x14ac:dyDescent="0.3">
      <c r="A9" s="2" t="s">
        <v>905</v>
      </c>
      <c r="B9" s="12" t="s">
        <v>8</v>
      </c>
      <c r="C9" s="12" t="s">
        <v>9</v>
      </c>
      <c r="D9" s="2">
        <v>5.1100000000000003</v>
      </c>
      <c r="E9" s="2">
        <f>FastenersPriceList[[#This Row],[1000 PCS/WT.]]/1000</f>
        <v>5.11E-3</v>
      </c>
      <c r="F9" s="2" t="s">
        <v>15</v>
      </c>
      <c r="G9" s="6" t="s">
        <v>11</v>
      </c>
      <c r="H9" s="70">
        <v>50</v>
      </c>
      <c r="I9" s="72">
        <f>FastenersPriceList[[#This Row],[Quantity (kg)]]/FastenersPriceList[[#This Row],[SINGLE PC. WT.]]</f>
        <v>9784.7358121330726</v>
      </c>
      <c r="J9" s="3">
        <v>118</v>
      </c>
      <c r="K9" s="3">
        <f>FastenersPriceList[[#This Row],[1000 PCS/WT.]]*FastenersPriceList[[#This Row],[Rate / PER kg (₹)]]</f>
        <v>602.98</v>
      </c>
      <c r="L9" s="4">
        <f>FastenersPriceList[[#This Row],[Rate / PER kg (₹)]]*FastenersPriceList[[#This Row],[Quantity (kg)]]</f>
        <v>5900</v>
      </c>
      <c r="M9" s="4"/>
    </row>
    <row r="10" spans="1:13" ht="22.05" customHeight="1" x14ac:dyDescent="0.3">
      <c r="A10" s="2" t="s">
        <v>906</v>
      </c>
      <c r="B10" s="12" t="s">
        <v>8</v>
      </c>
      <c r="C10" s="12" t="s">
        <v>9</v>
      </c>
      <c r="D10" s="2">
        <v>5.73</v>
      </c>
      <c r="E10" s="2">
        <f>FastenersPriceList[[#This Row],[1000 PCS/WT.]]/1000</f>
        <v>5.7300000000000007E-3</v>
      </c>
      <c r="F10" s="2" t="s">
        <v>16</v>
      </c>
      <c r="G10" s="6" t="s">
        <v>11</v>
      </c>
      <c r="H10" s="70">
        <v>50</v>
      </c>
      <c r="I10" s="72">
        <f>FastenersPriceList[[#This Row],[Quantity (kg)]]/FastenersPriceList[[#This Row],[SINGLE PC. WT.]]</f>
        <v>8726.0034904013955</v>
      </c>
      <c r="J10" s="3">
        <v>118</v>
      </c>
      <c r="K10" s="3">
        <f>FastenersPriceList[[#This Row],[1000 PCS/WT.]]*FastenersPriceList[[#This Row],[Rate / PER kg (₹)]]</f>
        <v>676.1400000000001</v>
      </c>
      <c r="L10" s="4">
        <f>FastenersPriceList[[#This Row],[Rate / PER kg (₹)]]*FastenersPriceList[[#This Row],[Quantity (kg)]]</f>
        <v>5900</v>
      </c>
      <c r="M10" s="4"/>
    </row>
    <row r="11" spans="1:13" ht="22.05" customHeight="1" x14ac:dyDescent="0.3">
      <c r="A11" s="2" t="s">
        <v>907</v>
      </c>
      <c r="B11" s="12" t="s">
        <v>8</v>
      </c>
      <c r="C11" s="12" t="s">
        <v>9</v>
      </c>
      <c r="D11" s="2">
        <v>6.35</v>
      </c>
      <c r="E11" s="2">
        <f>FastenersPriceList[[#This Row],[1000 PCS/WT.]]/1000</f>
        <v>6.3499999999999997E-3</v>
      </c>
      <c r="F11" s="2" t="s">
        <v>17</v>
      </c>
      <c r="G11" s="6" t="s">
        <v>11</v>
      </c>
      <c r="H11" s="70">
        <v>50</v>
      </c>
      <c r="I11" s="72">
        <f>FastenersPriceList[[#This Row],[Quantity (kg)]]/FastenersPriceList[[#This Row],[SINGLE PC. WT.]]</f>
        <v>7874.0157480314965</v>
      </c>
      <c r="J11" s="3">
        <v>118</v>
      </c>
      <c r="K11" s="3">
        <f>FastenersPriceList[[#This Row],[1000 PCS/WT.]]*FastenersPriceList[[#This Row],[Rate / PER kg (₹)]]</f>
        <v>749.3</v>
      </c>
      <c r="L11" s="4">
        <f>FastenersPriceList[[#This Row],[Rate / PER kg (₹)]]*FastenersPriceList[[#This Row],[Quantity (kg)]]</f>
        <v>5900</v>
      </c>
      <c r="M11" s="4"/>
    </row>
    <row r="12" spans="1:13" ht="22.05" customHeight="1" x14ac:dyDescent="0.3">
      <c r="A12" s="2" t="s">
        <v>908</v>
      </c>
      <c r="B12" s="12" t="s">
        <v>8</v>
      </c>
      <c r="C12" s="12" t="s">
        <v>9</v>
      </c>
      <c r="D12" s="2">
        <v>6.99</v>
      </c>
      <c r="E12" s="2">
        <f>FastenersPriceList[[#This Row],[1000 PCS/WT.]]/1000</f>
        <v>6.9900000000000006E-3</v>
      </c>
      <c r="F12" s="2" t="s">
        <v>18</v>
      </c>
      <c r="G12" s="6" t="s">
        <v>11</v>
      </c>
      <c r="H12" s="70">
        <v>50</v>
      </c>
      <c r="I12" s="72">
        <f>FastenersPriceList[[#This Row],[Quantity (kg)]]/FastenersPriceList[[#This Row],[SINGLE PC. WT.]]</f>
        <v>7153.0758226037187</v>
      </c>
      <c r="J12" s="3">
        <v>118</v>
      </c>
      <c r="K12" s="3">
        <f>FastenersPriceList[[#This Row],[1000 PCS/WT.]]*FastenersPriceList[[#This Row],[Rate / PER kg (₹)]]</f>
        <v>824.82</v>
      </c>
      <c r="L12" s="4">
        <f>FastenersPriceList[[#This Row],[Rate / PER kg (₹)]]*FastenersPriceList[[#This Row],[Quantity (kg)]]</f>
        <v>5900</v>
      </c>
      <c r="M12" s="4"/>
    </row>
    <row r="13" spans="1:13" ht="22.05" customHeight="1" x14ac:dyDescent="0.3">
      <c r="A13" s="2" t="s">
        <v>909</v>
      </c>
      <c r="B13" s="12" t="s">
        <v>8</v>
      </c>
      <c r="C13" s="12" t="s">
        <v>9</v>
      </c>
      <c r="D13" s="2">
        <v>7.59</v>
      </c>
      <c r="E13" s="2">
        <f>FastenersPriceList[[#This Row],[1000 PCS/WT.]]/1000</f>
        <v>7.5899999999999995E-3</v>
      </c>
      <c r="F13" s="2" t="s">
        <v>19</v>
      </c>
      <c r="G13" s="6" t="s">
        <v>11</v>
      </c>
      <c r="H13" s="70">
        <v>50</v>
      </c>
      <c r="I13" s="72">
        <f>FastenersPriceList[[#This Row],[Quantity (kg)]]/FastenersPriceList[[#This Row],[SINGLE PC. WT.]]</f>
        <v>6587.6152832674579</v>
      </c>
      <c r="J13" s="3">
        <v>118</v>
      </c>
      <c r="K13" s="3">
        <f>FastenersPriceList[[#This Row],[1000 PCS/WT.]]*FastenersPriceList[[#This Row],[Rate / PER kg (₹)]]</f>
        <v>895.62</v>
      </c>
      <c r="L13" s="4">
        <f>FastenersPriceList[[#This Row],[Rate / PER kg (₹)]]*FastenersPriceList[[#This Row],[Quantity (kg)]]</f>
        <v>5900</v>
      </c>
      <c r="M13" s="4"/>
    </row>
    <row r="14" spans="1:13" ht="22.05" customHeight="1" x14ac:dyDescent="0.3">
      <c r="A14" s="2" t="s">
        <v>910</v>
      </c>
      <c r="B14" s="12" t="s">
        <v>8</v>
      </c>
      <c r="C14" s="12" t="s">
        <v>9</v>
      </c>
      <c r="D14" s="2">
        <v>8.2100000000000009</v>
      </c>
      <c r="E14" s="2">
        <f>FastenersPriceList[[#This Row],[1000 PCS/WT.]]/1000</f>
        <v>8.2100000000000003E-3</v>
      </c>
      <c r="F14" s="2" t="s">
        <v>20</v>
      </c>
      <c r="G14" s="6" t="s">
        <v>11</v>
      </c>
      <c r="H14" s="70">
        <v>50</v>
      </c>
      <c r="I14" s="72">
        <f>FastenersPriceList[[#This Row],[Quantity (kg)]]/FastenersPriceList[[#This Row],[SINGLE PC. WT.]]</f>
        <v>6090.1339829476246</v>
      </c>
      <c r="J14" s="3">
        <v>116</v>
      </c>
      <c r="K14" s="3">
        <f>FastenersPriceList[[#This Row],[1000 PCS/WT.]]*FastenersPriceList[[#This Row],[Rate / PER kg (₹)]]</f>
        <v>952.36000000000013</v>
      </c>
      <c r="L14" s="4">
        <f>FastenersPriceList[[#This Row],[Rate / PER kg (₹)]]*FastenersPriceList[[#This Row],[Quantity (kg)]]</f>
        <v>5800</v>
      </c>
      <c r="M14" s="4"/>
    </row>
    <row r="15" spans="1:13" ht="22.05" customHeight="1" x14ac:dyDescent="0.3">
      <c r="A15" s="2" t="s">
        <v>911</v>
      </c>
      <c r="B15" s="12" t="s">
        <v>8</v>
      </c>
      <c r="C15" s="12" t="s">
        <v>9</v>
      </c>
      <c r="D15" s="2">
        <v>8.83</v>
      </c>
      <c r="E15" s="2">
        <f>FastenersPriceList[[#This Row],[1000 PCS/WT.]]/1000</f>
        <v>8.8299999999999993E-3</v>
      </c>
      <c r="F15" s="2" t="s">
        <v>21</v>
      </c>
      <c r="G15" s="6" t="s">
        <v>11</v>
      </c>
      <c r="H15" s="70">
        <v>50</v>
      </c>
      <c r="I15" s="72">
        <f>FastenersPriceList[[#This Row],[Quantity (kg)]]/FastenersPriceList[[#This Row],[SINGLE PC. WT.]]</f>
        <v>5662.5141562853914</v>
      </c>
      <c r="J15" s="3">
        <v>116</v>
      </c>
      <c r="K15" s="3">
        <f>FastenersPriceList[[#This Row],[1000 PCS/WT.]]*FastenersPriceList[[#This Row],[Rate / PER kg (₹)]]</f>
        <v>1024.28</v>
      </c>
      <c r="L15" s="4">
        <f>FastenersPriceList[[#This Row],[Rate / PER kg (₹)]]*FastenersPriceList[[#This Row],[Quantity (kg)]]</f>
        <v>5800</v>
      </c>
      <c r="M15" s="4"/>
    </row>
    <row r="16" spans="1:13" ht="22.05" customHeight="1" x14ac:dyDescent="0.3">
      <c r="A16" s="2" t="s">
        <v>912</v>
      </c>
      <c r="B16" s="12" t="s">
        <v>8</v>
      </c>
      <c r="C16" s="12" t="s">
        <v>9</v>
      </c>
      <c r="D16" s="2">
        <v>9.4499999999999993</v>
      </c>
      <c r="E16" s="2">
        <f>FastenersPriceList[[#This Row],[1000 PCS/WT.]]/1000</f>
        <v>9.4500000000000001E-3</v>
      </c>
      <c r="F16" s="2" t="s">
        <v>22</v>
      </c>
      <c r="G16" s="6" t="s">
        <v>11</v>
      </c>
      <c r="H16" s="70">
        <v>50</v>
      </c>
      <c r="I16" s="72">
        <f>FastenersPriceList[[#This Row],[Quantity (kg)]]/FastenersPriceList[[#This Row],[SINGLE PC. WT.]]</f>
        <v>5291.0052910052909</v>
      </c>
      <c r="J16" s="3">
        <v>116</v>
      </c>
      <c r="K16" s="3">
        <f>FastenersPriceList[[#This Row],[1000 PCS/WT.]]*FastenersPriceList[[#This Row],[Rate / PER kg (₹)]]</f>
        <v>1096.1999999999998</v>
      </c>
      <c r="L16" s="4">
        <f>FastenersPriceList[[#This Row],[Rate / PER kg (₹)]]*FastenersPriceList[[#This Row],[Quantity (kg)]]</f>
        <v>5800</v>
      </c>
      <c r="M16" s="4"/>
    </row>
    <row r="17" spans="1:13" ht="22.05" customHeight="1" x14ac:dyDescent="0.3">
      <c r="A17" s="2" t="s">
        <v>913</v>
      </c>
      <c r="B17" s="12" t="s">
        <v>8</v>
      </c>
      <c r="C17" s="12" t="s">
        <v>9</v>
      </c>
      <c r="D17" s="2">
        <v>10.1</v>
      </c>
      <c r="E17" s="2">
        <f>FastenersPriceList[[#This Row],[1000 PCS/WT.]]/1000</f>
        <v>1.01E-2</v>
      </c>
      <c r="F17" s="2" t="s">
        <v>23</v>
      </c>
      <c r="G17" s="6" t="s">
        <v>11</v>
      </c>
      <c r="H17" s="70">
        <v>50</v>
      </c>
      <c r="I17" s="72">
        <f>FastenersPriceList[[#This Row],[Quantity (kg)]]/FastenersPriceList[[#This Row],[SINGLE PC. WT.]]</f>
        <v>4950.4950495049507</v>
      </c>
      <c r="J17" s="3">
        <v>120</v>
      </c>
      <c r="K17" s="3">
        <f>FastenersPriceList[[#This Row],[1000 PCS/WT.]]*FastenersPriceList[[#This Row],[Rate / PER kg (₹)]]</f>
        <v>1212</v>
      </c>
      <c r="L17" s="4">
        <f>FastenersPriceList[[#This Row],[Rate / PER kg (₹)]]*FastenersPriceList[[#This Row],[Quantity (kg)]]</f>
        <v>6000</v>
      </c>
      <c r="M17" s="4"/>
    </row>
    <row r="18" spans="1:13" ht="22.05" customHeight="1" x14ac:dyDescent="0.3">
      <c r="A18" s="2" t="s">
        <v>914</v>
      </c>
      <c r="B18" s="12" t="s">
        <v>8</v>
      </c>
      <c r="C18" s="12" t="s">
        <v>9</v>
      </c>
      <c r="D18" s="2">
        <v>10.7</v>
      </c>
      <c r="E18" s="2">
        <f>FastenersPriceList[[#This Row],[1000 PCS/WT.]]/1000</f>
        <v>1.0699999999999999E-2</v>
      </c>
      <c r="F18" s="2" t="s">
        <v>24</v>
      </c>
      <c r="G18" s="6" t="s">
        <v>11</v>
      </c>
      <c r="H18" s="70">
        <v>50</v>
      </c>
      <c r="I18" s="72">
        <f>FastenersPriceList[[#This Row],[Quantity (kg)]]/FastenersPriceList[[#This Row],[SINGLE PC. WT.]]</f>
        <v>4672.8971962616824</v>
      </c>
      <c r="J18" s="3">
        <v>120</v>
      </c>
      <c r="K18" s="3">
        <f>FastenersPriceList[[#This Row],[1000 PCS/WT.]]*FastenersPriceList[[#This Row],[Rate / PER kg (₹)]]</f>
        <v>1284</v>
      </c>
      <c r="L18" s="4">
        <f>FastenersPriceList[[#This Row],[Rate / PER kg (₹)]]*FastenersPriceList[[#This Row],[Quantity (kg)]]</f>
        <v>6000</v>
      </c>
      <c r="M18" s="4"/>
    </row>
    <row r="19" spans="1:13" ht="22.05" customHeight="1" x14ac:dyDescent="0.3">
      <c r="A19" s="2" t="s">
        <v>915</v>
      </c>
      <c r="B19" s="12" t="s">
        <v>8</v>
      </c>
      <c r="C19" s="12" t="s">
        <v>9</v>
      </c>
      <c r="D19" s="2">
        <v>11.3</v>
      </c>
      <c r="E19" s="2">
        <f>FastenersPriceList[[#This Row],[1000 PCS/WT.]]/1000</f>
        <v>1.1300000000000001E-2</v>
      </c>
      <c r="F19" s="2" t="s">
        <v>25</v>
      </c>
      <c r="G19" s="6" t="s">
        <v>11</v>
      </c>
      <c r="H19" s="70">
        <v>50</v>
      </c>
      <c r="I19" s="72">
        <f>FastenersPriceList[[#This Row],[Quantity (kg)]]/FastenersPriceList[[#This Row],[SINGLE PC. WT.]]</f>
        <v>4424.7787610619462</v>
      </c>
      <c r="J19" s="3">
        <v>120</v>
      </c>
      <c r="K19" s="3">
        <f>FastenersPriceList[[#This Row],[1000 PCS/WT.]]*FastenersPriceList[[#This Row],[Rate / PER kg (₹)]]</f>
        <v>1356</v>
      </c>
      <c r="L19" s="4">
        <f>FastenersPriceList[[#This Row],[Rate / PER kg (₹)]]*FastenersPriceList[[#This Row],[Quantity (kg)]]</f>
        <v>6000</v>
      </c>
      <c r="M19" s="4"/>
    </row>
    <row r="20" spans="1:13" ht="22.05" customHeight="1" x14ac:dyDescent="0.3">
      <c r="A20" s="2" t="s">
        <v>916</v>
      </c>
      <c r="B20" s="12" t="s">
        <v>8</v>
      </c>
      <c r="C20" s="12" t="s">
        <v>9</v>
      </c>
      <c r="D20" s="2">
        <v>4.08</v>
      </c>
      <c r="E20" s="6">
        <f>FastenersPriceList[[#This Row],[1000 PCS/WT.]]/1000</f>
        <v>4.0800000000000003E-3</v>
      </c>
      <c r="F20" s="6" t="s">
        <v>26</v>
      </c>
      <c r="G20" s="6" t="s">
        <v>11</v>
      </c>
      <c r="H20" s="70">
        <v>50</v>
      </c>
      <c r="I20" s="72">
        <f>FastenersPriceList[[#This Row],[Quantity (kg)]]/FastenersPriceList[[#This Row],[SINGLE PC. WT.]]</f>
        <v>12254.901960784313</v>
      </c>
      <c r="J20" s="3">
        <v>120</v>
      </c>
      <c r="K20" s="3">
        <f>FastenersPriceList[[#This Row],[1000 PCS/WT.]]*FastenersPriceList[[#This Row],[Rate / PER kg (₹)]]</f>
        <v>489.6</v>
      </c>
      <c r="L20" s="4">
        <f>FastenersPriceList[[#This Row],[Rate / PER kg (₹)]]*FastenersPriceList[[#This Row],[Quantity (kg)]]</f>
        <v>6000</v>
      </c>
      <c r="M20" s="4"/>
    </row>
    <row r="21" spans="1:13" ht="22.05" customHeight="1" x14ac:dyDescent="0.3">
      <c r="A21" s="2" t="s">
        <v>917</v>
      </c>
      <c r="B21" s="12" t="s">
        <v>8</v>
      </c>
      <c r="C21" s="12" t="s">
        <v>9</v>
      </c>
      <c r="D21" s="2">
        <v>5.1100000000000003</v>
      </c>
      <c r="E21" s="2">
        <f>FastenersPriceList[[#This Row],[1000 PCS/WT.]]/1000</f>
        <v>5.11E-3</v>
      </c>
      <c r="F21" s="2" t="s">
        <v>27</v>
      </c>
      <c r="G21" s="6" t="s">
        <v>11</v>
      </c>
      <c r="H21" s="70">
        <v>50</v>
      </c>
      <c r="I21" s="72">
        <f>FastenersPriceList[[#This Row],[Quantity (kg)]]/FastenersPriceList[[#This Row],[SINGLE PC. WT.]]</f>
        <v>9784.7358121330726</v>
      </c>
      <c r="J21" s="3">
        <v>120</v>
      </c>
      <c r="K21" s="3">
        <f>FastenersPriceList[[#This Row],[1000 PCS/WT.]]*FastenersPriceList[[#This Row],[Rate / PER kg (₹)]]</f>
        <v>613.20000000000005</v>
      </c>
      <c r="L21" s="4">
        <f>FastenersPriceList[[#This Row],[Rate / PER kg (₹)]]*FastenersPriceList[[#This Row],[Quantity (kg)]]</f>
        <v>6000</v>
      </c>
      <c r="M21" s="4"/>
    </row>
    <row r="22" spans="1:13" ht="22.05" customHeight="1" x14ac:dyDescent="0.3">
      <c r="A22" s="2" t="s">
        <v>918</v>
      </c>
      <c r="B22" s="12" t="s">
        <v>8</v>
      </c>
      <c r="C22" s="12" t="s">
        <v>9</v>
      </c>
      <c r="D22" s="2">
        <v>5.8</v>
      </c>
      <c r="E22" s="2">
        <f>FastenersPriceList[[#This Row],[1000 PCS/WT.]]/1000</f>
        <v>5.7999999999999996E-3</v>
      </c>
      <c r="F22" s="2" t="s">
        <v>28</v>
      </c>
      <c r="G22" s="6" t="s">
        <v>11</v>
      </c>
      <c r="H22" s="70">
        <v>50</v>
      </c>
      <c r="I22" s="72">
        <f>FastenersPriceList[[#This Row],[Quantity (kg)]]/FastenersPriceList[[#This Row],[SINGLE PC. WT.]]</f>
        <v>8620.6896551724149</v>
      </c>
      <c r="J22" s="3">
        <v>120</v>
      </c>
      <c r="K22" s="3">
        <f>FastenersPriceList[[#This Row],[1000 PCS/WT.]]*FastenersPriceList[[#This Row],[Rate / PER kg (₹)]]</f>
        <v>696</v>
      </c>
      <c r="L22" s="4">
        <f>FastenersPriceList[[#This Row],[Rate / PER kg (₹)]]*FastenersPriceList[[#This Row],[Quantity (kg)]]</f>
        <v>6000</v>
      </c>
      <c r="M22" s="4"/>
    </row>
    <row r="23" spans="1:13" ht="22.05" customHeight="1" x14ac:dyDescent="0.3">
      <c r="A23" s="2" t="s">
        <v>919</v>
      </c>
      <c r="B23" s="12" t="s">
        <v>8</v>
      </c>
      <c r="C23" s="12" t="s">
        <v>9</v>
      </c>
      <c r="D23" s="2">
        <v>6.65</v>
      </c>
      <c r="E23" s="2">
        <f>FastenersPriceList[[#This Row],[1000 PCS/WT.]]/1000</f>
        <v>6.6500000000000005E-3</v>
      </c>
      <c r="F23" s="2" t="s">
        <v>29</v>
      </c>
      <c r="G23" s="6" t="s">
        <v>11</v>
      </c>
      <c r="H23" s="70">
        <v>50</v>
      </c>
      <c r="I23" s="72">
        <f>FastenersPriceList[[#This Row],[Quantity (kg)]]/FastenersPriceList[[#This Row],[SINGLE PC. WT.]]</f>
        <v>7518.7969924812023</v>
      </c>
      <c r="J23" s="3">
        <v>120</v>
      </c>
      <c r="K23" s="3">
        <f>FastenersPriceList[[#This Row],[1000 PCS/WT.]]*FastenersPriceList[[#This Row],[Rate / PER kg (₹)]]</f>
        <v>798</v>
      </c>
      <c r="L23" s="4">
        <f>FastenersPriceList[[#This Row],[Rate / PER kg (₹)]]*FastenersPriceList[[#This Row],[Quantity (kg)]]</f>
        <v>6000</v>
      </c>
      <c r="M23" s="4"/>
    </row>
    <row r="24" spans="1:13" ht="22.05" customHeight="1" x14ac:dyDescent="0.3">
      <c r="A24" s="2" t="s">
        <v>920</v>
      </c>
      <c r="B24" s="12" t="s">
        <v>8</v>
      </c>
      <c r="C24" s="12" t="s">
        <v>9</v>
      </c>
      <c r="D24" s="2">
        <v>7.78</v>
      </c>
      <c r="E24" s="2">
        <f>FastenersPriceList[[#This Row],[1000 PCS/WT.]]/1000</f>
        <v>7.7800000000000005E-3</v>
      </c>
      <c r="F24" s="2" t="s">
        <v>30</v>
      </c>
      <c r="G24" s="6" t="s">
        <v>11</v>
      </c>
      <c r="H24" s="70">
        <v>50</v>
      </c>
      <c r="I24" s="72">
        <f>FastenersPriceList[[#This Row],[Quantity (kg)]]/FastenersPriceList[[#This Row],[SINGLE PC. WT.]]</f>
        <v>6426.7352185089967</v>
      </c>
      <c r="J24" s="3">
        <v>118</v>
      </c>
      <c r="K24" s="3">
        <f>FastenersPriceList[[#This Row],[1000 PCS/WT.]]*FastenersPriceList[[#This Row],[Rate / PER kg (₹)]]</f>
        <v>918.04000000000008</v>
      </c>
      <c r="L24" s="4">
        <f>FastenersPriceList[[#This Row],[Rate / PER kg (₹)]]*FastenersPriceList[[#This Row],[Quantity (kg)]]</f>
        <v>5900</v>
      </c>
      <c r="M24" s="4"/>
    </row>
    <row r="25" spans="1:13" ht="22.05" customHeight="1" x14ac:dyDescent="0.3">
      <c r="A25" s="2" t="s">
        <v>921</v>
      </c>
      <c r="B25" s="12" t="s">
        <v>8</v>
      </c>
      <c r="C25" s="12" t="s">
        <v>9</v>
      </c>
      <c r="D25" s="2">
        <v>8.91</v>
      </c>
      <c r="E25" s="2">
        <f>FastenersPriceList[[#This Row],[1000 PCS/WT.]]/1000</f>
        <v>8.9099999999999995E-3</v>
      </c>
      <c r="F25" s="2" t="s">
        <v>31</v>
      </c>
      <c r="G25" s="6" t="s">
        <v>11</v>
      </c>
      <c r="H25" s="70">
        <v>50</v>
      </c>
      <c r="I25" s="72">
        <f>FastenersPriceList[[#This Row],[Quantity (kg)]]/FastenersPriceList[[#This Row],[SINGLE PC. WT.]]</f>
        <v>5611.672278338945</v>
      </c>
      <c r="J25" s="3">
        <v>118</v>
      </c>
      <c r="K25" s="3">
        <f>FastenersPriceList[[#This Row],[1000 PCS/WT.]]*FastenersPriceList[[#This Row],[Rate / PER kg (₹)]]</f>
        <v>1051.3800000000001</v>
      </c>
      <c r="L25" s="4">
        <f>FastenersPriceList[[#This Row],[Rate / PER kg (₹)]]*FastenersPriceList[[#This Row],[Quantity (kg)]]</f>
        <v>5900</v>
      </c>
      <c r="M25" s="4"/>
    </row>
    <row r="26" spans="1:13" ht="22.05" customHeight="1" x14ac:dyDescent="0.3">
      <c r="A26" s="2" t="s">
        <v>922</v>
      </c>
      <c r="B26" s="12" t="s">
        <v>8</v>
      </c>
      <c r="C26" s="12" t="s">
        <v>9</v>
      </c>
      <c r="D26" s="2">
        <v>9.0399999999999991</v>
      </c>
      <c r="E26" s="2">
        <f>FastenersPriceList[[#This Row],[1000 PCS/WT.]]/1000</f>
        <v>9.0399999999999994E-3</v>
      </c>
      <c r="F26" s="2" t="s">
        <v>32</v>
      </c>
      <c r="G26" s="6" t="s">
        <v>11</v>
      </c>
      <c r="H26" s="70">
        <v>50</v>
      </c>
      <c r="I26" s="72">
        <f>FastenersPriceList[[#This Row],[Quantity (kg)]]/FastenersPriceList[[#This Row],[SINGLE PC. WT.]]</f>
        <v>5530.9734513274343</v>
      </c>
      <c r="J26" s="3">
        <v>118</v>
      </c>
      <c r="K26" s="3">
        <f>FastenersPriceList[[#This Row],[1000 PCS/WT.]]*FastenersPriceList[[#This Row],[Rate / PER kg (₹)]]</f>
        <v>1066.7199999999998</v>
      </c>
      <c r="L26" s="4">
        <f>FastenersPriceList[[#This Row],[Rate / PER kg (₹)]]*FastenersPriceList[[#This Row],[Quantity (kg)]]</f>
        <v>5900</v>
      </c>
      <c r="M26" s="4"/>
    </row>
    <row r="27" spans="1:13" ht="22.05" customHeight="1" x14ac:dyDescent="0.3">
      <c r="A27" s="2" t="s">
        <v>923</v>
      </c>
      <c r="B27" s="12" t="s">
        <v>8</v>
      </c>
      <c r="C27" s="12" t="s">
        <v>9</v>
      </c>
      <c r="D27" s="2">
        <v>10.17</v>
      </c>
      <c r="E27" s="2">
        <f>FastenersPriceList[[#This Row],[1000 PCS/WT.]]/1000</f>
        <v>1.017E-2</v>
      </c>
      <c r="F27" s="2" t="s">
        <v>33</v>
      </c>
      <c r="G27" s="6" t="s">
        <v>11</v>
      </c>
      <c r="H27" s="70">
        <v>50</v>
      </c>
      <c r="I27" s="72">
        <f>FastenersPriceList[[#This Row],[Quantity (kg)]]/FastenersPriceList[[#This Row],[SINGLE PC. WT.]]</f>
        <v>4916.420845624385</v>
      </c>
      <c r="J27" s="3">
        <v>118</v>
      </c>
      <c r="K27" s="3">
        <f>FastenersPriceList[[#This Row],[1000 PCS/WT.]]*FastenersPriceList[[#This Row],[Rate / PER kg (₹)]]</f>
        <v>1200.06</v>
      </c>
      <c r="L27" s="4">
        <f>FastenersPriceList[[#This Row],[Rate / PER kg (₹)]]*FastenersPriceList[[#This Row],[Quantity (kg)]]</f>
        <v>5900</v>
      </c>
      <c r="M27" s="4"/>
    </row>
    <row r="28" spans="1:13" ht="22.05" customHeight="1" x14ac:dyDescent="0.3">
      <c r="A28" s="2" t="s">
        <v>924</v>
      </c>
      <c r="B28" s="12" t="s">
        <v>8</v>
      </c>
      <c r="C28" s="12" t="s">
        <v>9</v>
      </c>
      <c r="D28" s="2">
        <v>11.3</v>
      </c>
      <c r="E28" s="2">
        <f>FastenersPriceList[[#This Row],[1000 PCS/WT.]]/1000</f>
        <v>1.1300000000000001E-2</v>
      </c>
      <c r="F28" s="2" t="s">
        <v>34</v>
      </c>
      <c r="G28" s="6" t="s">
        <v>11</v>
      </c>
      <c r="H28" s="70">
        <v>50</v>
      </c>
      <c r="I28" s="72">
        <f>FastenersPriceList[[#This Row],[Quantity (kg)]]/FastenersPriceList[[#This Row],[SINGLE PC. WT.]]</f>
        <v>4424.7787610619462</v>
      </c>
      <c r="J28" s="3">
        <v>118</v>
      </c>
      <c r="K28" s="3">
        <f>FastenersPriceList[[#This Row],[1000 PCS/WT.]]*FastenersPriceList[[#This Row],[Rate / PER kg (₹)]]</f>
        <v>1333.4</v>
      </c>
      <c r="L28" s="4">
        <f>FastenersPriceList[[#This Row],[Rate / PER kg (₹)]]*FastenersPriceList[[#This Row],[Quantity (kg)]]</f>
        <v>5900</v>
      </c>
      <c r="M28" s="4"/>
    </row>
    <row r="29" spans="1:13" ht="22.05" customHeight="1" x14ac:dyDescent="0.3">
      <c r="A29" s="2" t="s">
        <v>925</v>
      </c>
      <c r="B29" s="12" t="s">
        <v>8</v>
      </c>
      <c r="C29" s="12" t="s">
        <v>9</v>
      </c>
      <c r="D29" s="2">
        <v>12.4</v>
      </c>
      <c r="E29" s="2">
        <f>FastenersPriceList[[#This Row],[1000 PCS/WT.]]/1000</f>
        <v>1.24E-2</v>
      </c>
      <c r="F29" s="2" t="s">
        <v>35</v>
      </c>
      <c r="G29" s="6" t="s">
        <v>11</v>
      </c>
      <c r="H29" s="70">
        <v>50</v>
      </c>
      <c r="I29" s="72">
        <f>FastenersPriceList[[#This Row],[Quantity (kg)]]/FastenersPriceList[[#This Row],[SINGLE PC. WT.]]</f>
        <v>4032.2580645161293</v>
      </c>
      <c r="J29" s="3">
        <v>116</v>
      </c>
      <c r="K29" s="3">
        <f>FastenersPriceList[[#This Row],[1000 PCS/WT.]]*FastenersPriceList[[#This Row],[Rate / PER kg (₹)]]</f>
        <v>1438.4</v>
      </c>
      <c r="L29" s="4">
        <f>FastenersPriceList[[#This Row],[Rate / PER kg (₹)]]*FastenersPriceList[[#This Row],[Quantity (kg)]]</f>
        <v>5800</v>
      </c>
      <c r="M29" s="4"/>
    </row>
    <row r="30" spans="1:13" ht="22.05" customHeight="1" x14ac:dyDescent="0.3">
      <c r="A30" s="2" t="s">
        <v>926</v>
      </c>
      <c r="B30" s="12" t="s">
        <v>8</v>
      </c>
      <c r="C30" s="12" t="s">
        <v>9</v>
      </c>
      <c r="D30" s="2">
        <v>13.5</v>
      </c>
      <c r="E30" s="2">
        <f>FastenersPriceList[[#This Row],[1000 PCS/WT.]]/1000</f>
        <v>1.35E-2</v>
      </c>
      <c r="F30" s="2" t="s">
        <v>36</v>
      </c>
      <c r="G30" s="6" t="s">
        <v>11</v>
      </c>
      <c r="H30" s="70">
        <v>50</v>
      </c>
      <c r="I30" s="72">
        <f>FastenersPriceList[[#This Row],[Quantity (kg)]]/FastenersPriceList[[#This Row],[SINGLE PC. WT.]]</f>
        <v>3703.7037037037039</v>
      </c>
      <c r="J30" s="3">
        <v>116</v>
      </c>
      <c r="K30" s="3">
        <f>FastenersPriceList[[#This Row],[1000 PCS/WT.]]*FastenersPriceList[[#This Row],[Rate / PER kg (₹)]]</f>
        <v>1566</v>
      </c>
      <c r="L30" s="4">
        <f>FastenersPriceList[[#This Row],[Rate / PER kg (₹)]]*FastenersPriceList[[#This Row],[Quantity (kg)]]</f>
        <v>5800</v>
      </c>
      <c r="M30" s="4"/>
    </row>
    <row r="31" spans="1:13" ht="22.05" customHeight="1" x14ac:dyDescent="0.3">
      <c r="A31" s="2" t="s">
        <v>927</v>
      </c>
      <c r="B31" s="12" t="s">
        <v>8</v>
      </c>
      <c r="C31" s="12" t="s">
        <v>9</v>
      </c>
      <c r="D31" s="2">
        <v>14.6</v>
      </c>
      <c r="E31" s="2">
        <f>FastenersPriceList[[#This Row],[1000 PCS/WT.]]/1000</f>
        <v>1.46E-2</v>
      </c>
      <c r="F31" s="2" t="s">
        <v>37</v>
      </c>
      <c r="G31" s="6" t="s">
        <v>11</v>
      </c>
      <c r="H31" s="70">
        <v>50</v>
      </c>
      <c r="I31" s="72">
        <f>FastenersPriceList[[#This Row],[Quantity (kg)]]/FastenersPriceList[[#This Row],[SINGLE PC. WT.]]</f>
        <v>3424.6575342465753</v>
      </c>
      <c r="J31" s="3">
        <v>116</v>
      </c>
      <c r="K31" s="3">
        <f>FastenersPriceList[[#This Row],[1000 PCS/WT.]]*FastenersPriceList[[#This Row],[Rate / PER kg (₹)]]</f>
        <v>1693.6</v>
      </c>
      <c r="L31" s="4">
        <f>FastenersPriceList[[#This Row],[Rate / PER kg (₹)]]*FastenersPriceList[[#This Row],[Quantity (kg)]]</f>
        <v>5800</v>
      </c>
      <c r="M31" s="4"/>
    </row>
    <row r="32" spans="1:13" ht="22.05" customHeight="1" x14ac:dyDescent="0.3">
      <c r="A32" s="2" t="s">
        <v>928</v>
      </c>
      <c r="B32" s="12" t="s">
        <v>8</v>
      </c>
      <c r="C32" s="12" t="s">
        <v>9</v>
      </c>
      <c r="D32" s="2">
        <v>15.7</v>
      </c>
      <c r="E32" s="2">
        <f>FastenersPriceList[[#This Row],[1000 PCS/WT.]]/1000</f>
        <v>1.5699999999999999E-2</v>
      </c>
      <c r="F32" s="2" t="s">
        <v>38</v>
      </c>
      <c r="G32" s="6" t="s">
        <v>11</v>
      </c>
      <c r="H32" s="70">
        <v>50</v>
      </c>
      <c r="I32" s="72">
        <f>FastenersPriceList[[#This Row],[Quantity (kg)]]/FastenersPriceList[[#This Row],[SINGLE PC. WT.]]</f>
        <v>3184.7133757961788</v>
      </c>
      <c r="J32" s="3">
        <v>120</v>
      </c>
      <c r="K32" s="3">
        <f>FastenersPriceList[[#This Row],[1000 PCS/WT.]]*FastenersPriceList[[#This Row],[Rate / PER kg (₹)]]</f>
        <v>1884</v>
      </c>
      <c r="L32" s="4">
        <f>FastenersPriceList[[#This Row],[Rate / PER kg (₹)]]*FastenersPriceList[[#This Row],[Quantity (kg)]]</f>
        <v>6000</v>
      </c>
      <c r="M32" s="4"/>
    </row>
    <row r="33" spans="1:13" ht="22.05" customHeight="1" x14ac:dyDescent="0.3">
      <c r="A33" s="2" t="s">
        <v>929</v>
      </c>
      <c r="B33" s="12" t="s">
        <v>8</v>
      </c>
      <c r="C33" s="12" t="s">
        <v>9</v>
      </c>
      <c r="D33" s="2">
        <v>16.8</v>
      </c>
      <c r="E33" s="2">
        <f>FastenersPriceList[[#This Row],[1000 PCS/WT.]]/1000</f>
        <v>1.6800000000000002E-2</v>
      </c>
      <c r="F33" s="2" t="s">
        <v>39</v>
      </c>
      <c r="G33" s="6" t="s">
        <v>11</v>
      </c>
      <c r="H33" s="70">
        <v>50</v>
      </c>
      <c r="I33" s="72">
        <f>FastenersPriceList[[#This Row],[Quantity (kg)]]/FastenersPriceList[[#This Row],[SINGLE PC. WT.]]</f>
        <v>2976.1904761904757</v>
      </c>
      <c r="J33" s="3">
        <v>120</v>
      </c>
      <c r="K33" s="3">
        <f>FastenersPriceList[[#This Row],[1000 PCS/WT.]]*FastenersPriceList[[#This Row],[Rate / PER kg (₹)]]</f>
        <v>2016</v>
      </c>
      <c r="L33" s="4">
        <f>FastenersPriceList[[#This Row],[Rate / PER kg (₹)]]*FastenersPriceList[[#This Row],[Quantity (kg)]]</f>
        <v>6000</v>
      </c>
      <c r="M33" s="4"/>
    </row>
    <row r="34" spans="1:13" ht="22.05" customHeight="1" x14ac:dyDescent="0.3">
      <c r="A34" s="2" t="s">
        <v>930</v>
      </c>
      <c r="B34" s="12" t="s">
        <v>8</v>
      </c>
      <c r="C34" s="12" t="s">
        <v>9</v>
      </c>
      <c r="D34" s="2">
        <v>18</v>
      </c>
      <c r="E34" s="2">
        <f>FastenersPriceList[[#This Row],[1000 PCS/WT.]]/1000</f>
        <v>1.7999999999999999E-2</v>
      </c>
      <c r="F34" s="2" t="s">
        <v>40</v>
      </c>
      <c r="G34" s="6" t="s">
        <v>11</v>
      </c>
      <c r="H34" s="70">
        <v>50</v>
      </c>
      <c r="I34" s="72">
        <f>FastenersPriceList[[#This Row],[Quantity (kg)]]/FastenersPriceList[[#This Row],[SINGLE PC. WT.]]</f>
        <v>2777.7777777777778</v>
      </c>
      <c r="J34" s="3">
        <v>120</v>
      </c>
      <c r="K34" s="3">
        <f>FastenersPriceList[[#This Row],[1000 PCS/WT.]]*FastenersPriceList[[#This Row],[Rate / PER kg (₹)]]</f>
        <v>2160</v>
      </c>
      <c r="L34" s="4">
        <f>FastenersPriceList[[#This Row],[Rate / PER kg (₹)]]*FastenersPriceList[[#This Row],[Quantity (kg)]]</f>
        <v>6000</v>
      </c>
      <c r="M34" s="4"/>
    </row>
    <row r="35" spans="1:13" ht="22.05" customHeight="1" x14ac:dyDescent="0.3">
      <c r="A35" s="2" t="s">
        <v>931</v>
      </c>
      <c r="B35" s="12" t="s">
        <v>8</v>
      </c>
      <c r="C35" s="12" t="s">
        <v>9</v>
      </c>
      <c r="D35" s="2">
        <v>11.1</v>
      </c>
      <c r="E35" s="2">
        <f>FastenersPriceList[[#This Row],[1000 PCS/WT.]]/1000</f>
        <v>1.11E-2</v>
      </c>
      <c r="F35" s="2" t="s">
        <v>41</v>
      </c>
      <c r="G35" s="6" t="s">
        <v>11</v>
      </c>
      <c r="H35" s="70">
        <v>50</v>
      </c>
      <c r="I35" s="72">
        <f>FastenersPriceList[[#This Row],[Quantity (kg)]]/FastenersPriceList[[#This Row],[SINGLE PC. WT.]]</f>
        <v>4504.5045045045044</v>
      </c>
      <c r="J35" s="3">
        <v>110</v>
      </c>
      <c r="K35" s="3">
        <f>FastenersPriceList[[#This Row],[1000 PCS/WT.]]*FastenersPriceList[[#This Row],[Rate / PER kg (₹)]]</f>
        <v>1221</v>
      </c>
      <c r="L35" s="4">
        <f>FastenersPriceList[[#This Row],[Rate / PER kg (₹)]]*FastenersPriceList[[#This Row],[Quantity (kg)]]</f>
        <v>5500</v>
      </c>
      <c r="M35" s="4"/>
    </row>
    <row r="36" spans="1:13" ht="22.05" customHeight="1" x14ac:dyDescent="0.3">
      <c r="A36" s="2" t="s">
        <v>932</v>
      </c>
      <c r="B36" s="12" t="s">
        <v>8</v>
      </c>
      <c r="C36" s="12" t="s">
        <v>9</v>
      </c>
      <c r="D36" s="2">
        <v>12.4</v>
      </c>
      <c r="E36" s="2">
        <f>FastenersPriceList[[#This Row],[1000 PCS/WT.]]/1000</f>
        <v>1.24E-2</v>
      </c>
      <c r="F36" s="2" t="s">
        <v>42</v>
      </c>
      <c r="G36" s="6" t="s">
        <v>11</v>
      </c>
      <c r="H36" s="70">
        <v>50</v>
      </c>
      <c r="I36" s="72">
        <f>FastenersPriceList[[#This Row],[Quantity (kg)]]/FastenersPriceList[[#This Row],[SINGLE PC. WT.]]</f>
        <v>4032.2580645161293</v>
      </c>
      <c r="J36" s="3">
        <v>110</v>
      </c>
      <c r="K36" s="3">
        <f>FastenersPriceList[[#This Row],[1000 PCS/WT.]]*FastenersPriceList[[#This Row],[Rate / PER kg (₹)]]</f>
        <v>1364</v>
      </c>
      <c r="L36" s="4">
        <f>FastenersPriceList[[#This Row],[Rate / PER kg (₹)]]*FastenersPriceList[[#This Row],[Quantity (kg)]]</f>
        <v>5500</v>
      </c>
      <c r="M36" s="4"/>
    </row>
    <row r="37" spans="1:13" ht="22.05" customHeight="1" x14ac:dyDescent="0.3">
      <c r="A37" s="2" t="s">
        <v>933</v>
      </c>
      <c r="B37" s="12" t="s">
        <v>8</v>
      </c>
      <c r="C37" s="12" t="s">
        <v>9</v>
      </c>
      <c r="D37" s="2">
        <v>14.1</v>
      </c>
      <c r="E37" s="2">
        <f>FastenersPriceList[[#This Row],[1000 PCS/WT.]]/1000</f>
        <v>1.41E-2</v>
      </c>
      <c r="F37" s="2" t="s">
        <v>43</v>
      </c>
      <c r="G37" s="6" t="s">
        <v>11</v>
      </c>
      <c r="H37" s="70">
        <v>50</v>
      </c>
      <c r="I37" s="72">
        <f>FastenersPriceList[[#This Row],[Quantity (kg)]]/FastenersPriceList[[#This Row],[SINGLE PC. WT.]]</f>
        <v>3546.0992907801419</v>
      </c>
      <c r="J37" s="3">
        <v>110</v>
      </c>
      <c r="K37" s="3">
        <f>FastenersPriceList[[#This Row],[1000 PCS/WT.]]*FastenersPriceList[[#This Row],[Rate / PER kg (₹)]]</f>
        <v>1551</v>
      </c>
      <c r="L37" s="4">
        <f>FastenersPriceList[[#This Row],[Rate / PER kg (₹)]]*FastenersPriceList[[#This Row],[Quantity (kg)]]</f>
        <v>5500</v>
      </c>
      <c r="M37" s="4"/>
    </row>
    <row r="38" spans="1:13" ht="22.05" customHeight="1" x14ac:dyDescent="0.3">
      <c r="A38" s="2" t="s">
        <v>934</v>
      </c>
      <c r="B38" s="12" t="s">
        <v>8</v>
      </c>
      <c r="C38" s="12" t="s">
        <v>9</v>
      </c>
      <c r="D38" s="2">
        <v>15.7</v>
      </c>
      <c r="E38" s="2">
        <f>FastenersPriceList[[#This Row],[1000 PCS/WT.]]/1000</f>
        <v>1.5699999999999999E-2</v>
      </c>
      <c r="F38" s="2" t="s">
        <v>44</v>
      </c>
      <c r="G38" s="6" t="s">
        <v>11</v>
      </c>
      <c r="H38" s="70">
        <v>50</v>
      </c>
      <c r="I38" s="72">
        <f>FastenersPriceList[[#This Row],[Quantity (kg)]]/FastenersPriceList[[#This Row],[SINGLE PC. WT.]]</f>
        <v>3184.7133757961788</v>
      </c>
      <c r="J38" s="3">
        <v>110</v>
      </c>
      <c r="K38" s="3">
        <f>FastenersPriceList[[#This Row],[1000 PCS/WT.]]*FastenersPriceList[[#This Row],[Rate / PER kg (₹)]]</f>
        <v>1727</v>
      </c>
      <c r="L38" s="4">
        <f>FastenersPriceList[[#This Row],[Rate / PER kg (₹)]]*FastenersPriceList[[#This Row],[Quantity (kg)]]</f>
        <v>5500</v>
      </c>
      <c r="M38" s="4"/>
    </row>
    <row r="39" spans="1:13" ht="22.05" customHeight="1" x14ac:dyDescent="0.3">
      <c r="A39" s="2" t="s">
        <v>935</v>
      </c>
      <c r="B39" s="12" t="s">
        <v>8</v>
      </c>
      <c r="C39" s="12" t="s">
        <v>9</v>
      </c>
      <c r="D39" s="2">
        <v>17.7</v>
      </c>
      <c r="E39" s="2">
        <f>FastenersPriceList[[#This Row],[1000 PCS/WT.]]/1000</f>
        <v>1.77E-2</v>
      </c>
      <c r="F39" s="2" t="s">
        <v>45</v>
      </c>
      <c r="G39" s="6" t="s">
        <v>11</v>
      </c>
      <c r="H39" s="70">
        <v>50</v>
      </c>
      <c r="I39" s="72">
        <f>FastenersPriceList[[#This Row],[Quantity (kg)]]/FastenersPriceList[[#This Row],[SINGLE PC. WT.]]</f>
        <v>2824.8587570621467</v>
      </c>
      <c r="J39" s="3">
        <v>110</v>
      </c>
      <c r="K39" s="3">
        <f>FastenersPriceList[[#This Row],[1000 PCS/WT.]]*FastenersPriceList[[#This Row],[Rate / PER kg (₹)]]</f>
        <v>1947</v>
      </c>
      <c r="L39" s="4">
        <f>FastenersPriceList[[#This Row],[Rate / PER kg (₹)]]*FastenersPriceList[[#This Row],[Quantity (kg)]]</f>
        <v>5500</v>
      </c>
      <c r="M39" s="4"/>
    </row>
    <row r="40" spans="1:13" ht="22.05" customHeight="1" x14ac:dyDescent="0.3">
      <c r="A40" s="2" t="s">
        <v>936</v>
      </c>
      <c r="B40" s="12" t="s">
        <v>8</v>
      </c>
      <c r="C40" s="12" t="s">
        <v>9</v>
      </c>
      <c r="D40" s="2">
        <v>19.7</v>
      </c>
      <c r="E40" s="2">
        <f>FastenersPriceList[[#This Row],[1000 PCS/WT.]]/1000</f>
        <v>1.9699999999999999E-2</v>
      </c>
      <c r="F40" s="2" t="s">
        <v>46</v>
      </c>
      <c r="G40" s="6" t="s">
        <v>11</v>
      </c>
      <c r="H40" s="70">
        <v>50</v>
      </c>
      <c r="I40" s="72">
        <f>FastenersPriceList[[#This Row],[Quantity (kg)]]/FastenersPriceList[[#This Row],[SINGLE PC. WT.]]</f>
        <v>2538.0710659898477</v>
      </c>
      <c r="J40" s="3">
        <v>110</v>
      </c>
      <c r="K40" s="3">
        <f>FastenersPriceList[[#This Row],[1000 PCS/WT.]]*FastenersPriceList[[#This Row],[Rate / PER kg (₹)]]</f>
        <v>2167</v>
      </c>
      <c r="L40" s="4">
        <f>FastenersPriceList[[#This Row],[Rate / PER kg (₹)]]*FastenersPriceList[[#This Row],[Quantity (kg)]]</f>
        <v>5500</v>
      </c>
      <c r="M40" s="4"/>
    </row>
    <row r="41" spans="1:13" ht="22.05" customHeight="1" x14ac:dyDescent="0.3">
      <c r="A41" s="2" t="s">
        <v>937</v>
      </c>
      <c r="B41" s="12" t="s">
        <v>8</v>
      </c>
      <c r="C41" s="12" t="s">
        <v>9</v>
      </c>
      <c r="D41" s="2">
        <v>21.7</v>
      </c>
      <c r="E41" s="2">
        <f>FastenersPriceList[[#This Row],[1000 PCS/WT.]]/1000</f>
        <v>2.1700000000000001E-2</v>
      </c>
      <c r="F41" s="2" t="s">
        <v>47</v>
      </c>
      <c r="G41" s="6" t="s">
        <v>11</v>
      </c>
      <c r="H41" s="70">
        <v>50</v>
      </c>
      <c r="I41" s="72">
        <f>FastenersPriceList[[#This Row],[Quantity (kg)]]/FastenersPriceList[[#This Row],[SINGLE PC. WT.]]</f>
        <v>2304.147465437788</v>
      </c>
      <c r="J41" s="3">
        <v>110</v>
      </c>
      <c r="K41" s="3">
        <f>FastenersPriceList[[#This Row],[1000 PCS/WT.]]*FastenersPriceList[[#This Row],[Rate / PER kg (₹)]]</f>
        <v>2387</v>
      </c>
      <c r="L41" s="4">
        <f>FastenersPriceList[[#This Row],[Rate / PER kg (₹)]]*FastenersPriceList[[#This Row],[Quantity (kg)]]</f>
        <v>5500</v>
      </c>
      <c r="M41" s="4"/>
    </row>
    <row r="42" spans="1:13" ht="22.05" customHeight="1" x14ac:dyDescent="0.3">
      <c r="A42" s="2" t="s">
        <v>938</v>
      </c>
      <c r="B42" s="12" t="s">
        <v>8</v>
      </c>
      <c r="C42" s="12" t="s">
        <v>9</v>
      </c>
      <c r="D42" s="2">
        <v>23.7</v>
      </c>
      <c r="E42" s="2">
        <f>FastenersPriceList[[#This Row],[1000 PCS/WT.]]/1000</f>
        <v>2.3699999999999999E-2</v>
      </c>
      <c r="F42" s="2" t="s">
        <v>48</v>
      </c>
      <c r="G42" s="6" t="s">
        <v>11</v>
      </c>
      <c r="H42" s="70">
        <v>50</v>
      </c>
      <c r="I42" s="72">
        <f>FastenersPriceList[[#This Row],[Quantity (kg)]]/FastenersPriceList[[#This Row],[SINGLE PC. WT.]]</f>
        <v>2109.7046413502112</v>
      </c>
      <c r="J42" s="3">
        <v>110</v>
      </c>
      <c r="K42" s="3">
        <f>FastenersPriceList[[#This Row],[1000 PCS/WT.]]*FastenersPriceList[[#This Row],[Rate / PER kg (₹)]]</f>
        <v>2607</v>
      </c>
      <c r="L42" s="4">
        <f>FastenersPriceList[[#This Row],[Rate / PER kg (₹)]]*FastenersPriceList[[#This Row],[Quantity (kg)]]</f>
        <v>5500</v>
      </c>
      <c r="M42" s="4"/>
    </row>
    <row r="43" spans="1:13" ht="22.05" customHeight="1" x14ac:dyDescent="0.3">
      <c r="A43" s="2" t="s">
        <v>939</v>
      </c>
      <c r="B43" s="12" t="s">
        <v>8</v>
      </c>
      <c r="C43" s="12" t="s">
        <v>9</v>
      </c>
      <c r="D43" s="2">
        <v>25.7</v>
      </c>
      <c r="E43" s="2">
        <f>FastenersPriceList[[#This Row],[1000 PCS/WT.]]/1000</f>
        <v>2.5700000000000001E-2</v>
      </c>
      <c r="F43" s="2" t="s">
        <v>49</v>
      </c>
      <c r="G43" s="6" t="s">
        <v>11</v>
      </c>
      <c r="H43" s="70">
        <v>50</v>
      </c>
      <c r="I43" s="72">
        <f>FastenersPriceList[[#This Row],[Quantity (kg)]]/FastenersPriceList[[#This Row],[SINGLE PC. WT.]]</f>
        <v>1945.5252918287938</v>
      </c>
      <c r="J43" s="3">
        <v>108</v>
      </c>
      <c r="K43" s="3">
        <f>FastenersPriceList[[#This Row],[1000 PCS/WT.]]*FastenersPriceList[[#This Row],[Rate / PER kg (₹)]]</f>
        <v>2775.6</v>
      </c>
      <c r="L43" s="4">
        <f>FastenersPriceList[[#This Row],[Rate / PER kg (₹)]]*FastenersPriceList[[#This Row],[Quantity (kg)]]</f>
        <v>5400</v>
      </c>
      <c r="M43" s="4"/>
    </row>
    <row r="44" spans="1:13" ht="22.05" customHeight="1" x14ac:dyDescent="0.3">
      <c r="A44" s="2" t="s">
        <v>940</v>
      </c>
      <c r="B44" s="12" t="s">
        <v>8</v>
      </c>
      <c r="C44" s="12" t="s">
        <v>9</v>
      </c>
      <c r="D44" s="2">
        <v>27.7</v>
      </c>
      <c r="E44" s="2">
        <f>FastenersPriceList[[#This Row],[1000 PCS/WT.]]/1000</f>
        <v>2.7699999999999999E-2</v>
      </c>
      <c r="F44" s="2" t="s">
        <v>50</v>
      </c>
      <c r="G44" s="6" t="s">
        <v>11</v>
      </c>
      <c r="H44" s="70">
        <v>50</v>
      </c>
      <c r="I44" s="72">
        <f>FastenersPriceList[[#This Row],[Quantity (kg)]]/FastenersPriceList[[#This Row],[SINGLE PC. WT.]]</f>
        <v>1805.0541516245487</v>
      </c>
      <c r="J44" s="3">
        <v>108</v>
      </c>
      <c r="K44" s="3">
        <f>FastenersPriceList[[#This Row],[1000 PCS/WT.]]*FastenersPriceList[[#This Row],[Rate / PER kg (₹)]]</f>
        <v>2991.6</v>
      </c>
      <c r="L44" s="4">
        <f>FastenersPriceList[[#This Row],[Rate / PER kg (₹)]]*FastenersPriceList[[#This Row],[Quantity (kg)]]</f>
        <v>5400</v>
      </c>
      <c r="M44" s="4"/>
    </row>
    <row r="45" spans="1:13" ht="22.05" customHeight="1" x14ac:dyDescent="0.3">
      <c r="A45" s="2" t="s">
        <v>941</v>
      </c>
      <c r="B45" s="12" t="s">
        <v>8</v>
      </c>
      <c r="C45" s="12" t="s">
        <v>9</v>
      </c>
      <c r="D45" s="2">
        <v>29.7</v>
      </c>
      <c r="E45" s="2">
        <f>FastenersPriceList[[#This Row],[1000 PCS/WT.]]/1000</f>
        <v>2.9700000000000001E-2</v>
      </c>
      <c r="F45" s="2" t="s">
        <v>51</v>
      </c>
      <c r="G45" s="6" t="s">
        <v>11</v>
      </c>
      <c r="H45" s="70">
        <v>50</v>
      </c>
      <c r="I45" s="72">
        <f>FastenersPriceList[[#This Row],[Quantity (kg)]]/FastenersPriceList[[#This Row],[SINGLE PC. WT.]]</f>
        <v>1683.5016835016834</v>
      </c>
      <c r="J45" s="3">
        <v>108</v>
      </c>
      <c r="K45" s="3">
        <f>FastenersPriceList[[#This Row],[1000 PCS/WT.]]*FastenersPriceList[[#This Row],[Rate / PER kg (₹)]]</f>
        <v>3207.6</v>
      </c>
      <c r="L45" s="4">
        <f>FastenersPriceList[[#This Row],[Rate / PER kg (₹)]]*FastenersPriceList[[#This Row],[Quantity (kg)]]</f>
        <v>5400</v>
      </c>
      <c r="M45" s="4"/>
    </row>
    <row r="46" spans="1:13" ht="22.05" customHeight="1" x14ac:dyDescent="0.3">
      <c r="A46" s="2" t="s">
        <v>942</v>
      </c>
      <c r="B46" s="12" t="s">
        <v>8</v>
      </c>
      <c r="C46" s="12" t="s">
        <v>9</v>
      </c>
      <c r="D46" s="2">
        <v>31.7</v>
      </c>
      <c r="E46" s="2">
        <f>FastenersPriceList[[#This Row],[1000 PCS/WT.]]/1000</f>
        <v>3.1699999999999999E-2</v>
      </c>
      <c r="F46" s="2" t="s">
        <v>52</v>
      </c>
      <c r="G46" s="6" t="s">
        <v>11</v>
      </c>
      <c r="H46" s="70">
        <v>50</v>
      </c>
      <c r="I46" s="72">
        <f>FastenersPriceList[[#This Row],[Quantity (kg)]]/FastenersPriceList[[#This Row],[SINGLE PC. WT.]]</f>
        <v>1577.2870662460568</v>
      </c>
      <c r="J46" s="3">
        <v>108</v>
      </c>
      <c r="K46" s="3">
        <f>FastenersPriceList[[#This Row],[1000 PCS/WT.]]*FastenersPriceList[[#This Row],[Rate / PER kg (₹)]]</f>
        <v>3423.6</v>
      </c>
      <c r="L46" s="4">
        <f>FastenersPriceList[[#This Row],[Rate / PER kg (₹)]]*FastenersPriceList[[#This Row],[Quantity (kg)]]</f>
        <v>5400</v>
      </c>
      <c r="M46" s="4"/>
    </row>
    <row r="47" spans="1:13" ht="22.05" customHeight="1" x14ac:dyDescent="0.3">
      <c r="A47" s="2" t="s">
        <v>943</v>
      </c>
      <c r="B47" s="12" t="s">
        <v>8</v>
      </c>
      <c r="C47" s="12" t="s">
        <v>9</v>
      </c>
      <c r="D47" s="2">
        <v>33.700000000000003</v>
      </c>
      <c r="E47" s="2">
        <f>FastenersPriceList[[#This Row],[1000 PCS/WT.]]/1000</f>
        <v>3.3700000000000001E-2</v>
      </c>
      <c r="F47" s="2" t="s">
        <v>53</v>
      </c>
      <c r="G47" s="6" t="s">
        <v>11</v>
      </c>
      <c r="H47" s="70">
        <v>50</v>
      </c>
      <c r="I47" s="72">
        <f>FastenersPriceList[[#This Row],[Quantity (kg)]]/FastenersPriceList[[#This Row],[SINGLE PC. WT.]]</f>
        <v>1483.679525222552</v>
      </c>
      <c r="J47" s="3">
        <v>108</v>
      </c>
      <c r="K47" s="3">
        <f>FastenersPriceList[[#This Row],[1000 PCS/WT.]]*FastenersPriceList[[#This Row],[Rate / PER kg (₹)]]</f>
        <v>3639.6000000000004</v>
      </c>
      <c r="L47" s="4">
        <f>FastenersPriceList[[#This Row],[Rate / PER kg (₹)]]*FastenersPriceList[[#This Row],[Quantity (kg)]]</f>
        <v>5400</v>
      </c>
      <c r="M47" s="4"/>
    </row>
    <row r="48" spans="1:13" ht="22.05" customHeight="1" x14ac:dyDescent="0.3">
      <c r="A48" s="2" t="s">
        <v>944</v>
      </c>
      <c r="B48" s="12" t="s">
        <v>8</v>
      </c>
      <c r="C48" s="12" t="s">
        <v>9</v>
      </c>
      <c r="D48" s="2">
        <v>35.700000000000003</v>
      </c>
      <c r="E48" s="2">
        <f>FastenersPriceList[[#This Row],[1000 PCS/WT.]]/1000</f>
        <v>3.5700000000000003E-2</v>
      </c>
      <c r="F48" s="2" t="s">
        <v>54</v>
      </c>
      <c r="G48" s="6" t="s">
        <v>11</v>
      </c>
      <c r="H48" s="70">
        <v>50</v>
      </c>
      <c r="I48" s="72">
        <f>FastenersPriceList[[#This Row],[Quantity (kg)]]/FastenersPriceList[[#This Row],[SINGLE PC. WT.]]</f>
        <v>1400.5602240896358</v>
      </c>
      <c r="J48" s="3">
        <v>108</v>
      </c>
      <c r="K48" s="3">
        <f>FastenersPriceList[[#This Row],[1000 PCS/WT.]]*FastenersPriceList[[#This Row],[Rate / PER kg (₹)]]</f>
        <v>3855.6000000000004</v>
      </c>
      <c r="L48" s="4">
        <f>FastenersPriceList[[#This Row],[Rate / PER kg (₹)]]*FastenersPriceList[[#This Row],[Quantity (kg)]]</f>
        <v>5400</v>
      </c>
      <c r="M48" s="4"/>
    </row>
    <row r="49" spans="1:13" ht="22.05" customHeight="1" x14ac:dyDescent="0.3">
      <c r="A49" s="2" t="s">
        <v>945</v>
      </c>
      <c r="B49" s="12" t="s">
        <v>8</v>
      </c>
      <c r="C49" s="12" t="s">
        <v>9</v>
      </c>
      <c r="D49" s="2">
        <v>37.700000000000003</v>
      </c>
      <c r="E49" s="2">
        <f>FastenersPriceList[[#This Row],[1000 PCS/WT.]]/1000</f>
        <v>3.7700000000000004E-2</v>
      </c>
      <c r="F49" s="2" t="s">
        <v>55</v>
      </c>
      <c r="G49" s="6" t="s">
        <v>11</v>
      </c>
      <c r="H49" s="70">
        <v>50</v>
      </c>
      <c r="I49" s="72">
        <f>FastenersPriceList[[#This Row],[Quantity (kg)]]/FastenersPriceList[[#This Row],[SINGLE PC. WT.]]</f>
        <v>1326.259946949602</v>
      </c>
      <c r="J49" s="3">
        <v>110</v>
      </c>
      <c r="K49" s="3">
        <f>FastenersPriceList[[#This Row],[1000 PCS/WT.]]*FastenersPriceList[[#This Row],[Rate / PER kg (₹)]]</f>
        <v>4147</v>
      </c>
      <c r="L49" s="4">
        <f>FastenersPriceList[[#This Row],[Rate / PER kg (₹)]]*FastenersPriceList[[#This Row],[Quantity (kg)]]</f>
        <v>5500</v>
      </c>
      <c r="M49" s="4"/>
    </row>
    <row r="50" spans="1:13" ht="22.05" customHeight="1" x14ac:dyDescent="0.3">
      <c r="A50" s="2" t="s">
        <v>946</v>
      </c>
      <c r="B50" s="12" t="s">
        <v>8</v>
      </c>
      <c r="C50" s="12" t="s">
        <v>9</v>
      </c>
      <c r="D50" s="2">
        <v>39.700000000000003</v>
      </c>
      <c r="E50" s="2">
        <f>FastenersPriceList[[#This Row],[1000 PCS/WT.]]/1000</f>
        <v>3.9700000000000006E-2</v>
      </c>
      <c r="F50" s="2" t="s">
        <v>56</v>
      </c>
      <c r="G50" s="6" t="s">
        <v>11</v>
      </c>
      <c r="H50" s="70">
        <v>50</v>
      </c>
      <c r="I50" s="72">
        <f>FastenersPriceList[[#This Row],[Quantity (kg)]]/FastenersPriceList[[#This Row],[SINGLE PC. WT.]]</f>
        <v>1259.4458438287152</v>
      </c>
      <c r="J50" s="3">
        <v>110</v>
      </c>
      <c r="K50" s="3">
        <f>FastenersPriceList[[#This Row],[1000 PCS/WT.]]*FastenersPriceList[[#This Row],[Rate / PER kg (₹)]]</f>
        <v>4367</v>
      </c>
      <c r="L50" s="4">
        <f>FastenersPriceList[[#This Row],[Rate / PER kg (₹)]]*FastenersPriceList[[#This Row],[Quantity (kg)]]</f>
        <v>5500</v>
      </c>
      <c r="M50" s="4"/>
    </row>
    <row r="51" spans="1:13" ht="22.05" customHeight="1" x14ac:dyDescent="0.3">
      <c r="A51" s="2" t="s">
        <v>947</v>
      </c>
      <c r="B51" s="12" t="s">
        <v>8</v>
      </c>
      <c r="C51" s="12" t="s">
        <v>9</v>
      </c>
      <c r="D51" s="2">
        <v>41.7</v>
      </c>
      <c r="E51" s="2">
        <f>FastenersPriceList[[#This Row],[1000 PCS/WT.]]/1000</f>
        <v>4.1700000000000001E-2</v>
      </c>
      <c r="F51" s="2" t="s">
        <v>57</v>
      </c>
      <c r="G51" s="6" t="s">
        <v>11</v>
      </c>
      <c r="H51" s="70">
        <v>50</v>
      </c>
      <c r="I51" s="72">
        <f>FastenersPriceList[[#This Row],[Quantity (kg)]]/FastenersPriceList[[#This Row],[SINGLE PC. WT.]]</f>
        <v>1199.0407673860911</v>
      </c>
      <c r="J51" s="3">
        <v>110</v>
      </c>
      <c r="K51" s="3">
        <f>FastenersPriceList[[#This Row],[1000 PCS/WT.]]*FastenersPriceList[[#This Row],[Rate / PER kg (₹)]]</f>
        <v>4587</v>
      </c>
      <c r="L51" s="4">
        <f>FastenersPriceList[[#This Row],[Rate / PER kg (₹)]]*FastenersPriceList[[#This Row],[Quantity (kg)]]</f>
        <v>5500</v>
      </c>
      <c r="M51" s="4"/>
    </row>
    <row r="52" spans="1:13" ht="22.05" customHeight="1" x14ac:dyDescent="0.3">
      <c r="A52" s="2" t="s">
        <v>948</v>
      </c>
      <c r="B52" s="12" t="s">
        <v>8</v>
      </c>
      <c r="C52" s="12" t="s">
        <v>9</v>
      </c>
      <c r="D52" s="2">
        <v>43.7</v>
      </c>
      <c r="E52" s="2">
        <f>FastenersPriceList[[#This Row],[1000 PCS/WT.]]/1000</f>
        <v>4.3700000000000003E-2</v>
      </c>
      <c r="F52" s="2" t="s">
        <v>58</v>
      </c>
      <c r="G52" s="6" t="s">
        <v>11</v>
      </c>
      <c r="H52" s="70">
        <v>50</v>
      </c>
      <c r="I52" s="72">
        <f>FastenersPriceList[[#This Row],[Quantity (kg)]]/FastenersPriceList[[#This Row],[SINGLE PC. WT.]]</f>
        <v>1144.1647597254005</v>
      </c>
      <c r="J52" s="3">
        <v>110</v>
      </c>
      <c r="K52" s="3">
        <f>FastenersPriceList[[#This Row],[1000 PCS/WT.]]*FastenersPriceList[[#This Row],[Rate / PER kg (₹)]]</f>
        <v>4807</v>
      </c>
      <c r="L52" s="4">
        <f>FastenersPriceList[[#This Row],[Rate / PER kg (₹)]]*FastenersPriceList[[#This Row],[Quantity (kg)]]</f>
        <v>5500</v>
      </c>
      <c r="M52" s="4"/>
    </row>
    <row r="53" spans="1:13" ht="22.05" customHeight="1" x14ac:dyDescent="0.3">
      <c r="A53" s="2" t="s">
        <v>949</v>
      </c>
      <c r="B53" s="12" t="s">
        <v>8</v>
      </c>
      <c r="C53" s="12" t="s">
        <v>9</v>
      </c>
      <c r="D53" s="2">
        <v>23.2</v>
      </c>
      <c r="E53" s="2">
        <f>FastenersPriceList[[#This Row],[1000 PCS/WT.]]/1000</f>
        <v>2.3199999999999998E-2</v>
      </c>
      <c r="F53" s="2" t="s">
        <v>59</v>
      </c>
      <c r="G53" s="6" t="s">
        <v>11</v>
      </c>
      <c r="H53" s="70">
        <v>50</v>
      </c>
      <c r="I53" s="72">
        <f>FastenersPriceList[[#This Row],[Quantity (kg)]]/FastenersPriceList[[#This Row],[SINGLE PC. WT.]]</f>
        <v>2155.1724137931037</v>
      </c>
      <c r="J53" s="3">
        <v>110</v>
      </c>
      <c r="K53" s="3">
        <f>FastenersPriceList[[#This Row],[1000 PCS/WT.]]*FastenersPriceList[[#This Row],[Rate / PER kg (₹)]]</f>
        <v>2552</v>
      </c>
      <c r="L53" s="4">
        <f>FastenersPriceList[[#This Row],[Rate / PER kg (₹)]]*FastenersPriceList[[#This Row],[Quantity (kg)]]</f>
        <v>5500</v>
      </c>
      <c r="M53" s="4"/>
    </row>
    <row r="54" spans="1:13" ht="22.05" customHeight="1" x14ac:dyDescent="0.3">
      <c r="A54" s="2" t="s">
        <v>950</v>
      </c>
      <c r="B54" s="12" t="s">
        <v>8</v>
      </c>
      <c r="C54" s="12" t="s">
        <v>9</v>
      </c>
      <c r="D54" s="2">
        <v>25.9</v>
      </c>
      <c r="E54" s="2">
        <f>FastenersPriceList[[#This Row],[1000 PCS/WT.]]/1000</f>
        <v>2.5899999999999999E-2</v>
      </c>
      <c r="F54" s="2" t="s">
        <v>60</v>
      </c>
      <c r="G54" s="6" t="s">
        <v>11</v>
      </c>
      <c r="H54" s="70">
        <v>50</v>
      </c>
      <c r="I54" s="72">
        <f>FastenersPriceList[[#This Row],[Quantity (kg)]]/FastenersPriceList[[#This Row],[SINGLE PC. WT.]]</f>
        <v>1930.5019305019305</v>
      </c>
      <c r="J54" s="3">
        <v>110</v>
      </c>
      <c r="K54" s="3">
        <f>FastenersPriceList[[#This Row],[1000 PCS/WT.]]*FastenersPriceList[[#This Row],[Rate / PER kg (₹)]]</f>
        <v>2849</v>
      </c>
      <c r="L54" s="4">
        <f>FastenersPriceList[[#This Row],[Rate / PER kg (₹)]]*FastenersPriceList[[#This Row],[Quantity (kg)]]</f>
        <v>5500</v>
      </c>
      <c r="M54" s="4"/>
    </row>
    <row r="55" spans="1:13" ht="22.05" customHeight="1" x14ac:dyDescent="0.3">
      <c r="A55" s="2" t="s">
        <v>951</v>
      </c>
      <c r="B55" s="12" t="s">
        <v>8</v>
      </c>
      <c r="C55" s="12" t="s">
        <v>9</v>
      </c>
      <c r="D55" s="2">
        <v>28.5</v>
      </c>
      <c r="E55" s="2">
        <f>FastenersPriceList[[#This Row],[1000 PCS/WT.]]/1000</f>
        <v>2.8500000000000001E-2</v>
      </c>
      <c r="F55" s="2" t="s">
        <v>61</v>
      </c>
      <c r="G55" s="6" t="s">
        <v>11</v>
      </c>
      <c r="H55" s="70">
        <v>50</v>
      </c>
      <c r="I55" s="72">
        <f>FastenersPriceList[[#This Row],[Quantity (kg)]]/FastenersPriceList[[#This Row],[SINGLE PC. WT.]]</f>
        <v>1754.3859649122805</v>
      </c>
      <c r="J55" s="3">
        <v>110</v>
      </c>
      <c r="K55" s="3">
        <f>FastenersPriceList[[#This Row],[1000 PCS/WT.]]*FastenersPriceList[[#This Row],[Rate / PER kg (₹)]]</f>
        <v>3135</v>
      </c>
      <c r="L55" s="4">
        <f>FastenersPriceList[[#This Row],[Rate / PER kg (₹)]]*FastenersPriceList[[#This Row],[Quantity (kg)]]</f>
        <v>5500</v>
      </c>
      <c r="M55" s="4"/>
    </row>
    <row r="56" spans="1:13" ht="22.05" customHeight="1" x14ac:dyDescent="0.3">
      <c r="A56" s="2" t="s">
        <v>952</v>
      </c>
      <c r="B56" s="12" t="s">
        <v>8</v>
      </c>
      <c r="C56" s="12" t="s">
        <v>9</v>
      </c>
      <c r="D56" s="2">
        <v>31.3</v>
      </c>
      <c r="E56" s="2">
        <f>FastenersPriceList[[#This Row],[1000 PCS/WT.]]/1000</f>
        <v>3.1300000000000001E-2</v>
      </c>
      <c r="F56" s="2" t="s">
        <v>62</v>
      </c>
      <c r="G56" s="6" t="s">
        <v>11</v>
      </c>
      <c r="H56" s="70">
        <v>50</v>
      </c>
      <c r="I56" s="72">
        <f>FastenersPriceList[[#This Row],[Quantity (kg)]]/FastenersPriceList[[#This Row],[SINGLE PC. WT.]]</f>
        <v>1597.4440894568688</v>
      </c>
      <c r="J56" s="3">
        <v>110</v>
      </c>
      <c r="K56" s="3">
        <f>FastenersPriceList[[#This Row],[1000 PCS/WT.]]*FastenersPriceList[[#This Row],[Rate / PER kg (₹)]]</f>
        <v>3443</v>
      </c>
      <c r="L56" s="4">
        <f>FastenersPriceList[[#This Row],[Rate / PER kg (₹)]]*FastenersPriceList[[#This Row],[Quantity (kg)]]</f>
        <v>5500</v>
      </c>
      <c r="M56" s="4"/>
    </row>
    <row r="57" spans="1:13" ht="22.05" customHeight="1" x14ac:dyDescent="0.3">
      <c r="A57" s="2" t="s">
        <v>953</v>
      </c>
      <c r="B57" s="12" t="s">
        <v>8</v>
      </c>
      <c r="C57" s="12" t="s">
        <v>9</v>
      </c>
      <c r="D57" s="2">
        <v>34.4</v>
      </c>
      <c r="E57" s="2">
        <f>FastenersPriceList[[#This Row],[1000 PCS/WT.]]/1000</f>
        <v>3.44E-2</v>
      </c>
      <c r="F57" s="2" t="s">
        <v>63</v>
      </c>
      <c r="G57" s="6" t="s">
        <v>11</v>
      </c>
      <c r="H57" s="70">
        <v>50</v>
      </c>
      <c r="I57" s="72">
        <f>FastenersPriceList[[#This Row],[Quantity (kg)]]/FastenersPriceList[[#This Row],[SINGLE PC. WT.]]</f>
        <v>1453.4883720930231</v>
      </c>
      <c r="J57" s="3">
        <v>110</v>
      </c>
      <c r="K57" s="3">
        <f>FastenersPriceList[[#This Row],[1000 PCS/WT.]]*FastenersPriceList[[#This Row],[Rate / PER kg (₹)]]</f>
        <v>3784</v>
      </c>
      <c r="L57" s="4">
        <f>FastenersPriceList[[#This Row],[Rate / PER kg (₹)]]*FastenersPriceList[[#This Row],[Quantity (kg)]]</f>
        <v>5500</v>
      </c>
      <c r="M57" s="4"/>
    </row>
    <row r="58" spans="1:13" ht="22.05" customHeight="1" x14ac:dyDescent="0.3">
      <c r="A58" s="2" t="s">
        <v>954</v>
      </c>
      <c r="B58" s="12" t="s">
        <v>8</v>
      </c>
      <c r="C58" s="12" t="s">
        <v>9</v>
      </c>
      <c r="D58" s="2">
        <v>37.5</v>
      </c>
      <c r="E58" s="2">
        <f>FastenersPriceList[[#This Row],[1000 PCS/WT.]]/1000</f>
        <v>3.7499999999999999E-2</v>
      </c>
      <c r="F58" s="2" t="s">
        <v>64</v>
      </c>
      <c r="G58" s="6" t="s">
        <v>11</v>
      </c>
      <c r="H58" s="70">
        <v>50</v>
      </c>
      <c r="I58" s="72">
        <f>FastenersPriceList[[#This Row],[Quantity (kg)]]/FastenersPriceList[[#This Row],[SINGLE PC. WT.]]</f>
        <v>1333.3333333333335</v>
      </c>
      <c r="J58" s="3">
        <v>108</v>
      </c>
      <c r="K58" s="3">
        <f>FastenersPriceList[[#This Row],[1000 PCS/WT.]]*FastenersPriceList[[#This Row],[Rate / PER kg (₹)]]</f>
        <v>4050</v>
      </c>
      <c r="L58" s="4">
        <f>FastenersPriceList[[#This Row],[Rate / PER kg (₹)]]*FastenersPriceList[[#This Row],[Quantity (kg)]]</f>
        <v>5400</v>
      </c>
      <c r="M58" s="4"/>
    </row>
    <row r="59" spans="1:13" ht="22.05" customHeight="1" x14ac:dyDescent="0.3">
      <c r="A59" s="2" t="s">
        <v>955</v>
      </c>
      <c r="B59" s="12" t="s">
        <v>8</v>
      </c>
      <c r="C59" s="12" t="s">
        <v>9</v>
      </c>
      <c r="D59" s="2">
        <v>40.6</v>
      </c>
      <c r="E59" s="2">
        <f>FastenersPriceList[[#This Row],[1000 PCS/WT.]]/1000</f>
        <v>4.0600000000000004E-2</v>
      </c>
      <c r="F59" s="2" t="s">
        <v>65</v>
      </c>
      <c r="G59" s="6" t="s">
        <v>11</v>
      </c>
      <c r="H59" s="70">
        <v>50</v>
      </c>
      <c r="I59" s="72">
        <f>FastenersPriceList[[#This Row],[Quantity (kg)]]/FastenersPriceList[[#This Row],[SINGLE PC. WT.]]</f>
        <v>1231.5270935960589</v>
      </c>
      <c r="J59" s="3">
        <v>108</v>
      </c>
      <c r="K59" s="3">
        <f>FastenersPriceList[[#This Row],[1000 PCS/WT.]]*FastenersPriceList[[#This Row],[Rate / PER kg (₹)]]</f>
        <v>4384.8</v>
      </c>
      <c r="L59" s="4">
        <f>FastenersPriceList[[#This Row],[Rate / PER kg (₹)]]*FastenersPriceList[[#This Row],[Quantity (kg)]]</f>
        <v>5400</v>
      </c>
      <c r="M59" s="4"/>
    </row>
    <row r="60" spans="1:13" ht="22.05" customHeight="1" x14ac:dyDescent="0.3">
      <c r="A60" s="2" t="s">
        <v>956</v>
      </c>
      <c r="B60" s="12" t="s">
        <v>8</v>
      </c>
      <c r="C60" s="12" t="s">
        <v>9</v>
      </c>
      <c r="D60" s="2">
        <v>43.7</v>
      </c>
      <c r="E60" s="2">
        <f>FastenersPriceList[[#This Row],[1000 PCS/WT.]]/1000</f>
        <v>4.3700000000000003E-2</v>
      </c>
      <c r="F60" s="2" t="s">
        <v>66</v>
      </c>
      <c r="G60" s="6" t="s">
        <v>11</v>
      </c>
      <c r="H60" s="70">
        <v>50</v>
      </c>
      <c r="I60" s="72">
        <f>FastenersPriceList[[#This Row],[Quantity (kg)]]/FastenersPriceList[[#This Row],[SINGLE PC. WT.]]</f>
        <v>1144.1647597254005</v>
      </c>
      <c r="J60" s="3">
        <v>108</v>
      </c>
      <c r="K60" s="3">
        <f>FastenersPriceList[[#This Row],[1000 PCS/WT.]]*FastenersPriceList[[#This Row],[Rate / PER kg (₹)]]</f>
        <v>4719.6000000000004</v>
      </c>
      <c r="L60" s="4">
        <f>FastenersPriceList[[#This Row],[Rate / PER kg (₹)]]*FastenersPriceList[[#This Row],[Quantity (kg)]]</f>
        <v>5400</v>
      </c>
      <c r="M60" s="4"/>
    </row>
    <row r="61" spans="1:13" ht="22.05" customHeight="1" x14ac:dyDescent="0.3">
      <c r="A61" s="2" t="s">
        <v>957</v>
      </c>
      <c r="B61" s="12" t="s">
        <v>8</v>
      </c>
      <c r="C61" s="12" t="s">
        <v>9</v>
      </c>
      <c r="D61" s="2">
        <v>46.8</v>
      </c>
      <c r="E61" s="2">
        <f>FastenersPriceList[[#This Row],[1000 PCS/WT.]]/1000</f>
        <v>4.6799999999999994E-2</v>
      </c>
      <c r="F61" s="2" t="s">
        <v>67</v>
      </c>
      <c r="G61" s="6" t="s">
        <v>11</v>
      </c>
      <c r="H61" s="70">
        <v>50</v>
      </c>
      <c r="I61" s="72">
        <f>FastenersPriceList[[#This Row],[Quantity (kg)]]/FastenersPriceList[[#This Row],[SINGLE PC. WT.]]</f>
        <v>1068.3760683760686</v>
      </c>
      <c r="J61" s="3">
        <v>108</v>
      </c>
      <c r="K61" s="3">
        <f>FastenersPriceList[[#This Row],[1000 PCS/WT.]]*FastenersPriceList[[#This Row],[Rate / PER kg (₹)]]</f>
        <v>5054.3999999999996</v>
      </c>
      <c r="L61" s="4">
        <f>FastenersPriceList[[#This Row],[Rate / PER kg (₹)]]*FastenersPriceList[[#This Row],[Quantity (kg)]]</f>
        <v>5400</v>
      </c>
      <c r="M61" s="4"/>
    </row>
    <row r="62" spans="1:13" ht="22.05" customHeight="1" x14ac:dyDescent="0.3">
      <c r="A62" s="2" t="s">
        <v>958</v>
      </c>
      <c r="B62" s="12" t="s">
        <v>8</v>
      </c>
      <c r="C62" s="12" t="s">
        <v>9</v>
      </c>
      <c r="D62" s="2">
        <v>49.9</v>
      </c>
      <c r="E62" s="2">
        <f>FastenersPriceList[[#This Row],[1000 PCS/WT.]]/1000</f>
        <v>4.99E-2</v>
      </c>
      <c r="F62" s="2" t="s">
        <v>68</v>
      </c>
      <c r="G62" s="6" t="s">
        <v>11</v>
      </c>
      <c r="H62" s="70">
        <v>50</v>
      </c>
      <c r="I62" s="72">
        <f>FastenersPriceList[[#This Row],[Quantity (kg)]]/FastenersPriceList[[#This Row],[SINGLE PC. WT.]]</f>
        <v>1002.0040080160321</v>
      </c>
      <c r="J62" s="3">
        <v>108</v>
      </c>
      <c r="K62" s="3">
        <f>FastenersPriceList[[#This Row],[1000 PCS/WT.]]*FastenersPriceList[[#This Row],[Rate / PER kg (₹)]]</f>
        <v>5389.2</v>
      </c>
      <c r="L62" s="4">
        <f>FastenersPriceList[[#This Row],[Rate / PER kg (₹)]]*FastenersPriceList[[#This Row],[Quantity (kg)]]</f>
        <v>5400</v>
      </c>
      <c r="M62" s="4"/>
    </row>
    <row r="63" spans="1:13" ht="22.05" customHeight="1" x14ac:dyDescent="0.3">
      <c r="A63" s="2" t="s">
        <v>959</v>
      </c>
      <c r="B63" s="12" t="s">
        <v>8</v>
      </c>
      <c r="C63" s="12" t="s">
        <v>9</v>
      </c>
      <c r="D63" s="2">
        <v>53</v>
      </c>
      <c r="E63" s="2">
        <f>FastenersPriceList[[#This Row],[1000 PCS/WT.]]/1000</f>
        <v>5.2999999999999999E-2</v>
      </c>
      <c r="F63" s="2" t="s">
        <v>69</v>
      </c>
      <c r="G63" s="6" t="s">
        <v>11</v>
      </c>
      <c r="H63" s="70">
        <v>50</v>
      </c>
      <c r="I63" s="72">
        <f>FastenersPriceList[[#This Row],[Quantity (kg)]]/FastenersPriceList[[#This Row],[SINGLE PC. WT.]]</f>
        <v>943.39622641509436</v>
      </c>
      <c r="J63" s="3">
        <v>106</v>
      </c>
      <c r="K63" s="3">
        <f>FastenersPriceList[[#This Row],[1000 PCS/WT.]]*FastenersPriceList[[#This Row],[Rate / PER kg (₹)]]</f>
        <v>5618</v>
      </c>
      <c r="L63" s="4">
        <f>FastenersPriceList[[#This Row],[Rate / PER kg (₹)]]*FastenersPriceList[[#This Row],[Quantity (kg)]]</f>
        <v>5300</v>
      </c>
      <c r="M63" s="4"/>
    </row>
    <row r="64" spans="1:13" ht="22.05" customHeight="1" x14ac:dyDescent="0.3">
      <c r="A64" s="2" t="s">
        <v>960</v>
      </c>
      <c r="B64" s="12" t="s">
        <v>8</v>
      </c>
      <c r="C64" s="12" t="s">
        <v>9</v>
      </c>
      <c r="D64" s="2">
        <v>56.1</v>
      </c>
      <c r="E64" s="2">
        <f>FastenersPriceList[[#This Row],[1000 PCS/WT.]]/1000</f>
        <v>5.6100000000000004E-2</v>
      </c>
      <c r="F64" s="2" t="s">
        <v>70</v>
      </c>
      <c r="G64" s="6" t="s">
        <v>11</v>
      </c>
      <c r="H64" s="70">
        <v>50</v>
      </c>
      <c r="I64" s="72">
        <f>FastenersPriceList[[#This Row],[Quantity (kg)]]/FastenersPriceList[[#This Row],[SINGLE PC. WT.]]</f>
        <v>891.26559714795007</v>
      </c>
      <c r="J64" s="3">
        <v>106</v>
      </c>
      <c r="K64" s="3">
        <f>FastenersPriceList[[#This Row],[1000 PCS/WT.]]*FastenersPriceList[[#This Row],[Rate / PER kg (₹)]]</f>
        <v>5946.6</v>
      </c>
      <c r="L64" s="4">
        <f>FastenersPriceList[[#This Row],[Rate / PER kg (₹)]]*FastenersPriceList[[#This Row],[Quantity (kg)]]</f>
        <v>5300</v>
      </c>
      <c r="M64" s="4"/>
    </row>
    <row r="65" spans="1:13" ht="22.05" customHeight="1" x14ac:dyDescent="0.3">
      <c r="A65" s="2" t="s">
        <v>961</v>
      </c>
      <c r="B65" s="12" t="s">
        <v>8</v>
      </c>
      <c r="C65" s="12" t="s">
        <v>9</v>
      </c>
      <c r="D65" s="2">
        <v>59.2</v>
      </c>
      <c r="E65" s="2">
        <f>FastenersPriceList[[#This Row],[1000 PCS/WT.]]/1000</f>
        <v>5.9200000000000003E-2</v>
      </c>
      <c r="F65" s="2" t="s">
        <v>71</v>
      </c>
      <c r="G65" s="6" t="s">
        <v>11</v>
      </c>
      <c r="H65" s="70">
        <v>50</v>
      </c>
      <c r="I65" s="72">
        <f>FastenersPriceList[[#This Row],[Quantity (kg)]]/FastenersPriceList[[#This Row],[SINGLE PC. WT.]]</f>
        <v>844.59459459459458</v>
      </c>
      <c r="J65" s="3">
        <v>106</v>
      </c>
      <c r="K65" s="3">
        <f>FastenersPriceList[[#This Row],[1000 PCS/WT.]]*FastenersPriceList[[#This Row],[Rate / PER kg (₹)]]</f>
        <v>6275.2000000000007</v>
      </c>
      <c r="L65" s="4">
        <f>FastenersPriceList[[#This Row],[Rate / PER kg (₹)]]*FastenersPriceList[[#This Row],[Quantity (kg)]]</f>
        <v>5300</v>
      </c>
      <c r="M65" s="4"/>
    </row>
    <row r="66" spans="1:13" ht="22.05" customHeight="1" x14ac:dyDescent="0.3">
      <c r="A66" s="2" t="s">
        <v>962</v>
      </c>
      <c r="B66" s="12" t="s">
        <v>8</v>
      </c>
      <c r="C66" s="12" t="s">
        <v>9</v>
      </c>
      <c r="D66" s="2">
        <v>62.3</v>
      </c>
      <c r="E66" s="2">
        <f>FastenersPriceList[[#This Row],[1000 PCS/WT.]]/1000</f>
        <v>6.2299999999999994E-2</v>
      </c>
      <c r="F66" s="2" t="s">
        <v>72</v>
      </c>
      <c r="G66" s="6" t="s">
        <v>11</v>
      </c>
      <c r="H66" s="70">
        <v>50</v>
      </c>
      <c r="I66" s="72">
        <f>FastenersPriceList[[#This Row],[Quantity (kg)]]/FastenersPriceList[[#This Row],[SINGLE PC. WT.]]</f>
        <v>802.56821829855551</v>
      </c>
      <c r="J66" s="3">
        <v>106</v>
      </c>
      <c r="K66" s="3">
        <f>FastenersPriceList[[#This Row],[1000 PCS/WT.]]*FastenersPriceList[[#This Row],[Rate / PER kg (₹)]]</f>
        <v>6603.7999999999993</v>
      </c>
      <c r="L66" s="4">
        <f>FastenersPriceList[[#This Row],[Rate / PER kg (₹)]]*FastenersPriceList[[#This Row],[Quantity (kg)]]</f>
        <v>5300</v>
      </c>
      <c r="M66" s="4"/>
    </row>
    <row r="67" spans="1:13" ht="22.05" customHeight="1" x14ac:dyDescent="0.3">
      <c r="A67" s="2" t="s">
        <v>963</v>
      </c>
      <c r="B67" s="12" t="s">
        <v>8</v>
      </c>
      <c r="C67" s="12" t="s">
        <v>9</v>
      </c>
      <c r="D67" s="2">
        <v>65.400000000000006</v>
      </c>
      <c r="E67" s="2">
        <f>FastenersPriceList[[#This Row],[1000 PCS/WT.]]/1000</f>
        <v>6.54E-2</v>
      </c>
      <c r="F67" s="2" t="s">
        <v>73</v>
      </c>
      <c r="G67" s="6" t="s">
        <v>11</v>
      </c>
      <c r="H67" s="70">
        <v>50</v>
      </c>
      <c r="I67" s="72">
        <f>FastenersPriceList[[#This Row],[Quantity (kg)]]/FastenersPriceList[[#This Row],[SINGLE PC. WT.]]</f>
        <v>764.52599388379201</v>
      </c>
      <c r="J67" s="3">
        <v>106</v>
      </c>
      <c r="K67" s="3">
        <f>FastenersPriceList[[#This Row],[1000 PCS/WT.]]*FastenersPriceList[[#This Row],[Rate / PER kg (₹)]]</f>
        <v>6932.4000000000005</v>
      </c>
      <c r="L67" s="4">
        <f>FastenersPriceList[[#This Row],[Rate / PER kg (₹)]]*FastenersPriceList[[#This Row],[Quantity (kg)]]</f>
        <v>5300</v>
      </c>
      <c r="M67" s="4"/>
    </row>
    <row r="68" spans="1:13" ht="22.05" customHeight="1" x14ac:dyDescent="0.3">
      <c r="A68" s="2" t="s">
        <v>964</v>
      </c>
      <c r="B68" s="12" t="s">
        <v>8</v>
      </c>
      <c r="C68" s="12" t="s">
        <v>9</v>
      </c>
      <c r="D68" s="2">
        <v>68.5</v>
      </c>
      <c r="E68" s="2">
        <f>FastenersPriceList[[#This Row],[1000 PCS/WT.]]/1000</f>
        <v>6.8500000000000005E-2</v>
      </c>
      <c r="F68" s="2" t="s">
        <v>74</v>
      </c>
      <c r="G68" s="6" t="s">
        <v>11</v>
      </c>
      <c r="H68" s="70">
        <v>50</v>
      </c>
      <c r="I68" s="72">
        <f>FastenersPriceList[[#This Row],[Quantity (kg)]]/FastenersPriceList[[#This Row],[SINGLE PC. WT.]]</f>
        <v>729.92700729927003</v>
      </c>
      <c r="J68" s="3">
        <v>106</v>
      </c>
      <c r="K68" s="3">
        <f>FastenersPriceList[[#This Row],[1000 PCS/WT.]]*FastenersPriceList[[#This Row],[Rate / PER kg (₹)]]</f>
        <v>7261</v>
      </c>
      <c r="L68" s="4">
        <f>FastenersPriceList[[#This Row],[Rate / PER kg (₹)]]*FastenersPriceList[[#This Row],[Quantity (kg)]]</f>
        <v>5300</v>
      </c>
      <c r="M68" s="4"/>
    </row>
    <row r="69" spans="1:13" ht="22.05" customHeight="1" x14ac:dyDescent="0.3">
      <c r="A69" s="2" t="s">
        <v>1107</v>
      </c>
      <c r="B69" s="12" t="s">
        <v>8</v>
      </c>
      <c r="C69" s="12" t="s">
        <v>9</v>
      </c>
      <c r="D69" s="2">
        <v>71.599999999999994</v>
      </c>
      <c r="E69" s="2">
        <f>FastenersPriceList[[#This Row],[1000 PCS/WT.]]/1000</f>
        <v>7.1599999999999997E-2</v>
      </c>
      <c r="F69" s="2" t="s">
        <v>75</v>
      </c>
      <c r="G69" s="6" t="s">
        <v>11</v>
      </c>
      <c r="H69" s="70">
        <v>50</v>
      </c>
      <c r="I69" s="72">
        <f>FastenersPriceList[[#This Row],[Quantity (kg)]]/FastenersPriceList[[#This Row],[SINGLE PC. WT.]]</f>
        <v>698.32402234636879</v>
      </c>
      <c r="J69" s="3">
        <v>106</v>
      </c>
      <c r="K69" s="3">
        <f>FastenersPriceList[[#This Row],[1000 PCS/WT.]]*FastenersPriceList[[#This Row],[Rate / PER kg (₹)]]</f>
        <v>7589.5999999999995</v>
      </c>
      <c r="L69" s="4">
        <f>FastenersPriceList[[#This Row],[Rate / PER kg (₹)]]*FastenersPriceList[[#This Row],[Quantity (kg)]]</f>
        <v>5300</v>
      </c>
      <c r="M69" s="4"/>
    </row>
    <row r="70" spans="1:13" ht="22.05" customHeight="1" x14ac:dyDescent="0.3">
      <c r="A70" s="2" t="s">
        <v>1108</v>
      </c>
      <c r="B70" s="12" t="s">
        <v>8</v>
      </c>
      <c r="C70" s="12" t="s">
        <v>9</v>
      </c>
      <c r="D70" s="2">
        <v>77.8</v>
      </c>
      <c r="E70" s="2">
        <f>FastenersPriceList[[#This Row],[1000 PCS/WT.]]/1000</f>
        <v>7.7799999999999994E-2</v>
      </c>
      <c r="F70" s="2" t="s">
        <v>76</v>
      </c>
      <c r="G70" s="6" t="s">
        <v>11</v>
      </c>
      <c r="H70" s="70">
        <v>50</v>
      </c>
      <c r="I70" s="72">
        <f>FastenersPriceList[[#This Row],[Quantity (kg)]]/FastenersPriceList[[#This Row],[SINGLE PC. WT.]]</f>
        <v>642.67352185089976</v>
      </c>
      <c r="J70" s="3">
        <v>115</v>
      </c>
      <c r="K70" s="3">
        <f>FastenersPriceList[[#This Row],[1000 PCS/WT.]]*FastenersPriceList[[#This Row],[Rate / PER kg (₹)]]</f>
        <v>8947</v>
      </c>
      <c r="L70" s="4">
        <f>FastenersPriceList[[#This Row],[Rate / PER kg (₹)]]*FastenersPriceList[[#This Row],[Quantity (kg)]]</f>
        <v>5750</v>
      </c>
      <c r="M70" s="4"/>
    </row>
    <row r="71" spans="1:13" ht="22.05" customHeight="1" x14ac:dyDescent="0.3">
      <c r="A71" s="2" t="s">
        <v>1109</v>
      </c>
      <c r="B71" s="12" t="s">
        <v>8</v>
      </c>
      <c r="C71" s="12" t="s">
        <v>9</v>
      </c>
      <c r="D71" s="2">
        <v>84</v>
      </c>
      <c r="E71" s="2">
        <f>FastenersPriceList[[#This Row],[1000 PCS/WT.]]/1000</f>
        <v>8.4000000000000005E-2</v>
      </c>
      <c r="F71" s="2" t="s">
        <v>77</v>
      </c>
      <c r="G71" s="6" t="s">
        <v>11</v>
      </c>
      <c r="H71" s="70">
        <v>50</v>
      </c>
      <c r="I71" s="72">
        <f>FastenersPriceList[[#This Row],[Quantity (kg)]]/FastenersPriceList[[#This Row],[SINGLE PC. WT.]]</f>
        <v>595.23809523809518</v>
      </c>
      <c r="J71" s="3">
        <v>115</v>
      </c>
      <c r="K71" s="3">
        <f>FastenersPriceList[[#This Row],[1000 PCS/WT.]]*FastenersPriceList[[#This Row],[Rate / PER kg (₹)]]</f>
        <v>9660</v>
      </c>
      <c r="L71" s="4">
        <f>FastenersPriceList[[#This Row],[Rate / PER kg (₹)]]*FastenersPriceList[[#This Row],[Quantity (kg)]]</f>
        <v>5750</v>
      </c>
      <c r="M71" s="4"/>
    </row>
    <row r="72" spans="1:13" ht="22.05" customHeight="1" x14ac:dyDescent="0.3">
      <c r="A72" s="2" t="s">
        <v>1325</v>
      </c>
      <c r="B72" s="12" t="s">
        <v>8</v>
      </c>
      <c r="C72" s="12" t="s">
        <v>9</v>
      </c>
      <c r="D72" s="2">
        <v>90.2</v>
      </c>
      <c r="E72" s="2">
        <f>FastenersPriceList[[#This Row],[1000 PCS/WT.]]/1000</f>
        <v>9.0200000000000002E-2</v>
      </c>
      <c r="F72" s="2" t="s">
        <v>1324</v>
      </c>
      <c r="G72" s="6" t="s">
        <v>11</v>
      </c>
      <c r="H72" s="70">
        <v>50</v>
      </c>
      <c r="I72" s="72">
        <f>FastenersPriceList[[#This Row],[Quantity (kg)]]/FastenersPriceList[[#This Row],[SINGLE PC. WT.]]</f>
        <v>554.32372505543231</v>
      </c>
      <c r="J72" s="3">
        <v>115</v>
      </c>
      <c r="K72" s="3">
        <f>FastenersPriceList[[#This Row],[1000 PCS/WT.]]*FastenersPriceList[[#This Row],[Rate / PER kg (₹)]]</f>
        <v>10373</v>
      </c>
      <c r="L72" s="4">
        <f>FastenersPriceList[[#This Row],[Rate / PER kg (₹)]]*FastenersPriceList[[#This Row],[Quantity (kg)]]</f>
        <v>5750</v>
      </c>
      <c r="M72" s="4"/>
    </row>
    <row r="73" spans="1:13" ht="22.05" customHeight="1" x14ac:dyDescent="0.3">
      <c r="A73" s="2" t="s">
        <v>1110</v>
      </c>
      <c r="B73" s="12" t="s">
        <v>8</v>
      </c>
      <c r="C73" s="12" t="s">
        <v>9</v>
      </c>
      <c r="D73" s="2">
        <v>96.4</v>
      </c>
      <c r="E73" s="2">
        <f>FastenersPriceList[[#This Row],[1000 PCS/WT.]]/1000</f>
        <v>9.64E-2</v>
      </c>
      <c r="F73" s="2" t="s">
        <v>78</v>
      </c>
      <c r="G73" s="6" t="s">
        <v>11</v>
      </c>
      <c r="H73" s="70">
        <v>50</v>
      </c>
      <c r="I73" s="72">
        <f>FastenersPriceList[[#This Row],[Quantity (kg)]]/FastenersPriceList[[#This Row],[SINGLE PC. WT.]]</f>
        <v>518.67219917012449</v>
      </c>
      <c r="J73" s="3">
        <v>115</v>
      </c>
      <c r="K73" s="3">
        <f>FastenersPriceList[[#This Row],[1000 PCS/WT.]]*FastenersPriceList[[#This Row],[Rate / PER kg (₹)]]</f>
        <v>11086</v>
      </c>
      <c r="L73" s="4">
        <f>FastenersPriceList[[#This Row],[Rate / PER kg (₹)]]*FastenersPriceList[[#This Row],[Quantity (kg)]]</f>
        <v>5750</v>
      </c>
      <c r="M73" s="4"/>
    </row>
    <row r="74" spans="1:13" ht="22.05" customHeight="1" x14ac:dyDescent="0.3">
      <c r="A74" s="2" t="s">
        <v>1111</v>
      </c>
      <c r="B74" s="12" t="s">
        <v>8</v>
      </c>
      <c r="C74" s="12" t="s">
        <v>9</v>
      </c>
      <c r="D74" s="2">
        <v>102.6</v>
      </c>
      <c r="E74" s="2">
        <f>FastenersPriceList[[#This Row],[1000 PCS/WT.]]/1000</f>
        <v>0.1026</v>
      </c>
      <c r="F74" s="2" t="s">
        <v>79</v>
      </c>
      <c r="G74" s="6" t="s">
        <v>11</v>
      </c>
      <c r="H74" s="70">
        <v>50</v>
      </c>
      <c r="I74" s="72">
        <f>FastenersPriceList[[#This Row],[Quantity (kg)]]/FastenersPriceList[[#This Row],[SINGLE PC. WT.]]</f>
        <v>487.32943469785579</v>
      </c>
      <c r="J74" s="3">
        <v>115</v>
      </c>
      <c r="K74" s="3">
        <f>FastenersPriceList[[#This Row],[1000 PCS/WT.]]*FastenersPriceList[[#This Row],[Rate / PER kg (₹)]]</f>
        <v>11799</v>
      </c>
      <c r="L74" s="4">
        <f>FastenersPriceList[[#This Row],[Rate / PER kg (₹)]]*FastenersPriceList[[#This Row],[Quantity (kg)]]</f>
        <v>5750</v>
      </c>
      <c r="M74" s="4"/>
    </row>
    <row r="75" spans="1:13" ht="22.05" customHeight="1" x14ac:dyDescent="0.3">
      <c r="A75" s="2" t="s">
        <v>965</v>
      </c>
      <c r="B75" s="12" t="s">
        <v>8</v>
      </c>
      <c r="C75" s="12" t="s">
        <v>9</v>
      </c>
      <c r="D75" s="2">
        <v>36.869999999999997</v>
      </c>
      <c r="E75" s="2">
        <f>FastenersPriceList[[#This Row],[1000 PCS/WT.]]/1000</f>
        <v>3.687E-2</v>
      </c>
      <c r="F75" s="2" t="s">
        <v>80</v>
      </c>
      <c r="G75" s="6" t="s">
        <v>11</v>
      </c>
      <c r="H75" s="70">
        <v>50</v>
      </c>
      <c r="I75" s="72">
        <f>FastenersPriceList[[#This Row],[Quantity (kg)]]/FastenersPriceList[[#This Row],[SINGLE PC. WT.]]</f>
        <v>1356.1160835367507</v>
      </c>
      <c r="J75" s="3">
        <v>112</v>
      </c>
      <c r="K75" s="3">
        <f>FastenersPriceList[[#This Row],[1000 PCS/WT.]]*FastenersPriceList[[#This Row],[Rate / PER kg (₹)]]</f>
        <v>4129.4399999999996</v>
      </c>
      <c r="L75" s="4">
        <f>FastenersPriceList[[#This Row],[Rate / PER kg (₹)]]*FastenersPriceList[[#This Row],[Quantity (kg)]]</f>
        <v>5600</v>
      </c>
      <c r="M75" s="4"/>
    </row>
    <row r="76" spans="1:13" ht="22.05" customHeight="1" x14ac:dyDescent="0.3">
      <c r="A76" s="2" t="s">
        <v>966</v>
      </c>
      <c r="B76" s="12" t="s">
        <v>8</v>
      </c>
      <c r="C76" s="12" t="s">
        <v>9</v>
      </c>
      <c r="D76" s="2">
        <v>40.22</v>
      </c>
      <c r="E76" s="2">
        <f>FastenersPriceList[[#This Row],[1000 PCS/WT.]]/1000</f>
        <v>4.0219999999999999E-2</v>
      </c>
      <c r="F76" s="2" t="s">
        <v>81</v>
      </c>
      <c r="G76" s="6" t="s">
        <v>11</v>
      </c>
      <c r="H76" s="70">
        <v>50</v>
      </c>
      <c r="I76" s="72">
        <f>FastenersPriceList[[#This Row],[Quantity (kg)]]/FastenersPriceList[[#This Row],[SINGLE PC. WT.]]</f>
        <v>1243.1626056688215</v>
      </c>
      <c r="J76" s="3">
        <v>112</v>
      </c>
      <c r="K76" s="3">
        <f>FastenersPriceList[[#This Row],[1000 PCS/WT.]]*FastenersPriceList[[#This Row],[Rate / PER kg (₹)]]</f>
        <v>4504.6399999999994</v>
      </c>
      <c r="L76" s="4">
        <f>FastenersPriceList[[#This Row],[Rate / PER kg (₹)]]*FastenersPriceList[[#This Row],[Quantity (kg)]]</f>
        <v>5600</v>
      </c>
      <c r="M76" s="4"/>
    </row>
    <row r="77" spans="1:13" ht="22.05" customHeight="1" x14ac:dyDescent="0.3">
      <c r="A77" s="2" t="s">
        <v>967</v>
      </c>
      <c r="B77" s="12" t="s">
        <v>8</v>
      </c>
      <c r="C77" s="12" t="s">
        <v>9</v>
      </c>
      <c r="D77" s="2">
        <v>43.82</v>
      </c>
      <c r="E77" s="2">
        <f>FastenersPriceList[[#This Row],[1000 PCS/WT.]]/1000</f>
        <v>4.3819999999999998E-2</v>
      </c>
      <c r="F77" s="2" t="s">
        <v>82</v>
      </c>
      <c r="G77" s="6" t="s">
        <v>11</v>
      </c>
      <c r="H77" s="70">
        <v>50</v>
      </c>
      <c r="I77" s="72">
        <f>FastenersPriceList[[#This Row],[Quantity (kg)]]/FastenersPriceList[[#This Row],[SINGLE PC. WT.]]</f>
        <v>1141.0314924691922</v>
      </c>
      <c r="J77" s="3">
        <v>112</v>
      </c>
      <c r="K77" s="3">
        <f>FastenersPriceList[[#This Row],[1000 PCS/WT.]]*FastenersPriceList[[#This Row],[Rate / PER kg (₹)]]</f>
        <v>4907.84</v>
      </c>
      <c r="L77" s="4">
        <f>FastenersPriceList[[#This Row],[Rate / PER kg (₹)]]*FastenersPriceList[[#This Row],[Quantity (kg)]]</f>
        <v>5600</v>
      </c>
      <c r="M77" s="4"/>
    </row>
    <row r="78" spans="1:13" ht="22.05" customHeight="1" x14ac:dyDescent="0.3">
      <c r="A78" s="2" t="s">
        <v>968</v>
      </c>
      <c r="B78" s="12" t="s">
        <v>8</v>
      </c>
      <c r="C78" s="12" t="s">
        <v>9</v>
      </c>
      <c r="D78" s="2">
        <v>48.22</v>
      </c>
      <c r="E78" s="2">
        <f>FastenersPriceList[[#This Row],[1000 PCS/WT.]]/1000</f>
        <v>4.8219999999999999E-2</v>
      </c>
      <c r="F78" s="2" t="s">
        <v>83</v>
      </c>
      <c r="G78" s="6" t="s">
        <v>11</v>
      </c>
      <c r="H78" s="70">
        <v>50</v>
      </c>
      <c r="I78" s="72">
        <f>FastenersPriceList[[#This Row],[Quantity (kg)]]/FastenersPriceList[[#This Row],[SINGLE PC. WT.]]</f>
        <v>1036.9141435089175</v>
      </c>
      <c r="J78" s="3">
        <v>112</v>
      </c>
      <c r="K78" s="3">
        <f>FastenersPriceList[[#This Row],[1000 PCS/WT.]]*FastenersPriceList[[#This Row],[Rate / PER kg (₹)]]</f>
        <v>5400.6399999999994</v>
      </c>
      <c r="L78" s="4">
        <f>FastenersPriceList[[#This Row],[Rate / PER kg (₹)]]*FastenersPriceList[[#This Row],[Quantity (kg)]]</f>
        <v>5600</v>
      </c>
      <c r="M78" s="4"/>
    </row>
    <row r="79" spans="1:13" ht="22.05" customHeight="1" x14ac:dyDescent="0.3">
      <c r="A79" s="2" t="s">
        <v>969</v>
      </c>
      <c r="B79" s="12" t="s">
        <v>8</v>
      </c>
      <c r="C79" s="12" t="s">
        <v>9</v>
      </c>
      <c r="D79" s="2">
        <v>52.62</v>
      </c>
      <c r="E79" s="2">
        <f>FastenersPriceList[[#This Row],[1000 PCS/WT.]]/1000</f>
        <v>5.262E-2</v>
      </c>
      <c r="F79" s="2" t="s">
        <v>84</v>
      </c>
      <c r="G79" s="6" t="s">
        <v>11</v>
      </c>
      <c r="H79" s="70">
        <v>50</v>
      </c>
      <c r="I79" s="72">
        <f>FastenersPriceList[[#This Row],[Quantity (kg)]]/FastenersPriceList[[#This Row],[SINGLE PC. WT.]]</f>
        <v>950.20904599011783</v>
      </c>
      <c r="J79" s="3">
        <v>112</v>
      </c>
      <c r="K79" s="3">
        <f>FastenersPriceList[[#This Row],[1000 PCS/WT.]]*FastenersPriceList[[#This Row],[Rate / PER kg (₹)]]</f>
        <v>5893.44</v>
      </c>
      <c r="L79" s="4">
        <f>FastenersPriceList[[#This Row],[Rate / PER kg (₹)]]*FastenersPriceList[[#This Row],[Quantity (kg)]]</f>
        <v>5600</v>
      </c>
      <c r="M79" s="4"/>
    </row>
    <row r="80" spans="1:13" ht="22.05" customHeight="1" x14ac:dyDescent="0.3">
      <c r="A80" s="2" t="s">
        <v>970</v>
      </c>
      <c r="B80" s="12" t="s">
        <v>8</v>
      </c>
      <c r="C80" s="12" t="s">
        <v>9</v>
      </c>
      <c r="D80" s="2">
        <v>57.02</v>
      </c>
      <c r="E80" s="2">
        <f>FastenersPriceList[[#This Row],[1000 PCS/WT.]]/1000</f>
        <v>5.7020000000000001E-2</v>
      </c>
      <c r="F80" s="2" t="s">
        <v>85</v>
      </c>
      <c r="G80" s="6" t="s">
        <v>11</v>
      </c>
      <c r="H80" s="70">
        <v>50</v>
      </c>
      <c r="I80" s="72">
        <f>FastenersPriceList[[#This Row],[Quantity (kg)]]/FastenersPriceList[[#This Row],[SINGLE PC. WT.]]</f>
        <v>876.885303402315</v>
      </c>
      <c r="J80" s="3">
        <v>112</v>
      </c>
      <c r="K80" s="3">
        <f>FastenersPriceList[[#This Row],[1000 PCS/WT.]]*FastenersPriceList[[#This Row],[Rate / PER kg (₹)]]</f>
        <v>6386.2400000000007</v>
      </c>
      <c r="L80" s="4">
        <f>FastenersPriceList[[#This Row],[Rate / PER kg (₹)]]*FastenersPriceList[[#This Row],[Quantity (kg)]]</f>
        <v>5600</v>
      </c>
      <c r="M80" s="4"/>
    </row>
    <row r="81" spans="1:13" ht="22.05" customHeight="1" x14ac:dyDescent="0.3">
      <c r="A81" s="2" t="s">
        <v>971</v>
      </c>
      <c r="B81" s="12" t="s">
        <v>8</v>
      </c>
      <c r="C81" s="12" t="s">
        <v>9</v>
      </c>
      <c r="D81" s="2">
        <v>61.42</v>
      </c>
      <c r="E81" s="2">
        <f>FastenersPriceList[[#This Row],[1000 PCS/WT.]]/1000</f>
        <v>6.1420000000000002E-2</v>
      </c>
      <c r="F81" s="2" t="s">
        <v>86</v>
      </c>
      <c r="G81" s="6" t="s">
        <v>11</v>
      </c>
      <c r="H81" s="70">
        <v>50</v>
      </c>
      <c r="I81" s="72">
        <f>FastenersPriceList[[#This Row],[Quantity (kg)]]/FastenersPriceList[[#This Row],[SINGLE PC. WT.]]</f>
        <v>814.06707912732008</v>
      </c>
      <c r="J81" s="3">
        <v>110</v>
      </c>
      <c r="K81" s="3">
        <f>FastenersPriceList[[#This Row],[1000 PCS/WT.]]*FastenersPriceList[[#This Row],[Rate / PER kg (₹)]]</f>
        <v>6756.2</v>
      </c>
      <c r="L81" s="4">
        <f>FastenersPriceList[[#This Row],[Rate / PER kg (₹)]]*FastenersPriceList[[#This Row],[Quantity (kg)]]</f>
        <v>5500</v>
      </c>
      <c r="M81" s="4"/>
    </row>
    <row r="82" spans="1:13" ht="22.05" customHeight="1" x14ac:dyDescent="0.3">
      <c r="A82" s="2" t="s">
        <v>972</v>
      </c>
      <c r="B82" s="12" t="s">
        <v>8</v>
      </c>
      <c r="C82" s="12" t="s">
        <v>9</v>
      </c>
      <c r="D82" s="2">
        <v>65.819999999999993</v>
      </c>
      <c r="E82" s="2">
        <f>FastenersPriceList[[#This Row],[1000 PCS/WT.]]/1000</f>
        <v>6.581999999999999E-2</v>
      </c>
      <c r="F82" s="2" t="s">
        <v>87</v>
      </c>
      <c r="G82" s="6" t="s">
        <v>11</v>
      </c>
      <c r="H82" s="70">
        <v>50</v>
      </c>
      <c r="I82" s="72">
        <f>FastenersPriceList[[#This Row],[Quantity (kg)]]/FastenersPriceList[[#This Row],[SINGLE PC. WT.]]</f>
        <v>759.6475235490733</v>
      </c>
      <c r="J82" s="3">
        <v>110</v>
      </c>
      <c r="K82" s="3">
        <f>FastenersPriceList[[#This Row],[1000 PCS/WT.]]*FastenersPriceList[[#This Row],[Rate / PER kg (₹)]]</f>
        <v>7240.1999999999989</v>
      </c>
      <c r="L82" s="4">
        <f>FastenersPriceList[[#This Row],[Rate / PER kg (₹)]]*FastenersPriceList[[#This Row],[Quantity (kg)]]</f>
        <v>5500</v>
      </c>
      <c r="M82" s="4"/>
    </row>
    <row r="83" spans="1:13" ht="22.05" customHeight="1" x14ac:dyDescent="0.3">
      <c r="A83" s="2" t="s">
        <v>973</v>
      </c>
      <c r="B83" s="12" t="s">
        <v>8</v>
      </c>
      <c r="C83" s="12" t="s">
        <v>9</v>
      </c>
      <c r="D83" s="2">
        <v>70.22</v>
      </c>
      <c r="E83" s="2">
        <f>FastenersPriceList[[#This Row],[1000 PCS/WT.]]/1000</f>
        <v>7.0220000000000005E-2</v>
      </c>
      <c r="F83" s="2" t="s">
        <v>88</v>
      </c>
      <c r="G83" s="6" t="s">
        <v>11</v>
      </c>
      <c r="H83" s="70">
        <v>50</v>
      </c>
      <c r="I83" s="72">
        <f>FastenersPriceList[[#This Row],[Quantity (kg)]]/FastenersPriceList[[#This Row],[SINGLE PC. WT.]]</f>
        <v>712.0478496154941</v>
      </c>
      <c r="J83" s="3">
        <v>110</v>
      </c>
      <c r="K83" s="3">
        <f>FastenersPriceList[[#This Row],[1000 PCS/WT.]]*FastenersPriceList[[#This Row],[Rate / PER kg (₹)]]</f>
        <v>7724.2</v>
      </c>
      <c r="L83" s="4">
        <f>FastenersPriceList[[#This Row],[Rate / PER kg (₹)]]*FastenersPriceList[[#This Row],[Quantity (kg)]]</f>
        <v>5500</v>
      </c>
      <c r="M83" s="4"/>
    </row>
    <row r="84" spans="1:13" ht="22.05" customHeight="1" x14ac:dyDescent="0.3">
      <c r="A84" s="2" t="s">
        <v>974</v>
      </c>
      <c r="B84" s="12" t="s">
        <v>8</v>
      </c>
      <c r="C84" s="12" t="s">
        <v>9</v>
      </c>
      <c r="D84" s="2">
        <v>74.62</v>
      </c>
      <c r="E84" s="2">
        <f>FastenersPriceList[[#This Row],[1000 PCS/WT.]]/1000</f>
        <v>7.4620000000000006E-2</v>
      </c>
      <c r="F84" s="2" t="s">
        <v>89</v>
      </c>
      <c r="G84" s="6" t="s">
        <v>11</v>
      </c>
      <c r="H84" s="70">
        <v>50</v>
      </c>
      <c r="I84" s="72">
        <f>FastenersPriceList[[#This Row],[Quantity (kg)]]/FastenersPriceList[[#This Row],[SINGLE PC. WT.]]</f>
        <v>670.06164567140172</v>
      </c>
      <c r="J84" s="3">
        <v>110</v>
      </c>
      <c r="K84" s="3">
        <f>FastenersPriceList[[#This Row],[1000 PCS/WT.]]*FastenersPriceList[[#This Row],[Rate / PER kg (₹)]]</f>
        <v>8208.2000000000007</v>
      </c>
      <c r="L84" s="4">
        <f>FastenersPriceList[[#This Row],[Rate / PER kg (₹)]]*FastenersPriceList[[#This Row],[Quantity (kg)]]</f>
        <v>5500</v>
      </c>
      <c r="M84" s="4"/>
    </row>
    <row r="85" spans="1:13" ht="22.05" customHeight="1" x14ac:dyDescent="0.3">
      <c r="A85" s="2" t="s">
        <v>975</v>
      </c>
      <c r="B85" s="12" t="s">
        <v>8</v>
      </c>
      <c r="C85" s="12" t="s">
        <v>9</v>
      </c>
      <c r="D85" s="2">
        <v>79.02</v>
      </c>
      <c r="E85" s="2">
        <f>FastenersPriceList[[#This Row],[1000 PCS/WT.]]/1000</f>
        <v>7.9019999999999993E-2</v>
      </c>
      <c r="F85" s="2" t="s">
        <v>90</v>
      </c>
      <c r="G85" s="6" t="s">
        <v>11</v>
      </c>
      <c r="H85" s="70">
        <v>50</v>
      </c>
      <c r="I85" s="72">
        <f>FastenersPriceList[[#This Row],[Quantity (kg)]]/FastenersPriceList[[#This Row],[SINGLE PC. WT.]]</f>
        <v>632.75120222728424</v>
      </c>
      <c r="J85" s="3">
        <v>110</v>
      </c>
      <c r="K85" s="3">
        <f>FastenersPriceList[[#This Row],[1000 PCS/WT.]]*FastenersPriceList[[#This Row],[Rate / PER kg (₹)]]</f>
        <v>8692.1999999999989</v>
      </c>
      <c r="L85" s="4">
        <f>FastenersPriceList[[#This Row],[Rate / PER kg (₹)]]*FastenersPriceList[[#This Row],[Quantity (kg)]]</f>
        <v>5500</v>
      </c>
      <c r="M85" s="4"/>
    </row>
    <row r="86" spans="1:13" ht="22.05" customHeight="1" x14ac:dyDescent="0.3">
      <c r="A86" s="2" t="s">
        <v>976</v>
      </c>
      <c r="B86" s="12" t="s">
        <v>8</v>
      </c>
      <c r="C86" s="12" t="s">
        <v>9</v>
      </c>
      <c r="D86" s="2">
        <v>83.42</v>
      </c>
      <c r="E86" s="2">
        <f>FastenersPriceList[[#This Row],[1000 PCS/WT.]]/1000</f>
        <v>8.3420000000000008E-2</v>
      </c>
      <c r="F86" s="2" t="s">
        <v>91</v>
      </c>
      <c r="G86" s="6" t="s">
        <v>11</v>
      </c>
      <c r="H86" s="70">
        <v>50</v>
      </c>
      <c r="I86" s="72">
        <f>FastenersPriceList[[#This Row],[Quantity (kg)]]/FastenersPriceList[[#This Row],[SINGLE PC. WT.]]</f>
        <v>599.37664828578272</v>
      </c>
      <c r="J86" s="3">
        <v>110</v>
      </c>
      <c r="K86" s="3">
        <f>FastenersPriceList[[#This Row],[1000 PCS/WT.]]*FastenersPriceList[[#This Row],[Rate / PER kg (₹)]]</f>
        <v>9176.2000000000007</v>
      </c>
      <c r="L86" s="4">
        <f>FastenersPriceList[[#This Row],[Rate / PER kg (₹)]]*FastenersPriceList[[#This Row],[Quantity (kg)]]</f>
        <v>5500</v>
      </c>
      <c r="M86" s="4"/>
    </row>
    <row r="87" spans="1:13" ht="22.05" customHeight="1" x14ac:dyDescent="0.3">
      <c r="A87" s="2" t="s">
        <v>977</v>
      </c>
      <c r="B87" s="12" t="s">
        <v>8</v>
      </c>
      <c r="C87" s="12" t="s">
        <v>9</v>
      </c>
      <c r="D87" s="2">
        <v>87.82</v>
      </c>
      <c r="E87" s="2">
        <f>FastenersPriceList[[#This Row],[1000 PCS/WT.]]/1000</f>
        <v>8.7819999999999995E-2</v>
      </c>
      <c r="F87" s="2" t="s">
        <v>92</v>
      </c>
      <c r="G87" s="6" t="s">
        <v>11</v>
      </c>
      <c r="H87" s="70">
        <v>50</v>
      </c>
      <c r="I87" s="72">
        <f>FastenersPriceList[[#This Row],[Quantity (kg)]]/FastenersPriceList[[#This Row],[SINGLE PC. WT.]]</f>
        <v>569.34639034388522</v>
      </c>
      <c r="J87" s="3">
        <v>115</v>
      </c>
      <c r="K87" s="3">
        <f>FastenersPriceList[[#This Row],[1000 PCS/WT.]]*FastenersPriceList[[#This Row],[Rate / PER kg (₹)]]</f>
        <v>10099.299999999999</v>
      </c>
      <c r="L87" s="4">
        <f>FastenersPriceList[[#This Row],[Rate / PER kg (₹)]]*FastenersPriceList[[#This Row],[Quantity (kg)]]</f>
        <v>5750</v>
      </c>
      <c r="M87" s="4"/>
    </row>
    <row r="88" spans="1:13" ht="22.05" customHeight="1" x14ac:dyDescent="0.3">
      <c r="A88" s="2" t="s">
        <v>978</v>
      </c>
      <c r="B88" s="12" t="s">
        <v>8</v>
      </c>
      <c r="C88" s="12" t="s">
        <v>9</v>
      </c>
      <c r="D88" s="2">
        <v>92.22</v>
      </c>
      <c r="E88" s="2">
        <f>FastenersPriceList[[#This Row],[1000 PCS/WT.]]/1000</f>
        <v>9.2219999999999996E-2</v>
      </c>
      <c r="F88" s="2" t="s">
        <v>93</v>
      </c>
      <c r="G88" s="6" t="s">
        <v>11</v>
      </c>
      <c r="H88" s="70">
        <v>50</v>
      </c>
      <c r="I88" s="72">
        <f>FastenersPriceList[[#This Row],[Quantity (kg)]]/FastenersPriceList[[#This Row],[SINGLE PC. WT.]]</f>
        <v>542.18173931901981</v>
      </c>
      <c r="J88" s="3">
        <v>115</v>
      </c>
      <c r="K88" s="3">
        <f>FastenersPriceList[[#This Row],[1000 PCS/WT.]]*FastenersPriceList[[#This Row],[Rate / PER kg (₹)]]</f>
        <v>10605.3</v>
      </c>
      <c r="L88" s="4">
        <f>FastenersPriceList[[#This Row],[Rate / PER kg (₹)]]*FastenersPriceList[[#This Row],[Quantity (kg)]]</f>
        <v>5750</v>
      </c>
      <c r="M88" s="4"/>
    </row>
    <row r="89" spans="1:13" ht="22.05" customHeight="1" x14ac:dyDescent="0.3">
      <c r="A89" s="2" t="s">
        <v>979</v>
      </c>
      <c r="B89" s="12" t="s">
        <v>8</v>
      </c>
      <c r="C89" s="12" t="s">
        <v>9</v>
      </c>
      <c r="D89" s="2">
        <v>96.62</v>
      </c>
      <c r="E89" s="2">
        <f>FastenersPriceList[[#This Row],[1000 PCS/WT.]]/1000</f>
        <v>9.6620000000000011E-2</v>
      </c>
      <c r="F89" s="2" t="s">
        <v>94</v>
      </c>
      <c r="G89" s="6" t="s">
        <v>11</v>
      </c>
      <c r="H89" s="70">
        <v>50</v>
      </c>
      <c r="I89" s="72">
        <f>FastenersPriceList[[#This Row],[Quantity (kg)]]/FastenersPriceList[[#This Row],[SINGLE PC. WT.]]</f>
        <v>517.49120264955491</v>
      </c>
      <c r="J89" s="3">
        <v>115</v>
      </c>
      <c r="K89" s="3">
        <f>FastenersPriceList[[#This Row],[1000 PCS/WT.]]*FastenersPriceList[[#This Row],[Rate / PER kg (₹)]]</f>
        <v>11111.300000000001</v>
      </c>
      <c r="L89" s="4">
        <f>FastenersPriceList[[#This Row],[Rate / PER kg (₹)]]*FastenersPriceList[[#This Row],[Quantity (kg)]]</f>
        <v>5750</v>
      </c>
      <c r="M89" s="4"/>
    </row>
    <row r="90" spans="1:13" ht="22.05" customHeight="1" x14ac:dyDescent="0.3">
      <c r="A90" s="2" t="s">
        <v>1112</v>
      </c>
      <c r="B90" s="12" t="s">
        <v>8</v>
      </c>
      <c r="C90" s="12" t="s">
        <v>9</v>
      </c>
      <c r="D90" s="2">
        <v>101.02</v>
      </c>
      <c r="E90" s="2">
        <f>FastenersPriceList[[#This Row],[1000 PCS/WT.]]/1000</f>
        <v>0.10102</v>
      </c>
      <c r="F90" s="2" t="s">
        <v>95</v>
      </c>
      <c r="G90" s="6" t="s">
        <v>11</v>
      </c>
      <c r="H90" s="70">
        <v>50</v>
      </c>
      <c r="I90" s="72">
        <f>FastenersPriceList[[#This Row],[Quantity (kg)]]/FastenersPriceList[[#This Row],[SINGLE PC. WT.]]</f>
        <v>494.95149475351417</v>
      </c>
      <c r="J90" s="3">
        <v>115</v>
      </c>
      <c r="K90" s="3">
        <f>FastenersPriceList[[#This Row],[1000 PCS/WT.]]*FastenersPriceList[[#This Row],[Rate / PER kg (₹)]]</f>
        <v>11617.3</v>
      </c>
      <c r="L90" s="4">
        <f>FastenersPriceList[[#This Row],[Rate / PER kg (₹)]]*FastenersPriceList[[#This Row],[Quantity (kg)]]</f>
        <v>5750</v>
      </c>
      <c r="M90" s="4"/>
    </row>
    <row r="91" spans="1:13" ht="22.05" customHeight="1" x14ac:dyDescent="0.3">
      <c r="A91" s="2" t="s">
        <v>1113</v>
      </c>
      <c r="B91" s="12" t="s">
        <v>8</v>
      </c>
      <c r="C91" s="12" t="s">
        <v>9</v>
      </c>
      <c r="D91" s="2">
        <v>110</v>
      </c>
      <c r="E91" s="2">
        <f>FastenersPriceList[[#This Row],[1000 PCS/WT.]]/1000</f>
        <v>0.11</v>
      </c>
      <c r="F91" s="2" t="s">
        <v>96</v>
      </c>
      <c r="G91" s="6" t="s">
        <v>11</v>
      </c>
      <c r="H91" s="70">
        <v>50</v>
      </c>
      <c r="I91" s="72">
        <f>FastenersPriceList[[#This Row],[Quantity (kg)]]/FastenersPriceList[[#This Row],[SINGLE PC. WT.]]</f>
        <v>454.54545454545456</v>
      </c>
      <c r="J91" s="3">
        <v>118</v>
      </c>
      <c r="K91" s="3">
        <f>FastenersPriceList[[#This Row],[1000 PCS/WT.]]*FastenersPriceList[[#This Row],[Rate / PER kg (₹)]]</f>
        <v>12980</v>
      </c>
      <c r="L91" s="4">
        <f>FastenersPriceList[[#This Row],[Rate / PER kg (₹)]]*FastenersPriceList[[#This Row],[Quantity (kg)]]</f>
        <v>5900</v>
      </c>
      <c r="M91" s="4"/>
    </row>
    <row r="92" spans="1:13" ht="22.05" customHeight="1" x14ac:dyDescent="0.3">
      <c r="A92" s="2" t="s">
        <v>1114</v>
      </c>
      <c r="B92" s="12" t="s">
        <v>8</v>
      </c>
      <c r="C92" s="12" t="s">
        <v>9</v>
      </c>
      <c r="D92" s="2">
        <v>119</v>
      </c>
      <c r="E92" s="2">
        <f>FastenersPriceList[[#This Row],[1000 PCS/WT.]]/1000</f>
        <v>0.11899999999999999</v>
      </c>
      <c r="F92" s="2" t="s">
        <v>97</v>
      </c>
      <c r="G92" s="6" t="s">
        <v>11</v>
      </c>
      <c r="H92" s="70">
        <v>50</v>
      </c>
      <c r="I92" s="72">
        <f>FastenersPriceList[[#This Row],[Quantity (kg)]]/FastenersPriceList[[#This Row],[SINGLE PC. WT.]]</f>
        <v>420.1680672268908</v>
      </c>
      <c r="J92" s="3">
        <v>118</v>
      </c>
      <c r="K92" s="3">
        <f>FastenersPriceList[[#This Row],[1000 PCS/WT.]]*FastenersPriceList[[#This Row],[Rate / PER kg (₹)]]</f>
        <v>14042</v>
      </c>
      <c r="L92" s="4">
        <f>FastenersPriceList[[#This Row],[Rate / PER kg (₹)]]*FastenersPriceList[[#This Row],[Quantity (kg)]]</f>
        <v>5900</v>
      </c>
      <c r="M92" s="4"/>
    </row>
    <row r="93" spans="1:13" ht="22.05" customHeight="1" x14ac:dyDescent="0.3">
      <c r="A93" s="2" t="s">
        <v>1115</v>
      </c>
      <c r="B93" s="12" t="s">
        <v>8</v>
      </c>
      <c r="C93" s="12" t="s">
        <v>9</v>
      </c>
      <c r="D93" s="2">
        <v>127.8</v>
      </c>
      <c r="E93" s="2">
        <f>FastenersPriceList[[#This Row],[1000 PCS/WT.]]/1000</f>
        <v>0.1278</v>
      </c>
      <c r="F93" s="2" t="s">
        <v>635</v>
      </c>
      <c r="G93" s="6" t="s">
        <v>11</v>
      </c>
      <c r="H93" s="70">
        <v>50</v>
      </c>
      <c r="I93" s="72">
        <f>FastenersPriceList[[#This Row],[Quantity (kg)]]/FastenersPriceList[[#This Row],[SINGLE PC. WT.]]</f>
        <v>391.23630672926447</v>
      </c>
      <c r="J93" s="3">
        <v>118</v>
      </c>
      <c r="K93" s="3">
        <f>FastenersPriceList[[#This Row],[1000 PCS/WT.]]*FastenersPriceList[[#This Row],[Rate / PER kg (₹)]]</f>
        <v>15080.4</v>
      </c>
      <c r="L93" s="4">
        <f>FastenersPriceList[[#This Row],[Rate / PER kg (₹)]]*FastenersPriceList[[#This Row],[Quantity (kg)]]</f>
        <v>5900</v>
      </c>
      <c r="M93" s="4"/>
    </row>
    <row r="94" spans="1:13" ht="22.05" customHeight="1" x14ac:dyDescent="0.3">
      <c r="A94" s="2" t="s">
        <v>1116</v>
      </c>
      <c r="B94" s="12" t="s">
        <v>8</v>
      </c>
      <c r="C94" s="12" t="s">
        <v>9</v>
      </c>
      <c r="D94" s="2">
        <v>136.6</v>
      </c>
      <c r="E94" s="2">
        <f>FastenersPriceList[[#This Row],[1000 PCS/WT.]]/1000</f>
        <v>0.1366</v>
      </c>
      <c r="F94" s="2" t="s">
        <v>98</v>
      </c>
      <c r="G94" s="6" t="s">
        <v>11</v>
      </c>
      <c r="H94" s="70">
        <v>50</v>
      </c>
      <c r="I94" s="72">
        <f>FastenersPriceList[[#This Row],[Quantity (kg)]]/FastenersPriceList[[#This Row],[SINGLE PC. WT.]]</f>
        <v>366.03221083455344</v>
      </c>
      <c r="J94" s="3">
        <v>118</v>
      </c>
      <c r="K94" s="3">
        <f>FastenersPriceList[[#This Row],[1000 PCS/WT.]]*FastenersPriceList[[#This Row],[Rate / PER kg (₹)]]</f>
        <v>16118.8</v>
      </c>
      <c r="L94" s="4">
        <f>FastenersPriceList[[#This Row],[Rate / PER kg (₹)]]*FastenersPriceList[[#This Row],[Quantity (kg)]]</f>
        <v>5900</v>
      </c>
      <c r="M94" s="4"/>
    </row>
    <row r="95" spans="1:13" ht="22.05" customHeight="1" x14ac:dyDescent="0.3">
      <c r="A95" s="2" t="s">
        <v>1117</v>
      </c>
      <c r="B95" s="12" t="s">
        <v>8</v>
      </c>
      <c r="C95" s="12" t="s">
        <v>9</v>
      </c>
      <c r="D95" s="2">
        <v>145.4</v>
      </c>
      <c r="E95" s="2">
        <f>FastenersPriceList[[#This Row],[1000 PCS/WT.]]/1000</f>
        <v>0.1454</v>
      </c>
      <c r="F95" s="2" t="s">
        <v>99</v>
      </c>
      <c r="G95" s="6" t="s">
        <v>11</v>
      </c>
      <c r="H95" s="70">
        <v>50</v>
      </c>
      <c r="I95" s="72">
        <f>FastenersPriceList[[#This Row],[Quantity (kg)]]/FastenersPriceList[[#This Row],[SINGLE PC. WT.]]</f>
        <v>343.87895460797802</v>
      </c>
      <c r="J95" s="3">
        <v>118</v>
      </c>
      <c r="K95" s="3">
        <f>FastenersPriceList[[#This Row],[1000 PCS/WT.]]*FastenersPriceList[[#This Row],[Rate / PER kg (₹)]]</f>
        <v>17157.2</v>
      </c>
      <c r="L95" s="4">
        <f>FastenersPriceList[[#This Row],[Rate / PER kg (₹)]]*FastenersPriceList[[#This Row],[Quantity (kg)]]</f>
        <v>5900</v>
      </c>
      <c r="M95" s="4"/>
    </row>
    <row r="96" spans="1:13" ht="22.05" customHeight="1" x14ac:dyDescent="0.3">
      <c r="A96" s="2" t="s">
        <v>1118</v>
      </c>
      <c r="B96" s="12" t="s">
        <v>8</v>
      </c>
      <c r="C96" s="12" t="s">
        <v>9</v>
      </c>
      <c r="D96" s="2">
        <v>154.19999999999999</v>
      </c>
      <c r="E96" s="2">
        <f>FastenersPriceList[[#This Row],[1000 PCS/WT.]]/1000</f>
        <v>0.15419999999999998</v>
      </c>
      <c r="F96" s="2" t="s">
        <v>100</v>
      </c>
      <c r="G96" s="6" t="s">
        <v>11</v>
      </c>
      <c r="H96" s="70">
        <v>50</v>
      </c>
      <c r="I96" s="72">
        <f>FastenersPriceList[[#This Row],[Quantity (kg)]]/FastenersPriceList[[#This Row],[SINGLE PC. WT.]]</f>
        <v>324.254215304799</v>
      </c>
      <c r="J96" s="3">
        <v>118</v>
      </c>
      <c r="K96" s="3">
        <f>FastenersPriceList[[#This Row],[1000 PCS/WT.]]*FastenersPriceList[[#This Row],[Rate / PER kg (₹)]]</f>
        <v>18195.599999999999</v>
      </c>
      <c r="L96" s="4">
        <f>FastenersPriceList[[#This Row],[Rate / PER kg (₹)]]*FastenersPriceList[[#This Row],[Quantity (kg)]]</f>
        <v>5900</v>
      </c>
      <c r="M96" s="4"/>
    </row>
    <row r="97" spans="1:13" ht="22.05" customHeight="1" x14ac:dyDescent="0.3">
      <c r="A97" s="2" t="s">
        <v>1119</v>
      </c>
      <c r="B97" s="12" t="s">
        <v>8</v>
      </c>
      <c r="C97" s="12" t="s">
        <v>9</v>
      </c>
      <c r="D97" s="2">
        <v>163</v>
      </c>
      <c r="E97" s="2">
        <f>FastenersPriceList[[#This Row],[1000 PCS/WT.]]/1000</f>
        <v>0.16300000000000001</v>
      </c>
      <c r="F97" s="2" t="s">
        <v>101</v>
      </c>
      <c r="G97" s="6" t="s">
        <v>11</v>
      </c>
      <c r="H97" s="70">
        <v>50</v>
      </c>
      <c r="I97" s="72">
        <f>FastenersPriceList[[#This Row],[Quantity (kg)]]/FastenersPriceList[[#This Row],[SINGLE PC. WT.]]</f>
        <v>306.74846625766872</v>
      </c>
      <c r="J97" s="3">
        <v>118</v>
      </c>
      <c r="K97" s="3">
        <f>FastenersPriceList[[#This Row],[1000 PCS/WT.]]*FastenersPriceList[[#This Row],[Rate / PER kg (₹)]]</f>
        <v>19234</v>
      </c>
      <c r="L97" s="4">
        <f>FastenersPriceList[[#This Row],[Rate / PER kg (₹)]]*FastenersPriceList[[#This Row],[Quantity (kg)]]</f>
        <v>5900</v>
      </c>
      <c r="M97" s="4"/>
    </row>
    <row r="98" spans="1:13" ht="22.05" customHeight="1" x14ac:dyDescent="0.3">
      <c r="A98" s="2" t="s">
        <v>1120</v>
      </c>
      <c r="B98" s="12" t="s">
        <v>8</v>
      </c>
      <c r="C98" s="12" t="s">
        <v>9</v>
      </c>
      <c r="D98" s="2">
        <v>172</v>
      </c>
      <c r="E98" s="2">
        <f>FastenersPriceList[[#This Row],[1000 PCS/WT.]]/1000</f>
        <v>0.17199999999999999</v>
      </c>
      <c r="F98" s="2" t="s">
        <v>102</v>
      </c>
      <c r="G98" s="6" t="s">
        <v>11</v>
      </c>
      <c r="H98" s="70">
        <v>50</v>
      </c>
      <c r="I98" s="72">
        <f>FastenersPriceList[[#This Row],[Quantity (kg)]]/FastenersPriceList[[#This Row],[SINGLE PC. WT.]]</f>
        <v>290.69767441860466</v>
      </c>
      <c r="J98" s="3">
        <v>118</v>
      </c>
      <c r="K98" s="3">
        <f>FastenersPriceList[[#This Row],[1000 PCS/WT.]]*FastenersPriceList[[#This Row],[Rate / PER kg (₹)]]</f>
        <v>20296</v>
      </c>
      <c r="L98" s="4">
        <f>FastenersPriceList[[#This Row],[Rate / PER kg (₹)]]*FastenersPriceList[[#This Row],[Quantity (kg)]]</f>
        <v>5900</v>
      </c>
      <c r="M98" s="4"/>
    </row>
    <row r="99" spans="1:13" ht="22.05" customHeight="1" x14ac:dyDescent="0.3">
      <c r="A99" s="2" t="s">
        <v>1121</v>
      </c>
      <c r="B99" s="12" t="s">
        <v>8</v>
      </c>
      <c r="C99" s="12" t="s">
        <v>9</v>
      </c>
      <c r="D99" s="2">
        <v>181</v>
      </c>
      <c r="E99" s="2">
        <f>FastenersPriceList[[#This Row],[1000 PCS/WT.]]/1000</f>
        <v>0.18099999999999999</v>
      </c>
      <c r="F99" s="2" t="s">
        <v>103</v>
      </c>
      <c r="G99" s="6" t="s">
        <v>11</v>
      </c>
      <c r="H99" s="70">
        <v>50</v>
      </c>
      <c r="I99" s="72">
        <f>FastenersPriceList[[#This Row],[Quantity (kg)]]/FastenersPriceList[[#This Row],[SINGLE PC. WT.]]</f>
        <v>276.24309392265195</v>
      </c>
      <c r="J99" s="3">
        <v>118</v>
      </c>
      <c r="K99" s="3">
        <f>FastenersPriceList[[#This Row],[1000 PCS/WT.]]*FastenersPriceList[[#This Row],[Rate / PER kg (₹)]]</f>
        <v>21358</v>
      </c>
      <c r="L99" s="4">
        <f>FastenersPriceList[[#This Row],[Rate / PER kg (₹)]]*FastenersPriceList[[#This Row],[Quantity (kg)]]</f>
        <v>5900</v>
      </c>
      <c r="M99" s="4"/>
    </row>
    <row r="100" spans="1:13" ht="22.05" customHeight="1" x14ac:dyDescent="0.3">
      <c r="A100" s="2" t="s">
        <v>1122</v>
      </c>
      <c r="B100" s="12" t="s">
        <v>8</v>
      </c>
      <c r="C100" s="12" t="s">
        <v>9</v>
      </c>
      <c r="D100" s="2">
        <v>190</v>
      </c>
      <c r="E100" s="2">
        <f>FastenersPriceList[[#This Row],[1000 PCS/WT.]]/1000</f>
        <v>0.19</v>
      </c>
      <c r="F100" s="2" t="s">
        <v>104</v>
      </c>
      <c r="G100" s="6" t="s">
        <v>11</v>
      </c>
      <c r="H100" s="70">
        <v>50</v>
      </c>
      <c r="I100" s="72">
        <f>FastenersPriceList[[#This Row],[Quantity (kg)]]/FastenersPriceList[[#This Row],[SINGLE PC. WT.]]</f>
        <v>263.15789473684208</v>
      </c>
      <c r="J100" s="3">
        <v>118</v>
      </c>
      <c r="K100" s="3">
        <f>FastenersPriceList[[#This Row],[1000 PCS/WT.]]*FastenersPriceList[[#This Row],[Rate / PER kg (₹)]]</f>
        <v>22420</v>
      </c>
      <c r="L100" s="4">
        <f>FastenersPriceList[[#This Row],[Rate / PER kg (₹)]]*FastenersPriceList[[#This Row],[Quantity (kg)]]</f>
        <v>5900</v>
      </c>
      <c r="M100" s="4"/>
    </row>
    <row r="101" spans="1:13" ht="22.05" customHeight="1" x14ac:dyDescent="0.3">
      <c r="A101" s="2" t="s">
        <v>980</v>
      </c>
      <c r="B101" s="12" t="s">
        <v>8</v>
      </c>
      <c r="C101" s="12" t="s">
        <v>9</v>
      </c>
      <c r="D101" s="2">
        <v>53.02</v>
      </c>
      <c r="E101" s="2">
        <f>FastenersPriceList[[#This Row],[1000 PCS/WT.]]/1000</f>
        <v>5.3020000000000005E-2</v>
      </c>
      <c r="F101" s="2" t="s">
        <v>105</v>
      </c>
      <c r="G101" s="6" t="s">
        <v>11</v>
      </c>
      <c r="H101" s="70">
        <v>50</v>
      </c>
      <c r="I101" s="72">
        <f>FastenersPriceList[[#This Row],[Quantity (kg)]]/FastenersPriceList[[#This Row],[SINGLE PC. WT.]]</f>
        <v>943.04036212749895</v>
      </c>
      <c r="J101" s="3">
        <v>100</v>
      </c>
      <c r="K101" s="3">
        <f>FastenersPriceList[[#This Row],[1000 PCS/WT.]]*FastenersPriceList[[#This Row],[Rate / PER kg (₹)]]</f>
        <v>5302</v>
      </c>
      <c r="L101" s="4">
        <f>FastenersPriceList[[#This Row],[Rate / PER kg (₹)]]*FastenersPriceList[[#This Row],[Quantity (kg)]]</f>
        <v>5000</v>
      </c>
      <c r="M101" s="4"/>
    </row>
    <row r="102" spans="1:13" ht="22.05" customHeight="1" x14ac:dyDescent="0.3">
      <c r="A102" s="2" t="s">
        <v>981</v>
      </c>
      <c r="B102" s="12" t="s">
        <v>8</v>
      </c>
      <c r="C102" s="12" t="s">
        <v>9</v>
      </c>
      <c r="D102" s="2">
        <v>57.94</v>
      </c>
      <c r="E102" s="2">
        <f>FastenersPriceList[[#This Row],[1000 PCS/WT.]]/1000</f>
        <v>5.7939999999999998E-2</v>
      </c>
      <c r="F102" s="2" t="s">
        <v>106</v>
      </c>
      <c r="G102" s="6" t="s">
        <v>11</v>
      </c>
      <c r="H102" s="70">
        <v>50</v>
      </c>
      <c r="I102" s="72">
        <f>FastenersPriceList[[#This Row],[Quantity (kg)]]/FastenersPriceList[[#This Row],[SINGLE PC. WT.]]</f>
        <v>862.9616845012082</v>
      </c>
      <c r="J102" s="3">
        <v>100</v>
      </c>
      <c r="K102" s="3">
        <f>FastenersPriceList[[#This Row],[1000 PCS/WT.]]*FastenersPriceList[[#This Row],[Rate / PER kg (₹)]]</f>
        <v>5794</v>
      </c>
      <c r="L102" s="4">
        <f>FastenersPriceList[[#This Row],[Rate / PER kg (₹)]]*FastenersPriceList[[#This Row],[Quantity (kg)]]</f>
        <v>5000</v>
      </c>
      <c r="M102" s="4"/>
    </row>
    <row r="103" spans="1:13" ht="22.05" customHeight="1" x14ac:dyDescent="0.3">
      <c r="A103" s="2" t="s">
        <v>982</v>
      </c>
      <c r="B103" s="12" t="s">
        <v>8</v>
      </c>
      <c r="C103" s="12" t="s">
        <v>9</v>
      </c>
      <c r="D103" s="2">
        <v>62.97</v>
      </c>
      <c r="E103" s="2">
        <f>FastenersPriceList[[#This Row],[1000 PCS/WT.]]/1000</f>
        <v>6.2969999999999998E-2</v>
      </c>
      <c r="F103" s="2" t="s">
        <v>107</v>
      </c>
      <c r="G103" s="6" t="s">
        <v>11</v>
      </c>
      <c r="H103" s="70">
        <v>50</v>
      </c>
      <c r="I103" s="72">
        <f>FastenersPriceList[[#This Row],[Quantity (kg)]]/FastenersPriceList[[#This Row],[SINGLE PC. WT.]]</f>
        <v>794.02890265205656</v>
      </c>
      <c r="J103" s="3">
        <v>100</v>
      </c>
      <c r="K103" s="3">
        <f>FastenersPriceList[[#This Row],[1000 PCS/WT.]]*FastenersPriceList[[#This Row],[Rate / PER kg (₹)]]</f>
        <v>6297</v>
      </c>
      <c r="L103" s="4">
        <f>FastenersPriceList[[#This Row],[Rate / PER kg (₹)]]*FastenersPriceList[[#This Row],[Quantity (kg)]]</f>
        <v>5000</v>
      </c>
      <c r="M103" s="4"/>
    </row>
    <row r="104" spans="1:13" ht="22.05" customHeight="1" x14ac:dyDescent="0.3">
      <c r="A104" s="2" t="s">
        <v>983</v>
      </c>
      <c r="B104" s="12" t="s">
        <v>8</v>
      </c>
      <c r="C104" s="12" t="s">
        <v>9</v>
      </c>
      <c r="D104" s="2">
        <v>67.930000000000007</v>
      </c>
      <c r="E104" s="2">
        <f>FastenersPriceList[[#This Row],[1000 PCS/WT.]]/1000</f>
        <v>6.7930000000000004E-2</v>
      </c>
      <c r="F104" s="2" t="s">
        <v>108</v>
      </c>
      <c r="G104" s="6" t="s">
        <v>11</v>
      </c>
      <c r="H104" s="70">
        <v>50</v>
      </c>
      <c r="I104" s="72">
        <f>FastenersPriceList[[#This Row],[Quantity (kg)]]/FastenersPriceList[[#This Row],[SINGLE PC. WT.]]</f>
        <v>736.05181804799054</v>
      </c>
      <c r="J104" s="3">
        <v>100</v>
      </c>
      <c r="K104" s="3">
        <f>FastenersPriceList[[#This Row],[1000 PCS/WT.]]*FastenersPriceList[[#This Row],[Rate / PER kg (₹)]]</f>
        <v>6793.0000000000009</v>
      </c>
      <c r="L104" s="4">
        <f>FastenersPriceList[[#This Row],[Rate / PER kg (₹)]]*FastenersPriceList[[#This Row],[Quantity (kg)]]</f>
        <v>5000</v>
      </c>
      <c r="M104" s="4"/>
    </row>
    <row r="105" spans="1:13" ht="22.05" customHeight="1" x14ac:dyDescent="0.3">
      <c r="A105" s="2" t="s">
        <v>984</v>
      </c>
      <c r="B105" s="12" t="s">
        <v>8</v>
      </c>
      <c r="C105" s="12" t="s">
        <v>9</v>
      </c>
      <c r="D105" s="2">
        <v>72.97</v>
      </c>
      <c r="E105" s="2">
        <f>FastenersPriceList[[#This Row],[1000 PCS/WT.]]/1000</f>
        <v>7.2969999999999993E-2</v>
      </c>
      <c r="F105" s="2" t="s">
        <v>109</v>
      </c>
      <c r="G105" s="6" t="s">
        <v>11</v>
      </c>
      <c r="H105" s="70">
        <v>50</v>
      </c>
      <c r="I105" s="72">
        <f>FastenersPriceList[[#This Row],[Quantity (kg)]]/FastenersPriceList[[#This Row],[SINGLE PC. WT.]]</f>
        <v>685.21310127449647</v>
      </c>
      <c r="J105" s="3">
        <v>100</v>
      </c>
      <c r="K105" s="3">
        <f>FastenersPriceList[[#This Row],[1000 PCS/WT.]]*FastenersPriceList[[#This Row],[Rate / PER kg (₹)]]</f>
        <v>7297</v>
      </c>
      <c r="L105" s="4">
        <f>FastenersPriceList[[#This Row],[Rate / PER kg (₹)]]*FastenersPriceList[[#This Row],[Quantity (kg)]]</f>
        <v>5000</v>
      </c>
      <c r="M105" s="4"/>
    </row>
    <row r="106" spans="1:13" ht="22.05" customHeight="1" x14ac:dyDescent="0.3">
      <c r="A106" s="2" t="s">
        <v>985</v>
      </c>
      <c r="B106" s="12" t="s">
        <v>8</v>
      </c>
      <c r="C106" s="12" t="s">
        <v>9</v>
      </c>
      <c r="D106" s="2">
        <v>78.010000000000005</v>
      </c>
      <c r="E106" s="2">
        <f>FastenersPriceList[[#This Row],[1000 PCS/WT.]]/1000</f>
        <v>7.801000000000001E-2</v>
      </c>
      <c r="F106" s="2" t="s">
        <v>110</v>
      </c>
      <c r="G106" s="6" t="s">
        <v>11</v>
      </c>
      <c r="H106" s="70">
        <v>50</v>
      </c>
      <c r="I106" s="72">
        <f>FastenersPriceList[[#This Row],[Quantity (kg)]]/FastenersPriceList[[#This Row],[SINGLE PC. WT.]]</f>
        <v>640.94346878605302</v>
      </c>
      <c r="J106" s="3">
        <v>100</v>
      </c>
      <c r="K106" s="3">
        <f>FastenersPriceList[[#This Row],[1000 PCS/WT.]]*FastenersPriceList[[#This Row],[Rate / PER kg (₹)]]</f>
        <v>7801.0000000000009</v>
      </c>
      <c r="L106" s="4">
        <f>FastenersPriceList[[#This Row],[Rate / PER kg (₹)]]*FastenersPriceList[[#This Row],[Quantity (kg)]]</f>
        <v>5000</v>
      </c>
      <c r="M106" s="4"/>
    </row>
    <row r="107" spans="1:13" ht="22.05" customHeight="1" x14ac:dyDescent="0.3">
      <c r="A107" s="2" t="s">
        <v>986</v>
      </c>
      <c r="B107" s="12" t="s">
        <v>8</v>
      </c>
      <c r="C107" s="12" t="s">
        <v>9</v>
      </c>
      <c r="D107" s="2">
        <v>83.05</v>
      </c>
      <c r="E107" s="2">
        <f>FastenersPriceList[[#This Row],[1000 PCS/WT.]]/1000</f>
        <v>8.3049999999999999E-2</v>
      </c>
      <c r="F107" s="2" t="s">
        <v>111</v>
      </c>
      <c r="G107" s="6" t="s">
        <v>11</v>
      </c>
      <c r="H107" s="70">
        <v>50</v>
      </c>
      <c r="I107" s="72">
        <f>FastenersPriceList[[#This Row],[Quantity (kg)]]/FastenersPriceList[[#This Row],[SINGLE PC. WT.]]</f>
        <v>602.04695966285374</v>
      </c>
      <c r="J107" s="3">
        <v>99</v>
      </c>
      <c r="K107" s="3">
        <f>FastenersPriceList[[#This Row],[1000 PCS/WT.]]*FastenersPriceList[[#This Row],[Rate / PER kg (₹)]]</f>
        <v>8221.9499999999989</v>
      </c>
      <c r="L107" s="4">
        <f>FastenersPriceList[[#This Row],[Rate / PER kg (₹)]]*FastenersPriceList[[#This Row],[Quantity (kg)]]</f>
        <v>4950</v>
      </c>
      <c r="M107" s="4"/>
    </row>
    <row r="108" spans="1:13" ht="22.05" customHeight="1" x14ac:dyDescent="0.3">
      <c r="A108" s="2" t="s">
        <v>987</v>
      </c>
      <c r="B108" s="12" t="s">
        <v>8</v>
      </c>
      <c r="C108" s="12" t="s">
        <v>9</v>
      </c>
      <c r="D108" s="2">
        <v>88.09</v>
      </c>
      <c r="E108" s="2">
        <f>FastenersPriceList[[#This Row],[1000 PCS/WT.]]/1000</f>
        <v>8.8090000000000002E-2</v>
      </c>
      <c r="F108" s="2" t="s">
        <v>112</v>
      </c>
      <c r="G108" s="6" t="s">
        <v>11</v>
      </c>
      <c r="H108" s="70">
        <v>50</v>
      </c>
      <c r="I108" s="72">
        <f>FastenersPriceList[[#This Row],[Quantity (kg)]]/FastenersPriceList[[#This Row],[SINGLE PC. WT.]]</f>
        <v>567.60131683505506</v>
      </c>
      <c r="J108" s="3">
        <v>99</v>
      </c>
      <c r="K108" s="3">
        <f>FastenersPriceList[[#This Row],[1000 PCS/WT.]]*FastenersPriceList[[#This Row],[Rate / PER kg (₹)]]</f>
        <v>8720.91</v>
      </c>
      <c r="L108" s="4">
        <f>FastenersPriceList[[#This Row],[Rate / PER kg (₹)]]*FastenersPriceList[[#This Row],[Quantity (kg)]]</f>
        <v>4950</v>
      </c>
      <c r="M108" s="4"/>
    </row>
    <row r="109" spans="1:13" ht="22.05" customHeight="1" x14ac:dyDescent="0.3">
      <c r="A109" s="2" t="s">
        <v>988</v>
      </c>
      <c r="B109" s="12" t="s">
        <v>8</v>
      </c>
      <c r="C109" s="12" t="s">
        <v>9</v>
      </c>
      <c r="D109" s="2">
        <v>93.13</v>
      </c>
      <c r="E109" s="2">
        <f>FastenersPriceList[[#This Row],[1000 PCS/WT.]]/1000</f>
        <v>9.3129999999999991E-2</v>
      </c>
      <c r="F109" s="2" t="s">
        <v>113</v>
      </c>
      <c r="G109" s="6" t="s">
        <v>11</v>
      </c>
      <c r="H109" s="70">
        <v>50</v>
      </c>
      <c r="I109" s="72">
        <f>FastenersPriceList[[#This Row],[Quantity (kg)]]/FastenersPriceList[[#This Row],[SINGLE PC. WT.]]</f>
        <v>536.88392569526479</v>
      </c>
      <c r="J109" s="3">
        <v>99</v>
      </c>
      <c r="K109" s="3">
        <f>FastenersPriceList[[#This Row],[1000 PCS/WT.]]*FastenersPriceList[[#This Row],[Rate / PER kg (₹)]]</f>
        <v>9219.869999999999</v>
      </c>
      <c r="L109" s="4">
        <f>FastenersPriceList[[#This Row],[Rate / PER kg (₹)]]*FastenersPriceList[[#This Row],[Quantity (kg)]]</f>
        <v>4950</v>
      </c>
      <c r="M109" s="4"/>
    </row>
    <row r="110" spans="1:13" ht="22.05" customHeight="1" x14ac:dyDescent="0.3">
      <c r="A110" s="2" t="s">
        <v>989</v>
      </c>
      <c r="B110" s="12" t="s">
        <v>8</v>
      </c>
      <c r="C110" s="12" t="s">
        <v>9</v>
      </c>
      <c r="D110" s="2">
        <v>98.17</v>
      </c>
      <c r="E110" s="2">
        <f>FastenersPriceList[[#This Row],[1000 PCS/WT.]]/1000</f>
        <v>9.8170000000000007E-2</v>
      </c>
      <c r="F110" s="2" t="s">
        <v>114</v>
      </c>
      <c r="G110" s="6" t="s">
        <v>11</v>
      </c>
      <c r="H110" s="70">
        <v>50</v>
      </c>
      <c r="I110" s="72">
        <f>FastenersPriceList[[#This Row],[Quantity (kg)]]/FastenersPriceList[[#This Row],[SINGLE PC. WT.]]</f>
        <v>509.32056636446976</v>
      </c>
      <c r="J110" s="3">
        <v>99</v>
      </c>
      <c r="K110" s="3">
        <f>FastenersPriceList[[#This Row],[1000 PCS/WT.]]*FastenersPriceList[[#This Row],[Rate / PER kg (₹)]]</f>
        <v>9718.83</v>
      </c>
      <c r="L110" s="4">
        <f>FastenersPriceList[[#This Row],[Rate / PER kg (₹)]]*FastenersPriceList[[#This Row],[Quantity (kg)]]</f>
        <v>4950</v>
      </c>
      <c r="M110" s="4"/>
    </row>
    <row r="111" spans="1:13" ht="22.05" customHeight="1" x14ac:dyDescent="0.3">
      <c r="A111" s="2" t="s">
        <v>990</v>
      </c>
      <c r="B111" s="12" t="s">
        <v>8</v>
      </c>
      <c r="C111" s="12" t="s">
        <v>9</v>
      </c>
      <c r="D111" s="2">
        <v>103.21</v>
      </c>
      <c r="E111" s="2">
        <f>FastenersPriceList[[#This Row],[1000 PCS/WT.]]/1000</f>
        <v>0.10321</v>
      </c>
      <c r="F111" s="2" t="s">
        <v>115</v>
      </c>
      <c r="G111" s="6" t="s">
        <v>11</v>
      </c>
      <c r="H111" s="70">
        <v>50</v>
      </c>
      <c r="I111" s="72">
        <f>FastenersPriceList[[#This Row],[Quantity (kg)]]/FastenersPriceList[[#This Row],[SINGLE PC. WT.]]</f>
        <v>484.44918128088364</v>
      </c>
      <c r="J111" s="3">
        <v>99</v>
      </c>
      <c r="K111" s="3">
        <f>FastenersPriceList[[#This Row],[1000 PCS/WT.]]*FastenersPriceList[[#This Row],[Rate / PER kg (₹)]]</f>
        <v>10217.789999999999</v>
      </c>
      <c r="L111" s="4">
        <f>FastenersPriceList[[#This Row],[Rate / PER kg (₹)]]*FastenersPriceList[[#This Row],[Quantity (kg)]]</f>
        <v>4950</v>
      </c>
      <c r="M111" s="4"/>
    </row>
    <row r="112" spans="1:13" ht="22.05" customHeight="1" x14ac:dyDescent="0.3">
      <c r="A112" s="2" t="s">
        <v>991</v>
      </c>
      <c r="B112" s="12" t="s">
        <v>8</v>
      </c>
      <c r="C112" s="12" t="s">
        <v>9</v>
      </c>
      <c r="D112" s="2">
        <v>108.25</v>
      </c>
      <c r="E112" s="2">
        <f>FastenersPriceList[[#This Row],[1000 PCS/WT.]]/1000</f>
        <v>0.10825</v>
      </c>
      <c r="F112" s="2" t="s">
        <v>116</v>
      </c>
      <c r="G112" s="6" t="s">
        <v>11</v>
      </c>
      <c r="H112" s="70">
        <v>50</v>
      </c>
      <c r="I112" s="72">
        <f>FastenersPriceList[[#This Row],[Quantity (kg)]]/FastenersPriceList[[#This Row],[SINGLE PC. WT.]]</f>
        <v>461.89376443418013</v>
      </c>
      <c r="J112" s="3">
        <v>99</v>
      </c>
      <c r="K112" s="3">
        <f>FastenersPriceList[[#This Row],[1000 PCS/WT.]]*FastenersPriceList[[#This Row],[Rate / PER kg (₹)]]</f>
        <v>10716.75</v>
      </c>
      <c r="L112" s="4">
        <f>FastenersPriceList[[#This Row],[Rate / PER kg (₹)]]*FastenersPriceList[[#This Row],[Quantity (kg)]]</f>
        <v>4950</v>
      </c>
      <c r="M112" s="4"/>
    </row>
    <row r="113" spans="1:13" ht="22.05" customHeight="1" x14ac:dyDescent="0.3">
      <c r="A113" s="2" t="s">
        <v>992</v>
      </c>
      <c r="B113" s="12" t="s">
        <v>8</v>
      </c>
      <c r="C113" s="12" t="s">
        <v>9</v>
      </c>
      <c r="D113" s="2">
        <v>113.29</v>
      </c>
      <c r="E113" s="2">
        <f>FastenersPriceList[[#This Row],[1000 PCS/WT.]]/1000</f>
        <v>0.11329</v>
      </c>
      <c r="F113" s="2" t="s">
        <v>117</v>
      </c>
      <c r="G113" s="6" t="s">
        <v>11</v>
      </c>
      <c r="H113" s="70">
        <v>50</v>
      </c>
      <c r="I113" s="72">
        <f>FastenersPriceList[[#This Row],[Quantity (kg)]]/FastenersPriceList[[#This Row],[SINGLE PC. WT.]]</f>
        <v>441.34522023126488</v>
      </c>
      <c r="J113" s="3">
        <v>102</v>
      </c>
      <c r="K113" s="3">
        <f>FastenersPriceList[[#This Row],[1000 PCS/WT.]]*FastenersPriceList[[#This Row],[Rate / PER kg (₹)]]</f>
        <v>11555.58</v>
      </c>
      <c r="L113" s="4">
        <f>FastenersPriceList[[#This Row],[Rate / PER kg (₹)]]*FastenersPriceList[[#This Row],[Quantity (kg)]]</f>
        <v>5100</v>
      </c>
      <c r="M113" s="4"/>
    </row>
    <row r="114" spans="1:13" ht="22.05" customHeight="1" x14ac:dyDescent="0.3">
      <c r="A114" s="2" t="s">
        <v>993</v>
      </c>
      <c r="B114" s="12" t="s">
        <v>8</v>
      </c>
      <c r="C114" s="12" t="s">
        <v>9</v>
      </c>
      <c r="D114" s="2">
        <v>118.33</v>
      </c>
      <c r="E114" s="2">
        <f>FastenersPriceList[[#This Row],[1000 PCS/WT.]]/1000</f>
        <v>0.11833</v>
      </c>
      <c r="F114" s="2" t="s">
        <v>118</v>
      </c>
      <c r="G114" s="6" t="s">
        <v>11</v>
      </c>
      <c r="H114" s="70">
        <v>50</v>
      </c>
      <c r="I114" s="72">
        <f>FastenersPriceList[[#This Row],[Quantity (kg)]]/FastenersPriceList[[#This Row],[SINGLE PC. WT.]]</f>
        <v>422.54711400321133</v>
      </c>
      <c r="J114" s="3">
        <v>102</v>
      </c>
      <c r="K114" s="3">
        <f>FastenersPriceList[[#This Row],[1000 PCS/WT.]]*FastenersPriceList[[#This Row],[Rate / PER kg (₹)]]</f>
        <v>12069.66</v>
      </c>
      <c r="L114" s="4">
        <f>FastenersPriceList[[#This Row],[Rate / PER kg (₹)]]*FastenersPriceList[[#This Row],[Quantity (kg)]]</f>
        <v>5100</v>
      </c>
      <c r="M114" s="4"/>
    </row>
    <row r="115" spans="1:13" ht="22.05" customHeight="1" x14ac:dyDescent="0.3">
      <c r="A115" s="2" t="s">
        <v>994</v>
      </c>
      <c r="B115" s="12" t="s">
        <v>8</v>
      </c>
      <c r="C115" s="12" t="s">
        <v>9</v>
      </c>
      <c r="D115" s="2">
        <v>123.37</v>
      </c>
      <c r="E115" s="2">
        <f>FastenersPriceList[[#This Row],[1000 PCS/WT.]]/1000</f>
        <v>0.12337000000000001</v>
      </c>
      <c r="F115" s="2" t="s">
        <v>119</v>
      </c>
      <c r="G115" s="6" t="s">
        <v>11</v>
      </c>
      <c r="H115" s="70">
        <v>50</v>
      </c>
      <c r="I115" s="72">
        <f>FastenersPriceList[[#This Row],[Quantity (kg)]]/FastenersPriceList[[#This Row],[SINGLE PC. WT.]]</f>
        <v>405.28491529545266</v>
      </c>
      <c r="J115" s="3">
        <v>102</v>
      </c>
      <c r="K115" s="3">
        <f>FastenersPriceList[[#This Row],[1000 PCS/WT.]]*FastenersPriceList[[#This Row],[Rate / PER kg (₹)]]</f>
        <v>12583.74</v>
      </c>
      <c r="L115" s="4">
        <f>FastenersPriceList[[#This Row],[Rate / PER kg (₹)]]*FastenersPriceList[[#This Row],[Quantity (kg)]]</f>
        <v>5100</v>
      </c>
      <c r="M115" s="4"/>
    </row>
    <row r="116" spans="1:13" ht="22.05" customHeight="1" x14ac:dyDescent="0.3">
      <c r="A116" s="2" t="s">
        <v>1123</v>
      </c>
      <c r="B116" s="12" t="s">
        <v>8</v>
      </c>
      <c r="C116" s="12" t="s">
        <v>9</v>
      </c>
      <c r="D116" s="2">
        <v>128.41</v>
      </c>
      <c r="E116" s="2">
        <f>FastenersPriceList[[#This Row],[1000 PCS/WT.]]/1000</f>
        <v>0.12841</v>
      </c>
      <c r="F116" s="2" t="s">
        <v>120</v>
      </c>
      <c r="G116" s="6" t="s">
        <v>11</v>
      </c>
      <c r="H116" s="70">
        <v>50</v>
      </c>
      <c r="I116" s="72">
        <f>FastenersPriceList[[#This Row],[Quantity (kg)]]/FastenersPriceList[[#This Row],[SINGLE PC. WT.]]</f>
        <v>389.37777431664199</v>
      </c>
      <c r="J116" s="3">
        <v>102</v>
      </c>
      <c r="K116" s="3">
        <f>FastenersPriceList[[#This Row],[1000 PCS/WT.]]*FastenersPriceList[[#This Row],[Rate / PER kg (₹)]]</f>
        <v>13097.82</v>
      </c>
      <c r="L116" s="4">
        <f>FastenersPriceList[[#This Row],[Rate / PER kg (₹)]]*FastenersPriceList[[#This Row],[Quantity (kg)]]</f>
        <v>5100</v>
      </c>
      <c r="M116" s="4"/>
    </row>
    <row r="117" spans="1:13" ht="22.05" customHeight="1" x14ac:dyDescent="0.3">
      <c r="A117" s="2" t="s">
        <v>1124</v>
      </c>
      <c r="B117" s="12" t="s">
        <v>8</v>
      </c>
      <c r="C117" s="12" t="s">
        <v>9</v>
      </c>
      <c r="D117" s="2">
        <v>138.49</v>
      </c>
      <c r="E117" s="2">
        <f>FastenersPriceList[[#This Row],[1000 PCS/WT.]]/1000</f>
        <v>0.13849</v>
      </c>
      <c r="F117" s="2" t="s">
        <v>121</v>
      </c>
      <c r="G117" s="6" t="s">
        <v>11</v>
      </c>
      <c r="H117" s="70">
        <v>50</v>
      </c>
      <c r="I117" s="72">
        <f>FastenersPriceList[[#This Row],[Quantity (kg)]]/FastenersPriceList[[#This Row],[SINGLE PC. WT.]]</f>
        <v>361.03689797097263</v>
      </c>
      <c r="J117" s="3">
        <v>105</v>
      </c>
      <c r="K117" s="3">
        <f>FastenersPriceList[[#This Row],[1000 PCS/WT.]]*FastenersPriceList[[#This Row],[Rate / PER kg (₹)]]</f>
        <v>14541.45</v>
      </c>
      <c r="L117" s="4">
        <f>FastenersPriceList[[#This Row],[Rate / PER kg (₹)]]*FastenersPriceList[[#This Row],[Quantity (kg)]]</f>
        <v>5250</v>
      </c>
      <c r="M117" s="4"/>
    </row>
    <row r="118" spans="1:13" ht="22.05" customHeight="1" x14ac:dyDescent="0.3">
      <c r="A118" s="2" t="s">
        <v>1125</v>
      </c>
      <c r="B118" s="12" t="s">
        <v>8</v>
      </c>
      <c r="C118" s="12" t="s">
        <v>9</v>
      </c>
      <c r="D118" s="2">
        <v>148.57</v>
      </c>
      <c r="E118" s="2">
        <f>FastenersPriceList[[#This Row],[1000 PCS/WT.]]/1000</f>
        <v>0.14856999999999998</v>
      </c>
      <c r="F118" s="2" t="s">
        <v>122</v>
      </c>
      <c r="G118" s="6" t="s">
        <v>11</v>
      </c>
      <c r="H118" s="70">
        <v>50</v>
      </c>
      <c r="I118" s="72">
        <f>FastenersPriceList[[#This Row],[Quantity (kg)]]/FastenersPriceList[[#This Row],[SINGLE PC. WT.]]</f>
        <v>336.5416975163223</v>
      </c>
      <c r="J118" s="3">
        <v>105</v>
      </c>
      <c r="K118" s="3">
        <f>FastenersPriceList[[#This Row],[1000 PCS/WT.]]*FastenersPriceList[[#This Row],[Rate / PER kg (₹)]]</f>
        <v>15599.849999999999</v>
      </c>
      <c r="L118" s="4">
        <f>FastenersPriceList[[#This Row],[Rate / PER kg (₹)]]*FastenersPriceList[[#This Row],[Quantity (kg)]]</f>
        <v>5250</v>
      </c>
      <c r="M118" s="4"/>
    </row>
    <row r="119" spans="1:13" ht="22.05" customHeight="1" x14ac:dyDescent="0.3">
      <c r="A119" s="2" t="s">
        <v>1327</v>
      </c>
      <c r="B119" s="12" t="s">
        <v>8</v>
      </c>
      <c r="C119" s="12" t="s">
        <v>9</v>
      </c>
      <c r="D119" s="2">
        <v>158.65</v>
      </c>
      <c r="E119" s="2">
        <f>FastenersPriceList[[#This Row],[1000 PCS/WT.]]/1000</f>
        <v>0.15865000000000001</v>
      </c>
      <c r="F119" s="2" t="s">
        <v>1326</v>
      </c>
      <c r="G119" s="6" t="s">
        <v>11</v>
      </c>
      <c r="H119" s="70">
        <v>50</v>
      </c>
      <c r="I119" s="72">
        <f>FastenersPriceList[[#This Row],[Quantity (kg)]]/FastenersPriceList[[#This Row],[SINGLE PC. WT.]]</f>
        <v>315.15915537346359</v>
      </c>
      <c r="J119" s="3">
        <v>105</v>
      </c>
      <c r="K119" s="3">
        <f>FastenersPriceList[[#This Row],[1000 PCS/WT.]]*FastenersPriceList[[#This Row],[Rate / PER kg (₹)]]</f>
        <v>16658.25</v>
      </c>
      <c r="L119" s="4">
        <f>FastenersPriceList[[#This Row],[Rate / PER kg (₹)]]*FastenersPriceList[[#This Row],[Quantity (kg)]]</f>
        <v>5250</v>
      </c>
      <c r="M119" s="4"/>
    </row>
    <row r="120" spans="1:13" ht="22.05" customHeight="1" x14ac:dyDescent="0.3">
      <c r="A120" s="2" t="s">
        <v>1126</v>
      </c>
      <c r="B120" s="12" t="s">
        <v>8</v>
      </c>
      <c r="C120" s="12" t="s">
        <v>9</v>
      </c>
      <c r="D120" s="2">
        <v>168.73</v>
      </c>
      <c r="E120" s="2">
        <f>FastenersPriceList[[#This Row],[1000 PCS/WT.]]/1000</f>
        <v>0.16872999999999999</v>
      </c>
      <c r="F120" s="2" t="s">
        <v>123</v>
      </c>
      <c r="G120" s="6" t="s">
        <v>11</v>
      </c>
      <c r="H120" s="70">
        <v>50</v>
      </c>
      <c r="I120" s="72">
        <f>FastenersPriceList[[#This Row],[Quantity (kg)]]/FastenersPriceList[[#This Row],[SINGLE PC. WT.]]</f>
        <v>296.33141705683636</v>
      </c>
      <c r="J120" s="3">
        <v>105</v>
      </c>
      <c r="K120" s="3">
        <f>FastenersPriceList[[#This Row],[1000 PCS/WT.]]*FastenersPriceList[[#This Row],[Rate / PER kg (₹)]]</f>
        <v>17716.649999999998</v>
      </c>
      <c r="L120" s="4">
        <f>FastenersPriceList[[#This Row],[Rate / PER kg (₹)]]*FastenersPriceList[[#This Row],[Quantity (kg)]]</f>
        <v>5250</v>
      </c>
      <c r="M120" s="4"/>
    </row>
    <row r="121" spans="1:13" ht="22.05" customHeight="1" x14ac:dyDescent="0.3">
      <c r="A121" s="2" t="s">
        <v>1127</v>
      </c>
      <c r="B121" s="12" t="s">
        <v>8</v>
      </c>
      <c r="C121" s="12" t="s">
        <v>9</v>
      </c>
      <c r="D121" s="2">
        <v>178.81</v>
      </c>
      <c r="E121" s="2">
        <f>FastenersPriceList[[#This Row],[1000 PCS/WT.]]/1000</f>
        <v>0.17881</v>
      </c>
      <c r="F121" s="2" t="s">
        <v>124</v>
      </c>
      <c r="G121" s="6" t="s">
        <v>11</v>
      </c>
      <c r="H121" s="70">
        <v>50</v>
      </c>
      <c r="I121" s="72">
        <f>FastenersPriceList[[#This Row],[Quantity (kg)]]/FastenersPriceList[[#This Row],[SINGLE PC. WT.]]</f>
        <v>279.62641910407694</v>
      </c>
      <c r="J121" s="3">
        <v>105</v>
      </c>
      <c r="K121" s="3">
        <f>FastenersPriceList[[#This Row],[1000 PCS/WT.]]*FastenersPriceList[[#This Row],[Rate / PER kg (₹)]]</f>
        <v>18775.05</v>
      </c>
      <c r="L121" s="4">
        <f>FastenersPriceList[[#This Row],[Rate / PER kg (₹)]]*FastenersPriceList[[#This Row],[Quantity (kg)]]</f>
        <v>5250</v>
      </c>
      <c r="M121" s="4"/>
    </row>
    <row r="122" spans="1:13" ht="22.05" customHeight="1" x14ac:dyDescent="0.3">
      <c r="A122" s="2" t="s">
        <v>1128</v>
      </c>
      <c r="B122" s="12" t="s">
        <v>8</v>
      </c>
      <c r="C122" s="12" t="s">
        <v>9</v>
      </c>
      <c r="D122" s="2">
        <v>188.89</v>
      </c>
      <c r="E122" s="2">
        <f>FastenersPriceList[[#This Row],[1000 PCS/WT.]]/1000</f>
        <v>0.18888999999999997</v>
      </c>
      <c r="F122" s="2" t="s">
        <v>125</v>
      </c>
      <c r="G122" s="6" t="s">
        <v>11</v>
      </c>
      <c r="H122" s="70">
        <v>50</v>
      </c>
      <c r="I122" s="72">
        <f>FastenersPriceList[[#This Row],[Quantity (kg)]]/FastenersPriceList[[#This Row],[SINGLE PC. WT.]]</f>
        <v>264.70432526867495</v>
      </c>
      <c r="J122" s="3">
        <v>105</v>
      </c>
      <c r="K122" s="3">
        <f>FastenersPriceList[[#This Row],[1000 PCS/WT.]]*FastenersPriceList[[#This Row],[Rate / PER kg (₹)]]</f>
        <v>19833.449999999997</v>
      </c>
      <c r="L122" s="4">
        <f>FastenersPriceList[[#This Row],[Rate / PER kg (₹)]]*FastenersPriceList[[#This Row],[Quantity (kg)]]</f>
        <v>5250</v>
      </c>
      <c r="M122" s="4"/>
    </row>
    <row r="123" spans="1:13" ht="22.05" customHeight="1" x14ac:dyDescent="0.3">
      <c r="A123" s="2" t="s">
        <v>1129</v>
      </c>
      <c r="B123" s="12" t="s">
        <v>8</v>
      </c>
      <c r="C123" s="12" t="s">
        <v>9</v>
      </c>
      <c r="D123" s="2">
        <v>198.97</v>
      </c>
      <c r="E123" s="2">
        <f>FastenersPriceList[[#This Row],[1000 PCS/WT.]]/1000</f>
        <v>0.19897000000000001</v>
      </c>
      <c r="F123" s="2" t="s">
        <v>126</v>
      </c>
      <c r="G123" s="6" t="s">
        <v>11</v>
      </c>
      <c r="H123" s="70">
        <v>50</v>
      </c>
      <c r="I123" s="72">
        <f>FastenersPriceList[[#This Row],[Quantity (kg)]]/FastenersPriceList[[#This Row],[SINGLE PC. WT.]]</f>
        <v>251.29416494948987</v>
      </c>
      <c r="J123" s="3">
        <v>105</v>
      </c>
      <c r="K123" s="3">
        <f>FastenersPriceList[[#This Row],[1000 PCS/WT.]]*FastenersPriceList[[#This Row],[Rate / PER kg (₹)]]</f>
        <v>20891.849999999999</v>
      </c>
      <c r="L123" s="4">
        <f>FastenersPriceList[[#This Row],[Rate / PER kg (₹)]]*FastenersPriceList[[#This Row],[Quantity (kg)]]</f>
        <v>5250</v>
      </c>
      <c r="M123" s="4"/>
    </row>
    <row r="124" spans="1:13" ht="22.05" customHeight="1" x14ac:dyDescent="0.3">
      <c r="A124" s="2" t="s">
        <v>1130</v>
      </c>
      <c r="B124" s="12" t="s">
        <v>8</v>
      </c>
      <c r="C124" s="12" t="s">
        <v>9</v>
      </c>
      <c r="D124" s="2">
        <v>209.05</v>
      </c>
      <c r="E124" s="2">
        <f>FastenersPriceList[[#This Row],[1000 PCS/WT.]]/1000</f>
        <v>0.20905000000000001</v>
      </c>
      <c r="F124" s="2" t="s">
        <v>127</v>
      </c>
      <c r="G124" s="6" t="s">
        <v>11</v>
      </c>
      <c r="H124" s="70">
        <v>50</v>
      </c>
      <c r="I124" s="72">
        <f>FastenersPriceList[[#This Row],[Quantity (kg)]]/FastenersPriceList[[#This Row],[SINGLE PC. WT.]]</f>
        <v>239.17723032767279</v>
      </c>
      <c r="J124" s="3">
        <v>105</v>
      </c>
      <c r="K124" s="3">
        <f>FastenersPriceList[[#This Row],[1000 PCS/WT.]]*FastenersPriceList[[#This Row],[Rate / PER kg (₹)]]</f>
        <v>21950.25</v>
      </c>
      <c r="L124" s="4">
        <f>FastenersPriceList[[#This Row],[Rate / PER kg (₹)]]*FastenersPriceList[[#This Row],[Quantity (kg)]]</f>
        <v>5250</v>
      </c>
      <c r="M124" s="4"/>
    </row>
    <row r="125" spans="1:13" ht="22.05" customHeight="1" x14ac:dyDescent="0.3">
      <c r="A125" s="2" t="s">
        <v>1131</v>
      </c>
      <c r="B125" s="12" t="s">
        <v>8</v>
      </c>
      <c r="C125" s="12" t="s">
        <v>9</v>
      </c>
      <c r="D125" s="2">
        <v>219.13</v>
      </c>
      <c r="E125" s="2">
        <f>FastenersPriceList[[#This Row],[1000 PCS/WT.]]/1000</f>
        <v>0.21912999999999999</v>
      </c>
      <c r="F125" s="2" t="s">
        <v>128</v>
      </c>
      <c r="G125" s="6" t="s">
        <v>11</v>
      </c>
      <c r="H125" s="70">
        <v>50</v>
      </c>
      <c r="I125" s="72">
        <f>FastenersPriceList[[#This Row],[Quantity (kg)]]/FastenersPriceList[[#This Row],[SINGLE PC. WT.]]</f>
        <v>228.17505590288872</v>
      </c>
      <c r="J125" s="3">
        <v>110</v>
      </c>
      <c r="K125" s="3">
        <f>FastenersPriceList[[#This Row],[1000 PCS/WT.]]*FastenersPriceList[[#This Row],[Rate / PER kg (₹)]]</f>
        <v>24104.3</v>
      </c>
      <c r="L125" s="4">
        <f>FastenersPriceList[[#This Row],[Rate / PER kg (₹)]]*FastenersPriceList[[#This Row],[Quantity (kg)]]</f>
        <v>5500</v>
      </c>
      <c r="M125" s="4"/>
    </row>
    <row r="126" spans="1:13" ht="22.05" customHeight="1" x14ac:dyDescent="0.3">
      <c r="A126" s="2" t="s">
        <v>1132</v>
      </c>
      <c r="B126" s="12" t="s">
        <v>8</v>
      </c>
      <c r="C126" s="12" t="s">
        <v>9</v>
      </c>
      <c r="D126" s="2">
        <v>229.21</v>
      </c>
      <c r="E126" s="2">
        <f>FastenersPriceList[[#This Row],[1000 PCS/WT.]]/1000</f>
        <v>0.22921</v>
      </c>
      <c r="F126" s="2" t="s">
        <v>129</v>
      </c>
      <c r="G126" s="6" t="s">
        <v>11</v>
      </c>
      <c r="H126" s="70">
        <v>50</v>
      </c>
      <c r="I126" s="72">
        <f>FastenersPriceList[[#This Row],[Quantity (kg)]]/FastenersPriceList[[#This Row],[SINGLE PC. WT.]]</f>
        <v>218.14056978316827</v>
      </c>
      <c r="J126" s="3">
        <v>110</v>
      </c>
      <c r="K126" s="3">
        <f>FastenersPriceList[[#This Row],[1000 PCS/WT.]]*FastenersPriceList[[#This Row],[Rate / PER kg (₹)]]</f>
        <v>25213.100000000002</v>
      </c>
      <c r="L126" s="4">
        <f>FastenersPriceList[[#This Row],[Rate / PER kg (₹)]]*FastenersPriceList[[#This Row],[Quantity (kg)]]</f>
        <v>5500</v>
      </c>
      <c r="M126" s="4"/>
    </row>
    <row r="127" spans="1:13" ht="22.05" customHeight="1" x14ac:dyDescent="0.3">
      <c r="A127" s="2" t="s">
        <v>995</v>
      </c>
      <c r="B127" s="12" t="s">
        <v>8</v>
      </c>
      <c r="C127" s="12" t="s">
        <v>9</v>
      </c>
      <c r="D127" s="2">
        <v>72</v>
      </c>
      <c r="E127" s="2">
        <f>FastenersPriceList[[#This Row],[1000 PCS/WT.]]/1000</f>
        <v>7.1999999999999995E-2</v>
      </c>
      <c r="F127" s="2" t="s">
        <v>130</v>
      </c>
      <c r="G127" s="6" t="s">
        <v>11</v>
      </c>
      <c r="H127" s="70">
        <v>50</v>
      </c>
      <c r="I127" s="72">
        <f>FastenersPriceList[[#This Row],[Quantity (kg)]]/FastenersPriceList[[#This Row],[SINGLE PC. WT.]]</f>
        <v>694.44444444444446</v>
      </c>
      <c r="J127" s="3">
        <v>105</v>
      </c>
      <c r="K127" s="3">
        <f>FastenersPriceList[[#This Row],[1000 PCS/WT.]]*FastenersPriceList[[#This Row],[Rate / PER kg (₹)]]</f>
        <v>7560</v>
      </c>
      <c r="L127" s="4">
        <f>FastenersPriceList[[#This Row],[Rate / PER kg (₹)]]*FastenersPriceList[[#This Row],[Quantity (kg)]]</f>
        <v>5250</v>
      </c>
      <c r="M127" s="4"/>
    </row>
    <row r="128" spans="1:13" ht="22.05" customHeight="1" x14ac:dyDescent="0.3">
      <c r="A128" s="2" t="s">
        <v>996</v>
      </c>
      <c r="B128" s="12" t="s">
        <v>8</v>
      </c>
      <c r="C128" s="12" t="s">
        <v>9</v>
      </c>
      <c r="D128" s="2">
        <v>79</v>
      </c>
      <c r="E128" s="2">
        <f>FastenersPriceList[[#This Row],[1000 PCS/WT.]]/1000</f>
        <v>7.9000000000000001E-2</v>
      </c>
      <c r="F128" s="2" t="s">
        <v>131</v>
      </c>
      <c r="G128" s="6" t="s">
        <v>11</v>
      </c>
      <c r="H128" s="70">
        <v>50</v>
      </c>
      <c r="I128" s="72">
        <f>FastenersPriceList[[#This Row],[Quantity (kg)]]/FastenersPriceList[[#This Row],[SINGLE PC. WT.]]</f>
        <v>632.91139240506334</v>
      </c>
      <c r="J128" s="3">
        <v>105</v>
      </c>
      <c r="K128" s="3">
        <f>FastenersPriceList[[#This Row],[1000 PCS/WT.]]*FastenersPriceList[[#This Row],[Rate / PER kg (₹)]]</f>
        <v>8295</v>
      </c>
      <c r="L128" s="4">
        <f>FastenersPriceList[[#This Row],[Rate / PER kg (₹)]]*FastenersPriceList[[#This Row],[Quantity (kg)]]</f>
        <v>5250</v>
      </c>
      <c r="M128" s="4"/>
    </row>
    <row r="129" spans="1:13" ht="22.05" customHeight="1" x14ac:dyDescent="0.3">
      <c r="A129" s="2" t="s">
        <v>997</v>
      </c>
      <c r="B129" s="12" t="s">
        <v>8</v>
      </c>
      <c r="C129" s="12" t="s">
        <v>9</v>
      </c>
      <c r="D129" s="2">
        <v>86</v>
      </c>
      <c r="E129" s="2">
        <f>FastenersPriceList[[#This Row],[1000 PCS/WT.]]/1000</f>
        <v>8.5999999999999993E-2</v>
      </c>
      <c r="F129" s="2" t="s">
        <v>132</v>
      </c>
      <c r="G129" s="6" t="s">
        <v>11</v>
      </c>
      <c r="H129" s="70">
        <v>50</v>
      </c>
      <c r="I129" s="72">
        <f>FastenersPriceList[[#This Row],[Quantity (kg)]]/FastenersPriceList[[#This Row],[SINGLE PC. WT.]]</f>
        <v>581.39534883720933</v>
      </c>
      <c r="J129" s="3">
        <v>105</v>
      </c>
      <c r="K129" s="3">
        <f>FastenersPriceList[[#This Row],[1000 PCS/WT.]]*FastenersPriceList[[#This Row],[Rate / PER kg (₹)]]</f>
        <v>9030</v>
      </c>
      <c r="L129" s="4">
        <f>FastenersPriceList[[#This Row],[Rate / PER kg (₹)]]*FastenersPriceList[[#This Row],[Quantity (kg)]]</f>
        <v>5250</v>
      </c>
      <c r="M129" s="4"/>
    </row>
    <row r="130" spans="1:13" ht="22.05" customHeight="1" x14ac:dyDescent="0.3">
      <c r="A130" s="2" t="s">
        <v>998</v>
      </c>
      <c r="B130" s="12" t="s">
        <v>8</v>
      </c>
      <c r="C130" s="12" t="s">
        <v>9</v>
      </c>
      <c r="D130" s="2">
        <v>93</v>
      </c>
      <c r="E130" s="2">
        <f>FastenersPriceList[[#This Row],[1000 PCS/WT.]]/1000</f>
        <v>9.2999999999999999E-2</v>
      </c>
      <c r="F130" s="2" t="s">
        <v>133</v>
      </c>
      <c r="G130" s="6" t="s">
        <v>11</v>
      </c>
      <c r="H130" s="70">
        <v>50</v>
      </c>
      <c r="I130" s="72">
        <f>FastenersPriceList[[#This Row],[Quantity (kg)]]/FastenersPriceList[[#This Row],[SINGLE PC. WT.]]</f>
        <v>537.63440860215053</v>
      </c>
      <c r="J130" s="3">
        <v>105</v>
      </c>
      <c r="K130" s="3">
        <f>FastenersPriceList[[#This Row],[1000 PCS/WT.]]*FastenersPriceList[[#This Row],[Rate / PER kg (₹)]]</f>
        <v>9765</v>
      </c>
      <c r="L130" s="4">
        <f>FastenersPriceList[[#This Row],[Rate / PER kg (₹)]]*FastenersPriceList[[#This Row],[Quantity (kg)]]</f>
        <v>5250</v>
      </c>
      <c r="M130" s="4"/>
    </row>
    <row r="131" spans="1:13" ht="22.05" customHeight="1" x14ac:dyDescent="0.3">
      <c r="A131" s="2" t="s">
        <v>999</v>
      </c>
      <c r="B131" s="12" t="s">
        <v>8</v>
      </c>
      <c r="C131" s="12" t="s">
        <v>9</v>
      </c>
      <c r="D131" s="2">
        <v>100</v>
      </c>
      <c r="E131" s="2">
        <f>FastenersPriceList[[#This Row],[1000 PCS/WT.]]/1000</f>
        <v>0.1</v>
      </c>
      <c r="F131" s="2" t="s">
        <v>134</v>
      </c>
      <c r="G131" s="6" t="s">
        <v>11</v>
      </c>
      <c r="H131" s="70">
        <v>50</v>
      </c>
      <c r="I131" s="72">
        <f>FastenersPriceList[[#This Row],[Quantity (kg)]]/FastenersPriceList[[#This Row],[SINGLE PC. WT.]]</f>
        <v>500</v>
      </c>
      <c r="J131" s="3">
        <v>105</v>
      </c>
      <c r="K131" s="3">
        <f>FastenersPriceList[[#This Row],[1000 PCS/WT.]]*FastenersPriceList[[#This Row],[Rate / PER kg (₹)]]</f>
        <v>10500</v>
      </c>
      <c r="L131" s="4">
        <f>FastenersPriceList[[#This Row],[Rate / PER kg (₹)]]*FastenersPriceList[[#This Row],[Quantity (kg)]]</f>
        <v>5250</v>
      </c>
      <c r="M131" s="4"/>
    </row>
    <row r="132" spans="1:13" ht="22.05" customHeight="1" x14ac:dyDescent="0.3">
      <c r="A132" s="2" t="s">
        <v>1000</v>
      </c>
      <c r="B132" s="12" t="s">
        <v>8</v>
      </c>
      <c r="C132" s="12" t="s">
        <v>9</v>
      </c>
      <c r="D132" s="2">
        <v>107</v>
      </c>
      <c r="E132" s="2">
        <f>FastenersPriceList[[#This Row],[1000 PCS/WT.]]/1000</f>
        <v>0.107</v>
      </c>
      <c r="F132" s="2" t="s">
        <v>135</v>
      </c>
      <c r="G132" s="6" t="s">
        <v>11</v>
      </c>
      <c r="H132" s="70">
        <v>50</v>
      </c>
      <c r="I132" s="72">
        <f>FastenersPriceList[[#This Row],[Quantity (kg)]]/FastenersPriceList[[#This Row],[SINGLE PC. WT.]]</f>
        <v>467.28971962616822</v>
      </c>
      <c r="J132" s="3">
        <v>105</v>
      </c>
      <c r="K132" s="3">
        <f>FastenersPriceList[[#This Row],[1000 PCS/WT.]]*FastenersPriceList[[#This Row],[Rate / PER kg (₹)]]</f>
        <v>11235</v>
      </c>
      <c r="L132" s="4">
        <f>FastenersPriceList[[#This Row],[Rate / PER kg (₹)]]*FastenersPriceList[[#This Row],[Quantity (kg)]]</f>
        <v>5250</v>
      </c>
      <c r="M132" s="4"/>
    </row>
    <row r="133" spans="1:13" ht="22.05" customHeight="1" x14ac:dyDescent="0.3">
      <c r="A133" s="2" t="s">
        <v>1001</v>
      </c>
      <c r="B133" s="12" t="s">
        <v>8</v>
      </c>
      <c r="C133" s="12" t="s">
        <v>9</v>
      </c>
      <c r="D133" s="2">
        <v>114</v>
      </c>
      <c r="E133" s="2">
        <f>FastenersPriceList[[#This Row],[1000 PCS/WT.]]/1000</f>
        <v>0.114</v>
      </c>
      <c r="F133" s="2" t="s">
        <v>136</v>
      </c>
      <c r="G133" s="6" t="s">
        <v>11</v>
      </c>
      <c r="H133" s="70">
        <v>50</v>
      </c>
      <c r="I133" s="72">
        <f>FastenersPriceList[[#This Row],[Quantity (kg)]]/FastenersPriceList[[#This Row],[SINGLE PC. WT.]]</f>
        <v>438.59649122807014</v>
      </c>
      <c r="J133" s="3">
        <v>103</v>
      </c>
      <c r="K133" s="3">
        <f>FastenersPriceList[[#This Row],[1000 PCS/WT.]]*FastenersPriceList[[#This Row],[Rate / PER kg (₹)]]</f>
        <v>11742</v>
      </c>
      <c r="L133" s="4">
        <f>FastenersPriceList[[#This Row],[Rate / PER kg (₹)]]*FastenersPriceList[[#This Row],[Quantity (kg)]]</f>
        <v>5150</v>
      </c>
      <c r="M133" s="4"/>
    </row>
    <row r="134" spans="1:13" ht="22.05" customHeight="1" x14ac:dyDescent="0.3">
      <c r="A134" s="2" t="s">
        <v>1002</v>
      </c>
      <c r="B134" s="12" t="s">
        <v>8</v>
      </c>
      <c r="C134" s="12" t="s">
        <v>9</v>
      </c>
      <c r="D134" s="2">
        <v>121</v>
      </c>
      <c r="E134" s="2">
        <f>FastenersPriceList[[#This Row],[1000 PCS/WT.]]/1000</f>
        <v>0.121</v>
      </c>
      <c r="F134" s="2" t="s">
        <v>137</v>
      </c>
      <c r="G134" s="6" t="s">
        <v>11</v>
      </c>
      <c r="H134" s="70">
        <v>50</v>
      </c>
      <c r="I134" s="72">
        <f>FastenersPriceList[[#This Row],[Quantity (kg)]]/FastenersPriceList[[#This Row],[SINGLE PC. WT.]]</f>
        <v>413.22314049586777</v>
      </c>
      <c r="J134" s="3">
        <v>103</v>
      </c>
      <c r="K134" s="3">
        <f>FastenersPriceList[[#This Row],[1000 PCS/WT.]]*FastenersPriceList[[#This Row],[Rate / PER kg (₹)]]</f>
        <v>12463</v>
      </c>
      <c r="L134" s="4">
        <f>FastenersPriceList[[#This Row],[Rate / PER kg (₹)]]*FastenersPriceList[[#This Row],[Quantity (kg)]]</f>
        <v>5150</v>
      </c>
      <c r="M134" s="4"/>
    </row>
    <row r="135" spans="1:13" ht="22.05" customHeight="1" x14ac:dyDescent="0.3">
      <c r="A135" s="2" t="s">
        <v>1003</v>
      </c>
      <c r="B135" s="12" t="s">
        <v>8</v>
      </c>
      <c r="C135" s="12" t="s">
        <v>9</v>
      </c>
      <c r="D135" s="2">
        <v>136</v>
      </c>
      <c r="E135" s="2">
        <f>FastenersPriceList[[#This Row],[1000 PCS/WT.]]/1000</f>
        <v>0.13600000000000001</v>
      </c>
      <c r="F135" s="2" t="s">
        <v>138</v>
      </c>
      <c r="G135" s="6" t="s">
        <v>11</v>
      </c>
      <c r="H135" s="70">
        <v>50</v>
      </c>
      <c r="I135" s="72">
        <f>FastenersPriceList[[#This Row],[Quantity (kg)]]/FastenersPriceList[[#This Row],[SINGLE PC. WT.]]</f>
        <v>367.64705882352939</v>
      </c>
      <c r="J135" s="3">
        <v>103</v>
      </c>
      <c r="K135" s="3">
        <f>FastenersPriceList[[#This Row],[1000 PCS/WT.]]*FastenersPriceList[[#This Row],[Rate / PER kg (₹)]]</f>
        <v>14008</v>
      </c>
      <c r="L135" s="4">
        <f>FastenersPriceList[[#This Row],[Rate / PER kg (₹)]]*FastenersPriceList[[#This Row],[Quantity (kg)]]</f>
        <v>5150</v>
      </c>
      <c r="M135" s="4"/>
    </row>
    <row r="136" spans="1:13" ht="22.05" customHeight="1" x14ac:dyDescent="0.3">
      <c r="A136" s="2" t="s">
        <v>1004</v>
      </c>
      <c r="B136" s="12" t="s">
        <v>8</v>
      </c>
      <c r="C136" s="12" t="s">
        <v>9</v>
      </c>
      <c r="D136" s="2">
        <v>144</v>
      </c>
      <c r="E136" s="2">
        <f>FastenersPriceList[[#This Row],[1000 PCS/WT.]]/1000</f>
        <v>0.14399999999999999</v>
      </c>
      <c r="F136" s="2" t="s">
        <v>139</v>
      </c>
      <c r="G136" s="6" t="s">
        <v>11</v>
      </c>
      <c r="H136" s="70">
        <v>50</v>
      </c>
      <c r="I136" s="72">
        <f>FastenersPriceList[[#This Row],[Quantity (kg)]]/FastenersPriceList[[#This Row],[SINGLE PC. WT.]]</f>
        <v>347.22222222222223</v>
      </c>
      <c r="J136" s="3">
        <v>103</v>
      </c>
      <c r="K136" s="3">
        <f>FastenersPriceList[[#This Row],[1000 PCS/WT.]]*FastenersPriceList[[#This Row],[Rate / PER kg (₹)]]</f>
        <v>14832</v>
      </c>
      <c r="L136" s="4">
        <f>FastenersPriceList[[#This Row],[Rate / PER kg (₹)]]*FastenersPriceList[[#This Row],[Quantity (kg)]]</f>
        <v>5150</v>
      </c>
      <c r="M136" s="4"/>
    </row>
    <row r="137" spans="1:13" ht="22.05" customHeight="1" x14ac:dyDescent="0.3">
      <c r="A137" s="2" t="s">
        <v>1005</v>
      </c>
      <c r="B137" s="12" t="s">
        <v>8</v>
      </c>
      <c r="C137" s="12" t="s">
        <v>9</v>
      </c>
      <c r="D137" s="2">
        <v>152</v>
      </c>
      <c r="E137" s="2">
        <f>FastenersPriceList[[#This Row],[1000 PCS/WT.]]/1000</f>
        <v>0.152</v>
      </c>
      <c r="F137" s="2" t="s">
        <v>140</v>
      </c>
      <c r="G137" s="6" t="s">
        <v>11</v>
      </c>
      <c r="H137" s="70">
        <v>50</v>
      </c>
      <c r="I137" s="72">
        <f>FastenersPriceList[[#This Row],[Quantity (kg)]]/FastenersPriceList[[#This Row],[SINGLE PC. WT.]]</f>
        <v>328.94736842105266</v>
      </c>
      <c r="J137" s="3">
        <v>103</v>
      </c>
      <c r="K137" s="3">
        <f>FastenersPriceList[[#This Row],[1000 PCS/WT.]]*FastenersPriceList[[#This Row],[Rate / PER kg (₹)]]</f>
        <v>15656</v>
      </c>
      <c r="L137" s="4">
        <f>FastenersPriceList[[#This Row],[Rate / PER kg (₹)]]*FastenersPriceList[[#This Row],[Quantity (kg)]]</f>
        <v>5150</v>
      </c>
      <c r="M137" s="4"/>
    </row>
    <row r="138" spans="1:13" ht="22.05" customHeight="1" x14ac:dyDescent="0.3">
      <c r="A138" s="2" t="s">
        <v>1006</v>
      </c>
      <c r="B138" s="12" t="s">
        <v>8</v>
      </c>
      <c r="C138" s="12" t="s">
        <v>9</v>
      </c>
      <c r="D138" s="2">
        <v>160</v>
      </c>
      <c r="E138" s="2">
        <f>FastenersPriceList[[#This Row],[1000 PCS/WT.]]/1000</f>
        <v>0.16</v>
      </c>
      <c r="F138" s="2" t="s">
        <v>141</v>
      </c>
      <c r="G138" s="6" t="s">
        <v>11</v>
      </c>
      <c r="H138" s="70">
        <v>50</v>
      </c>
      <c r="I138" s="72">
        <f>FastenersPriceList[[#This Row],[Quantity (kg)]]/FastenersPriceList[[#This Row],[SINGLE PC. WT.]]</f>
        <v>312.5</v>
      </c>
      <c r="J138" s="3">
        <v>103</v>
      </c>
      <c r="K138" s="3">
        <f>FastenersPriceList[[#This Row],[1000 PCS/WT.]]*FastenersPriceList[[#This Row],[Rate / PER kg (₹)]]</f>
        <v>16480</v>
      </c>
      <c r="L138" s="4">
        <f>FastenersPriceList[[#This Row],[Rate / PER kg (₹)]]*FastenersPriceList[[#This Row],[Quantity (kg)]]</f>
        <v>5150</v>
      </c>
      <c r="M138" s="4"/>
    </row>
    <row r="139" spans="1:13" ht="22.05" customHeight="1" x14ac:dyDescent="0.3">
      <c r="A139" s="2" t="s">
        <v>1007</v>
      </c>
      <c r="B139" s="12" t="s">
        <v>8</v>
      </c>
      <c r="C139" s="12" t="s">
        <v>9</v>
      </c>
      <c r="D139" s="2">
        <v>168</v>
      </c>
      <c r="E139" s="2">
        <f>FastenersPriceList[[#This Row],[1000 PCS/WT.]]/1000</f>
        <v>0.16800000000000001</v>
      </c>
      <c r="F139" s="2" t="s">
        <v>142</v>
      </c>
      <c r="G139" s="6" t="s">
        <v>11</v>
      </c>
      <c r="H139" s="70">
        <v>50</v>
      </c>
      <c r="I139" s="72">
        <f>FastenersPriceList[[#This Row],[Quantity (kg)]]/FastenersPriceList[[#This Row],[SINGLE PC. WT.]]</f>
        <v>297.61904761904759</v>
      </c>
      <c r="J139" s="3">
        <v>103</v>
      </c>
      <c r="K139" s="3">
        <f>FastenersPriceList[[#This Row],[1000 PCS/WT.]]*FastenersPriceList[[#This Row],[Rate / PER kg (₹)]]</f>
        <v>17304</v>
      </c>
      <c r="L139" s="4">
        <f>FastenersPriceList[[#This Row],[Rate / PER kg (₹)]]*FastenersPriceList[[#This Row],[Quantity (kg)]]</f>
        <v>5150</v>
      </c>
      <c r="M139" s="4"/>
    </row>
    <row r="140" spans="1:13" ht="22.05" customHeight="1" x14ac:dyDescent="0.3">
      <c r="A140" s="2" t="s">
        <v>1008</v>
      </c>
      <c r="B140" s="12" t="s">
        <v>8</v>
      </c>
      <c r="C140" s="12" t="s">
        <v>9</v>
      </c>
      <c r="D140" s="2">
        <v>176</v>
      </c>
      <c r="E140" s="2">
        <f>FastenersPriceList[[#This Row],[1000 PCS/WT.]]/1000</f>
        <v>0.17599999999999999</v>
      </c>
      <c r="F140" s="2" t="s">
        <v>143</v>
      </c>
      <c r="G140" s="6" t="s">
        <v>11</v>
      </c>
      <c r="H140" s="70">
        <v>50</v>
      </c>
      <c r="I140" s="72">
        <f>FastenersPriceList[[#This Row],[Quantity (kg)]]/FastenersPriceList[[#This Row],[SINGLE PC. WT.]]</f>
        <v>284.09090909090912</v>
      </c>
      <c r="J140" s="3">
        <v>103</v>
      </c>
      <c r="K140" s="3">
        <f>FastenersPriceList[[#This Row],[1000 PCS/WT.]]*FastenersPriceList[[#This Row],[Rate / PER kg (₹)]]</f>
        <v>18128</v>
      </c>
      <c r="L140" s="4">
        <f>FastenersPriceList[[#This Row],[Rate / PER kg (₹)]]*FastenersPriceList[[#This Row],[Quantity (kg)]]</f>
        <v>5150</v>
      </c>
      <c r="M140" s="4"/>
    </row>
    <row r="141" spans="1:13" ht="22.05" customHeight="1" x14ac:dyDescent="0.3">
      <c r="A141" s="2" t="s">
        <v>1133</v>
      </c>
      <c r="B141" s="12" t="s">
        <v>8</v>
      </c>
      <c r="C141" s="12" t="s">
        <v>9</v>
      </c>
      <c r="D141" s="2">
        <v>184</v>
      </c>
      <c r="E141" s="2">
        <f>FastenersPriceList[[#This Row],[1000 PCS/WT.]]/1000</f>
        <v>0.184</v>
      </c>
      <c r="F141" s="2" t="s">
        <v>144</v>
      </c>
      <c r="G141" s="6" t="s">
        <v>11</v>
      </c>
      <c r="H141" s="70">
        <v>50</v>
      </c>
      <c r="I141" s="72">
        <f>FastenersPriceList[[#This Row],[Quantity (kg)]]/FastenersPriceList[[#This Row],[SINGLE PC. WT.]]</f>
        <v>271.73913043478262</v>
      </c>
      <c r="J141" s="3">
        <v>103</v>
      </c>
      <c r="K141" s="3">
        <f>FastenersPriceList[[#This Row],[1000 PCS/WT.]]*FastenersPriceList[[#This Row],[Rate / PER kg (₹)]]</f>
        <v>18952</v>
      </c>
      <c r="L141" s="4">
        <f>FastenersPriceList[[#This Row],[Rate / PER kg (₹)]]*FastenersPriceList[[#This Row],[Quantity (kg)]]</f>
        <v>5150</v>
      </c>
      <c r="M141" s="4"/>
    </row>
    <row r="142" spans="1:13" ht="22.05" customHeight="1" x14ac:dyDescent="0.3">
      <c r="A142" s="2" t="s">
        <v>1134</v>
      </c>
      <c r="B142" s="12" t="s">
        <v>8</v>
      </c>
      <c r="C142" s="12" t="s">
        <v>9</v>
      </c>
      <c r="D142" s="2">
        <v>200</v>
      </c>
      <c r="E142" s="2">
        <f>FastenersPriceList[[#This Row],[1000 PCS/WT.]]/1000</f>
        <v>0.2</v>
      </c>
      <c r="F142" s="2" t="s">
        <v>145</v>
      </c>
      <c r="G142" s="6" t="s">
        <v>11</v>
      </c>
      <c r="H142" s="70">
        <v>50</v>
      </c>
      <c r="I142" s="72">
        <f>FastenersPriceList[[#This Row],[Quantity (kg)]]/FastenersPriceList[[#This Row],[SINGLE PC. WT.]]</f>
        <v>250</v>
      </c>
      <c r="J142" s="3">
        <v>105</v>
      </c>
      <c r="K142" s="3">
        <f>FastenersPriceList[[#This Row],[1000 PCS/WT.]]*FastenersPriceList[[#This Row],[Rate / PER kg (₹)]]</f>
        <v>21000</v>
      </c>
      <c r="L142" s="4">
        <f>FastenersPriceList[[#This Row],[Rate / PER kg (₹)]]*FastenersPriceList[[#This Row],[Quantity (kg)]]</f>
        <v>5250</v>
      </c>
      <c r="M142" s="4"/>
    </row>
    <row r="143" spans="1:13" ht="22.05" customHeight="1" x14ac:dyDescent="0.3">
      <c r="A143" s="2" t="s">
        <v>1135</v>
      </c>
      <c r="B143" s="12" t="s">
        <v>8</v>
      </c>
      <c r="C143" s="12" t="s">
        <v>9</v>
      </c>
      <c r="D143" s="2">
        <v>216</v>
      </c>
      <c r="E143" s="2">
        <f>FastenersPriceList[[#This Row],[1000 PCS/WT.]]/1000</f>
        <v>0.216</v>
      </c>
      <c r="F143" s="2" t="s">
        <v>146</v>
      </c>
      <c r="G143" s="6" t="s">
        <v>11</v>
      </c>
      <c r="H143" s="70">
        <v>50</v>
      </c>
      <c r="I143" s="72">
        <f>FastenersPriceList[[#This Row],[Quantity (kg)]]/FastenersPriceList[[#This Row],[SINGLE PC. WT.]]</f>
        <v>231.4814814814815</v>
      </c>
      <c r="J143" s="3">
        <v>105</v>
      </c>
      <c r="K143" s="3">
        <f>FastenersPriceList[[#This Row],[1000 PCS/WT.]]*FastenersPriceList[[#This Row],[Rate / PER kg (₹)]]</f>
        <v>22680</v>
      </c>
      <c r="L143" s="4">
        <f>FastenersPriceList[[#This Row],[Rate / PER kg (₹)]]*FastenersPriceList[[#This Row],[Quantity (kg)]]</f>
        <v>5250</v>
      </c>
      <c r="M143" s="4"/>
    </row>
    <row r="144" spans="1:13" ht="22.05" customHeight="1" x14ac:dyDescent="0.3">
      <c r="A144" s="2" t="s">
        <v>1136</v>
      </c>
      <c r="B144" s="12" t="s">
        <v>8</v>
      </c>
      <c r="C144" s="12" t="s">
        <v>9</v>
      </c>
      <c r="D144" s="2">
        <v>232</v>
      </c>
      <c r="E144" s="2">
        <f>FastenersPriceList[[#This Row],[1000 PCS/WT.]]/1000</f>
        <v>0.23200000000000001</v>
      </c>
      <c r="F144" s="2" t="s">
        <v>147</v>
      </c>
      <c r="G144" s="6" t="s">
        <v>11</v>
      </c>
      <c r="H144" s="70">
        <v>50</v>
      </c>
      <c r="I144" s="72">
        <f>FastenersPriceList[[#This Row],[Quantity (kg)]]/FastenersPriceList[[#This Row],[SINGLE PC. WT.]]</f>
        <v>215.51724137931032</v>
      </c>
      <c r="J144" s="3">
        <v>105</v>
      </c>
      <c r="K144" s="3">
        <f>FastenersPriceList[[#This Row],[1000 PCS/WT.]]*FastenersPriceList[[#This Row],[Rate / PER kg (₹)]]</f>
        <v>24360</v>
      </c>
      <c r="L144" s="4">
        <f>FastenersPriceList[[#This Row],[Rate / PER kg (₹)]]*FastenersPriceList[[#This Row],[Quantity (kg)]]</f>
        <v>5250</v>
      </c>
      <c r="M144" s="4"/>
    </row>
    <row r="145" spans="1:13" ht="22.05" customHeight="1" x14ac:dyDescent="0.3">
      <c r="A145" s="2" t="s">
        <v>1137</v>
      </c>
      <c r="B145" s="12" t="s">
        <v>8</v>
      </c>
      <c r="C145" s="12" t="s">
        <v>9</v>
      </c>
      <c r="D145" s="2">
        <v>248</v>
      </c>
      <c r="E145" s="2">
        <f>FastenersPriceList[[#This Row],[1000 PCS/WT.]]/1000</f>
        <v>0.248</v>
      </c>
      <c r="F145" s="2" t="s">
        <v>148</v>
      </c>
      <c r="G145" s="6" t="s">
        <v>11</v>
      </c>
      <c r="H145" s="70">
        <v>50</v>
      </c>
      <c r="I145" s="72">
        <f>FastenersPriceList[[#This Row],[Quantity (kg)]]/FastenersPriceList[[#This Row],[SINGLE PC. WT.]]</f>
        <v>201.61290322580646</v>
      </c>
      <c r="J145" s="3">
        <v>105</v>
      </c>
      <c r="K145" s="3">
        <f>FastenersPriceList[[#This Row],[1000 PCS/WT.]]*FastenersPriceList[[#This Row],[Rate / PER kg (₹)]]</f>
        <v>26040</v>
      </c>
      <c r="L145" s="4">
        <f>FastenersPriceList[[#This Row],[Rate / PER kg (₹)]]*FastenersPriceList[[#This Row],[Quantity (kg)]]</f>
        <v>5250</v>
      </c>
      <c r="M145" s="4"/>
    </row>
    <row r="146" spans="1:13" ht="22.05" customHeight="1" x14ac:dyDescent="0.3">
      <c r="A146" s="2" t="s">
        <v>1138</v>
      </c>
      <c r="B146" s="12" t="s">
        <v>8</v>
      </c>
      <c r="C146" s="12" t="s">
        <v>9</v>
      </c>
      <c r="D146" s="2">
        <v>264</v>
      </c>
      <c r="E146" s="2">
        <f>FastenersPriceList[[#This Row],[1000 PCS/WT.]]/1000</f>
        <v>0.26400000000000001</v>
      </c>
      <c r="F146" s="2" t="s">
        <v>149</v>
      </c>
      <c r="G146" s="6" t="s">
        <v>11</v>
      </c>
      <c r="H146" s="70">
        <v>50</v>
      </c>
      <c r="I146" s="72">
        <f>FastenersPriceList[[#This Row],[Quantity (kg)]]/FastenersPriceList[[#This Row],[SINGLE PC. WT.]]</f>
        <v>189.39393939393938</v>
      </c>
      <c r="J146" s="3">
        <v>105</v>
      </c>
      <c r="K146" s="3">
        <f>FastenersPriceList[[#This Row],[1000 PCS/WT.]]*FastenersPriceList[[#This Row],[Rate / PER kg (₹)]]</f>
        <v>27720</v>
      </c>
      <c r="L146" s="4">
        <f>FastenersPriceList[[#This Row],[Rate / PER kg (₹)]]*FastenersPriceList[[#This Row],[Quantity (kg)]]</f>
        <v>5250</v>
      </c>
      <c r="M146" s="4"/>
    </row>
    <row r="147" spans="1:13" ht="22.05" customHeight="1" x14ac:dyDescent="0.3">
      <c r="A147" s="2" t="s">
        <v>1139</v>
      </c>
      <c r="B147" s="12" t="s">
        <v>8</v>
      </c>
      <c r="C147" s="12" t="s">
        <v>9</v>
      </c>
      <c r="D147" s="2">
        <v>280</v>
      </c>
      <c r="E147" s="2">
        <f>FastenersPriceList[[#This Row],[1000 PCS/WT.]]/1000</f>
        <v>0.28000000000000003</v>
      </c>
      <c r="F147" s="2" t="s">
        <v>150</v>
      </c>
      <c r="G147" s="6" t="s">
        <v>11</v>
      </c>
      <c r="H147" s="70">
        <v>50</v>
      </c>
      <c r="I147" s="72">
        <f>FastenersPriceList[[#This Row],[Quantity (kg)]]/FastenersPriceList[[#This Row],[SINGLE PC. WT.]]</f>
        <v>178.57142857142856</v>
      </c>
      <c r="J147" s="3">
        <v>105</v>
      </c>
      <c r="K147" s="3">
        <f>FastenersPriceList[[#This Row],[1000 PCS/WT.]]*FastenersPriceList[[#This Row],[Rate / PER kg (₹)]]</f>
        <v>29400</v>
      </c>
      <c r="L147" s="4">
        <f>FastenersPriceList[[#This Row],[Rate / PER kg (₹)]]*FastenersPriceList[[#This Row],[Quantity (kg)]]</f>
        <v>5250</v>
      </c>
      <c r="M147" s="4"/>
    </row>
    <row r="148" spans="1:13" ht="22.05" customHeight="1" x14ac:dyDescent="0.3">
      <c r="A148" s="2" t="s">
        <v>1140</v>
      </c>
      <c r="B148" s="12" t="s">
        <v>8</v>
      </c>
      <c r="C148" s="12" t="s">
        <v>9</v>
      </c>
      <c r="D148" s="2">
        <v>296</v>
      </c>
      <c r="E148" s="2">
        <f>FastenersPriceList[[#This Row],[1000 PCS/WT.]]/1000</f>
        <v>0.29599999999999999</v>
      </c>
      <c r="F148" s="2" t="s">
        <v>151</v>
      </c>
      <c r="G148" s="6" t="s">
        <v>11</v>
      </c>
      <c r="H148" s="70">
        <v>50</v>
      </c>
      <c r="I148" s="72">
        <f>FastenersPriceList[[#This Row],[Quantity (kg)]]/FastenersPriceList[[#This Row],[SINGLE PC. WT.]]</f>
        <v>168.91891891891893</v>
      </c>
      <c r="J148" s="3">
        <v>105</v>
      </c>
      <c r="K148" s="3">
        <f>FastenersPriceList[[#This Row],[1000 PCS/WT.]]*FastenersPriceList[[#This Row],[Rate / PER kg (₹)]]</f>
        <v>31080</v>
      </c>
      <c r="L148" s="4">
        <f>FastenersPriceList[[#This Row],[Rate / PER kg (₹)]]*FastenersPriceList[[#This Row],[Quantity (kg)]]</f>
        <v>5250</v>
      </c>
      <c r="M148" s="4"/>
    </row>
    <row r="149" spans="1:13" ht="22.05" customHeight="1" x14ac:dyDescent="0.3">
      <c r="A149" s="2" t="s">
        <v>1141</v>
      </c>
      <c r="B149" s="12" t="s">
        <v>8</v>
      </c>
      <c r="C149" s="12" t="s">
        <v>9</v>
      </c>
      <c r="D149" s="2">
        <v>312</v>
      </c>
      <c r="E149" s="2">
        <f>FastenersPriceList[[#This Row],[1000 PCS/WT.]]/1000</f>
        <v>0.312</v>
      </c>
      <c r="F149" s="2" t="s">
        <v>152</v>
      </c>
      <c r="G149" s="6" t="s">
        <v>11</v>
      </c>
      <c r="H149" s="70">
        <v>50</v>
      </c>
      <c r="I149" s="72">
        <f>FastenersPriceList[[#This Row],[Quantity (kg)]]/FastenersPriceList[[#This Row],[SINGLE PC. WT.]]</f>
        <v>160.25641025641025</v>
      </c>
      <c r="J149" s="3">
        <v>105</v>
      </c>
      <c r="K149" s="3">
        <f>FastenersPriceList[[#This Row],[1000 PCS/WT.]]*FastenersPriceList[[#This Row],[Rate / PER kg (₹)]]</f>
        <v>32760</v>
      </c>
      <c r="L149" s="4">
        <f>FastenersPriceList[[#This Row],[Rate / PER kg (₹)]]*FastenersPriceList[[#This Row],[Quantity (kg)]]</f>
        <v>5250</v>
      </c>
      <c r="M149" s="4"/>
    </row>
    <row r="150" spans="1:13" ht="22.05" customHeight="1" x14ac:dyDescent="0.3">
      <c r="A150" s="2" t="s">
        <v>1142</v>
      </c>
      <c r="B150" s="12" t="s">
        <v>8</v>
      </c>
      <c r="C150" s="12" t="s">
        <v>9</v>
      </c>
      <c r="D150" s="2">
        <v>328</v>
      </c>
      <c r="E150" s="2">
        <f>FastenersPriceList[[#This Row],[1000 PCS/WT.]]/1000</f>
        <v>0.32800000000000001</v>
      </c>
      <c r="F150" s="2" t="s">
        <v>153</v>
      </c>
      <c r="G150" s="6" t="s">
        <v>11</v>
      </c>
      <c r="H150" s="70">
        <v>50</v>
      </c>
      <c r="I150" s="72">
        <f>FastenersPriceList[[#This Row],[Quantity (kg)]]/FastenersPriceList[[#This Row],[SINGLE PC. WT.]]</f>
        <v>152.4390243902439</v>
      </c>
      <c r="J150" s="3">
        <v>110</v>
      </c>
      <c r="K150" s="3">
        <f>FastenersPriceList[[#This Row],[1000 PCS/WT.]]*FastenersPriceList[[#This Row],[Rate / PER kg (₹)]]</f>
        <v>36080</v>
      </c>
      <c r="L150" s="4">
        <f>FastenersPriceList[[#This Row],[Rate / PER kg (₹)]]*FastenersPriceList[[#This Row],[Quantity (kg)]]</f>
        <v>5500</v>
      </c>
      <c r="M150" s="4"/>
    </row>
    <row r="151" spans="1:13" ht="22.05" customHeight="1" x14ac:dyDescent="0.3">
      <c r="A151" s="2" t="s">
        <v>1143</v>
      </c>
      <c r="B151" s="12" t="s">
        <v>8</v>
      </c>
      <c r="C151" s="12" t="s">
        <v>9</v>
      </c>
      <c r="D151" s="2">
        <v>344</v>
      </c>
      <c r="E151" s="2">
        <f>FastenersPriceList[[#This Row],[1000 PCS/WT.]]/1000</f>
        <v>0.34399999999999997</v>
      </c>
      <c r="F151" s="2" t="s">
        <v>154</v>
      </c>
      <c r="G151" s="6" t="s">
        <v>11</v>
      </c>
      <c r="H151" s="70">
        <v>50</v>
      </c>
      <c r="I151" s="72">
        <f>FastenersPriceList[[#This Row],[Quantity (kg)]]/FastenersPriceList[[#This Row],[SINGLE PC. WT.]]</f>
        <v>145.34883720930233</v>
      </c>
      <c r="J151" s="3">
        <v>110</v>
      </c>
      <c r="K151" s="3">
        <f>FastenersPriceList[[#This Row],[1000 PCS/WT.]]*FastenersPriceList[[#This Row],[Rate / PER kg (₹)]]</f>
        <v>37840</v>
      </c>
      <c r="L151" s="4">
        <f>FastenersPriceList[[#This Row],[Rate / PER kg (₹)]]*FastenersPriceList[[#This Row],[Quantity (kg)]]</f>
        <v>5500</v>
      </c>
      <c r="M151" s="4"/>
    </row>
    <row r="152" spans="1:13" ht="22.05" customHeight="1" x14ac:dyDescent="0.3">
      <c r="A152" s="2" t="s">
        <v>1009</v>
      </c>
      <c r="B152" s="12" t="s">
        <v>8</v>
      </c>
      <c r="C152" s="12" t="s">
        <v>9</v>
      </c>
      <c r="D152" s="2">
        <v>147.5</v>
      </c>
      <c r="E152" s="2">
        <f>FastenersPriceList[[#This Row],[1000 PCS/WT.]]/1000</f>
        <v>0.14749999999999999</v>
      </c>
      <c r="F152" s="2" t="s">
        <v>155</v>
      </c>
      <c r="G152" s="6" t="s">
        <v>11</v>
      </c>
      <c r="H152" s="70">
        <v>50</v>
      </c>
      <c r="I152" s="72">
        <f>FastenersPriceList[[#This Row],[Quantity (kg)]]/FastenersPriceList[[#This Row],[SINGLE PC. WT.]]</f>
        <v>338.98305084745766</v>
      </c>
      <c r="J152" s="3">
        <v>108</v>
      </c>
      <c r="K152" s="3">
        <f>FastenersPriceList[[#This Row],[1000 PCS/WT.]]*FastenersPriceList[[#This Row],[Rate / PER kg (₹)]]</f>
        <v>15930</v>
      </c>
      <c r="L152" s="4">
        <f>FastenersPriceList[[#This Row],[Rate / PER kg (₹)]]*FastenersPriceList[[#This Row],[Quantity (kg)]]</f>
        <v>5400</v>
      </c>
      <c r="M152" s="4"/>
    </row>
    <row r="153" spans="1:13" ht="22.05" customHeight="1" x14ac:dyDescent="0.3">
      <c r="A153" s="2" t="s">
        <v>1010</v>
      </c>
      <c r="B153" s="12" t="s">
        <v>8</v>
      </c>
      <c r="C153" s="12" t="s">
        <v>9</v>
      </c>
      <c r="D153" s="2">
        <v>157.75</v>
      </c>
      <c r="E153" s="2">
        <f>FastenersPriceList[[#This Row],[1000 PCS/WT.]]/1000</f>
        <v>0.15775</v>
      </c>
      <c r="F153" s="2" t="s">
        <v>156</v>
      </c>
      <c r="G153" s="6" t="s">
        <v>11</v>
      </c>
      <c r="H153" s="70">
        <v>50</v>
      </c>
      <c r="I153" s="72">
        <f>FastenersPriceList[[#This Row],[Quantity (kg)]]/FastenersPriceList[[#This Row],[SINGLE PC. WT.]]</f>
        <v>316.95721077654514</v>
      </c>
      <c r="J153" s="3">
        <v>108</v>
      </c>
      <c r="K153" s="3">
        <f>FastenersPriceList[[#This Row],[1000 PCS/WT.]]*FastenersPriceList[[#This Row],[Rate / PER kg (₹)]]</f>
        <v>17037</v>
      </c>
      <c r="L153" s="4">
        <f>FastenersPriceList[[#This Row],[Rate / PER kg (₹)]]*FastenersPriceList[[#This Row],[Quantity (kg)]]</f>
        <v>5400</v>
      </c>
      <c r="M153" s="4"/>
    </row>
    <row r="154" spans="1:13" ht="22.05" customHeight="1" x14ac:dyDescent="0.3">
      <c r="A154" s="2" t="s">
        <v>1011</v>
      </c>
      <c r="B154" s="12" t="s">
        <v>8</v>
      </c>
      <c r="C154" s="12" t="s">
        <v>9</v>
      </c>
      <c r="D154" s="2">
        <v>168</v>
      </c>
      <c r="E154" s="2">
        <f>FastenersPriceList[[#This Row],[1000 PCS/WT.]]/1000</f>
        <v>0.16800000000000001</v>
      </c>
      <c r="F154" s="2" t="s">
        <v>157</v>
      </c>
      <c r="G154" s="6" t="s">
        <v>11</v>
      </c>
      <c r="H154" s="70">
        <v>50</v>
      </c>
      <c r="I154" s="72">
        <f>FastenersPriceList[[#This Row],[Quantity (kg)]]/FastenersPriceList[[#This Row],[SINGLE PC. WT.]]</f>
        <v>297.61904761904759</v>
      </c>
      <c r="J154" s="3">
        <v>108</v>
      </c>
      <c r="K154" s="3">
        <f>FastenersPriceList[[#This Row],[1000 PCS/WT.]]*FastenersPriceList[[#This Row],[Rate / PER kg (₹)]]</f>
        <v>18144</v>
      </c>
      <c r="L154" s="4">
        <f>FastenersPriceList[[#This Row],[Rate / PER kg (₹)]]*FastenersPriceList[[#This Row],[Quantity (kg)]]</f>
        <v>5400</v>
      </c>
      <c r="M154" s="4"/>
    </row>
    <row r="155" spans="1:13" ht="22.05" customHeight="1" x14ac:dyDescent="0.3">
      <c r="A155" s="2" t="s">
        <v>1012</v>
      </c>
      <c r="B155" s="12" t="s">
        <v>8</v>
      </c>
      <c r="C155" s="12" t="s">
        <v>9</v>
      </c>
      <c r="D155" s="2">
        <v>178.25</v>
      </c>
      <c r="E155" s="2">
        <f>FastenersPriceList[[#This Row],[1000 PCS/WT.]]/1000</f>
        <v>0.17824999999999999</v>
      </c>
      <c r="F155" s="2" t="s">
        <v>158</v>
      </c>
      <c r="G155" s="6" t="s">
        <v>11</v>
      </c>
      <c r="H155" s="70">
        <v>50</v>
      </c>
      <c r="I155" s="72">
        <f>FastenersPriceList[[#This Row],[Quantity (kg)]]/FastenersPriceList[[#This Row],[SINGLE PC. WT.]]</f>
        <v>280.50490883590464</v>
      </c>
      <c r="J155" s="3">
        <v>108</v>
      </c>
      <c r="K155" s="3">
        <f>FastenersPriceList[[#This Row],[1000 PCS/WT.]]*FastenersPriceList[[#This Row],[Rate / PER kg (₹)]]</f>
        <v>19251</v>
      </c>
      <c r="L155" s="4">
        <f>FastenersPriceList[[#This Row],[Rate / PER kg (₹)]]*FastenersPriceList[[#This Row],[Quantity (kg)]]</f>
        <v>5400</v>
      </c>
      <c r="M155" s="4"/>
    </row>
    <row r="156" spans="1:13" ht="22.05" customHeight="1" x14ac:dyDescent="0.3">
      <c r="A156" s="2" t="s">
        <v>1013</v>
      </c>
      <c r="B156" s="12" t="s">
        <v>8</v>
      </c>
      <c r="C156" s="12" t="s">
        <v>9</v>
      </c>
      <c r="D156" s="2">
        <v>188.5</v>
      </c>
      <c r="E156" s="2">
        <f>FastenersPriceList[[#This Row],[1000 PCS/WT.]]/1000</f>
        <v>0.1885</v>
      </c>
      <c r="F156" s="2" t="s">
        <v>159</v>
      </c>
      <c r="G156" s="6" t="s">
        <v>11</v>
      </c>
      <c r="H156" s="70">
        <v>50</v>
      </c>
      <c r="I156" s="72">
        <f>FastenersPriceList[[#This Row],[Quantity (kg)]]/FastenersPriceList[[#This Row],[SINGLE PC. WT.]]</f>
        <v>265.25198938992042</v>
      </c>
      <c r="J156" s="3">
        <v>106</v>
      </c>
      <c r="K156" s="3">
        <f>FastenersPriceList[[#This Row],[1000 PCS/WT.]]*FastenersPriceList[[#This Row],[Rate / PER kg (₹)]]</f>
        <v>19981</v>
      </c>
      <c r="L156" s="4">
        <f>FastenersPriceList[[#This Row],[Rate / PER kg (₹)]]*FastenersPriceList[[#This Row],[Quantity (kg)]]</f>
        <v>5300</v>
      </c>
      <c r="M156" s="4"/>
    </row>
    <row r="157" spans="1:13" ht="22.05" customHeight="1" x14ac:dyDescent="0.3">
      <c r="A157" s="2" t="s">
        <v>1014</v>
      </c>
      <c r="B157" s="12" t="s">
        <v>8</v>
      </c>
      <c r="C157" s="12" t="s">
        <v>9</v>
      </c>
      <c r="D157" s="2">
        <v>198.75</v>
      </c>
      <c r="E157" s="2">
        <f>FastenersPriceList[[#This Row],[1000 PCS/WT.]]/1000</f>
        <v>0.19875000000000001</v>
      </c>
      <c r="F157" s="2" t="s">
        <v>160</v>
      </c>
      <c r="G157" s="6" t="s">
        <v>11</v>
      </c>
      <c r="H157" s="70">
        <v>50</v>
      </c>
      <c r="I157" s="72">
        <f>FastenersPriceList[[#This Row],[Quantity (kg)]]/FastenersPriceList[[#This Row],[SINGLE PC. WT.]]</f>
        <v>251.57232704402514</v>
      </c>
      <c r="J157" s="3">
        <v>106</v>
      </c>
      <c r="K157" s="3">
        <f>FastenersPriceList[[#This Row],[1000 PCS/WT.]]*FastenersPriceList[[#This Row],[Rate / PER kg (₹)]]</f>
        <v>21067.5</v>
      </c>
      <c r="L157" s="4">
        <f>FastenersPriceList[[#This Row],[Rate / PER kg (₹)]]*FastenersPriceList[[#This Row],[Quantity (kg)]]</f>
        <v>5300</v>
      </c>
      <c r="M157" s="4"/>
    </row>
    <row r="158" spans="1:13" ht="22.05" customHeight="1" x14ac:dyDescent="0.3">
      <c r="A158" s="2" t="s">
        <v>1015</v>
      </c>
      <c r="B158" s="12" t="s">
        <v>8</v>
      </c>
      <c r="C158" s="12" t="s">
        <v>9</v>
      </c>
      <c r="D158" s="2">
        <v>209</v>
      </c>
      <c r="E158" s="2">
        <f>FastenersPriceList[[#This Row],[1000 PCS/WT.]]/1000</f>
        <v>0.20899999999999999</v>
      </c>
      <c r="F158" s="2" t="s">
        <v>161</v>
      </c>
      <c r="G158" s="6" t="s">
        <v>11</v>
      </c>
      <c r="H158" s="70">
        <v>50</v>
      </c>
      <c r="I158" s="72">
        <f>FastenersPriceList[[#This Row],[Quantity (kg)]]/FastenersPriceList[[#This Row],[SINGLE PC. WT.]]</f>
        <v>239.23444976076556</v>
      </c>
      <c r="J158" s="3">
        <v>106</v>
      </c>
      <c r="K158" s="3">
        <f>FastenersPriceList[[#This Row],[1000 PCS/WT.]]*FastenersPriceList[[#This Row],[Rate / PER kg (₹)]]</f>
        <v>22154</v>
      </c>
      <c r="L158" s="4">
        <f>FastenersPriceList[[#This Row],[Rate / PER kg (₹)]]*FastenersPriceList[[#This Row],[Quantity (kg)]]</f>
        <v>5300</v>
      </c>
      <c r="M158" s="4"/>
    </row>
    <row r="159" spans="1:13" ht="22.05" customHeight="1" x14ac:dyDescent="0.3">
      <c r="A159" s="2" t="s">
        <v>1016</v>
      </c>
      <c r="B159" s="12" t="s">
        <v>8</v>
      </c>
      <c r="C159" s="12" t="s">
        <v>9</v>
      </c>
      <c r="D159" s="2">
        <v>219.25</v>
      </c>
      <c r="E159" s="2">
        <f>FastenersPriceList[[#This Row],[1000 PCS/WT.]]/1000</f>
        <v>0.21925</v>
      </c>
      <c r="F159" s="2" t="s">
        <v>162</v>
      </c>
      <c r="G159" s="6" t="s">
        <v>11</v>
      </c>
      <c r="H159" s="70">
        <v>50</v>
      </c>
      <c r="I159" s="72">
        <f>FastenersPriceList[[#This Row],[Quantity (kg)]]/FastenersPriceList[[#This Row],[SINGLE PC. WT.]]</f>
        <v>228.05017103762827</v>
      </c>
      <c r="J159" s="3">
        <v>106</v>
      </c>
      <c r="K159" s="3">
        <f>FastenersPriceList[[#This Row],[1000 PCS/WT.]]*FastenersPriceList[[#This Row],[Rate / PER kg (₹)]]</f>
        <v>23240.5</v>
      </c>
      <c r="L159" s="4">
        <f>FastenersPriceList[[#This Row],[Rate / PER kg (₹)]]*FastenersPriceList[[#This Row],[Quantity (kg)]]</f>
        <v>5300</v>
      </c>
      <c r="M159" s="4"/>
    </row>
    <row r="160" spans="1:13" ht="22.05" customHeight="1" x14ac:dyDescent="0.3">
      <c r="A160" s="2" t="s">
        <v>1017</v>
      </c>
      <c r="B160" s="12" t="s">
        <v>8</v>
      </c>
      <c r="C160" s="12" t="s">
        <v>9</v>
      </c>
      <c r="D160" s="2">
        <v>229.5</v>
      </c>
      <c r="E160" s="2">
        <f>FastenersPriceList[[#This Row],[1000 PCS/WT.]]/1000</f>
        <v>0.22950000000000001</v>
      </c>
      <c r="F160" s="2" t="s">
        <v>163</v>
      </c>
      <c r="G160" s="6" t="s">
        <v>11</v>
      </c>
      <c r="H160" s="70">
        <v>50</v>
      </c>
      <c r="I160" s="72">
        <f>FastenersPriceList[[#This Row],[Quantity (kg)]]/FastenersPriceList[[#This Row],[SINGLE PC. WT.]]</f>
        <v>217.86492374727669</v>
      </c>
      <c r="J160" s="3">
        <v>106</v>
      </c>
      <c r="K160" s="3">
        <f>FastenersPriceList[[#This Row],[1000 PCS/WT.]]*FastenersPriceList[[#This Row],[Rate / PER kg (₹)]]</f>
        <v>24327</v>
      </c>
      <c r="L160" s="4">
        <f>FastenersPriceList[[#This Row],[Rate / PER kg (₹)]]*FastenersPriceList[[#This Row],[Quantity (kg)]]</f>
        <v>5300</v>
      </c>
      <c r="M160" s="4"/>
    </row>
    <row r="161" spans="1:13" ht="22.05" customHeight="1" x14ac:dyDescent="0.3">
      <c r="A161" s="2" t="s">
        <v>1018</v>
      </c>
      <c r="B161" s="12" t="s">
        <v>8</v>
      </c>
      <c r="C161" s="12" t="s">
        <v>9</v>
      </c>
      <c r="D161" s="2">
        <v>239.75</v>
      </c>
      <c r="E161" s="2">
        <f>FastenersPriceList[[#This Row],[1000 PCS/WT.]]/1000</f>
        <v>0.23974999999999999</v>
      </c>
      <c r="F161" s="2" t="s">
        <v>164</v>
      </c>
      <c r="G161" s="6" t="s">
        <v>11</v>
      </c>
      <c r="H161" s="70">
        <v>50</v>
      </c>
      <c r="I161" s="72">
        <f>FastenersPriceList[[#This Row],[Quantity (kg)]]/FastenersPriceList[[#This Row],[SINGLE PC. WT.]]</f>
        <v>208.55057351407717</v>
      </c>
      <c r="J161" s="3">
        <v>106</v>
      </c>
      <c r="K161" s="3">
        <f>FastenersPriceList[[#This Row],[1000 PCS/WT.]]*FastenersPriceList[[#This Row],[Rate / PER kg (₹)]]</f>
        <v>25413.5</v>
      </c>
      <c r="L161" s="4">
        <f>FastenersPriceList[[#This Row],[Rate / PER kg (₹)]]*FastenersPriceList[[#This Row],[Quantity (kg)]]</f>
        <v>5300</v>
      </c>
      <c r="M161" s="4"/>
    </row>
    <row r="162" spans="1:13" ht="22.05" customHeight="1" x14ac:dyDescent="0.3">
      <c r="A162" s="2" t="s">
        <v>1019</v>
      </c>
      <c r="B162" s="12" t="s">
        <v>8</v>
      </c>
      <c r="C162" s="12" t="s">
        <v>9</v>
      </c>
      <c r="D162" s="2">
        <v>250</v>
      </c>
      <c r="E162" s="2">
        <f>FastenersPriceList[[#This Row],[1000 PCS/WT.]]/1000</f>
        <v>0.25</v>
      </c>
      <c r="F162" s="2" t="s">
        <v>165</v>
      </c>
      <c r="G162" s="6" t="s">
        <v>11</v>
      </c>
      <c r="H162" s="70">
        <v>50</v>
      </c>
      <c r="I162" s="72">
        <f>FastenersPriceList[[#This Row],[Quantity (kg)]]/FastenersPriceList[[#This Row],[SINGLE PC. WT.]]</f>
        <v>200</v>
      </c>
      <c r="J162" s="3">
        <v>108</v>
      </c>
      <c r="K162" s="3">
        <f>FastenersPriceList[[#This Row],[1000 PCS/WT.]]*FastenersPriceList[[#This Row],[Rate / PER kg (₹)]]</f>
        <v>27000</v>
      </c>
      <c r="L162" s="4">
        <f>FastenersPriceList[[#This Row],[Rate / PER kg (₹)]]*FastenersPriceList[[#This Row],[Quantity (kg)]]</f>
        <v>5400</v>
      </c>
      <c r="M162" s="4"/>
    </row>
    <row r="163" spans="1:13" ht="22.05" customHeight="1" x14ac:dyDescent="0.3">
      <c r="A163" s="2" t="s">
        <v>1020</v>
      </c>
      <c r="B163" s="12" t="s">
        <v>8</v>
      </c>
      <c r="C163" s="12" t="s">
        <v>9</v>
      </c>
      <c r="D163" s="2">
        <v>260.25</v>
      </c>
      <c r="E163" s="2">
        <f>FastenersPriceList[[#This Row],[1000 PCS/WT.]]/1000</f>
        <v>0.26024999999999998</v>
      </c>
      <c r="F163" s="2" t="s">
        <v>166</v>
      </c>
      <c r="G163" s="6" t="s">
        <v>11</v>
      </c>
      <c r="H163" s="70">
        <v>50</v>
      </c>
      <c r="I163" s="72">
        <f>FastenersPriceList[[#This Row],[Quantity (kg)]]/FastenersPriceList[[#This Row],[SINGLE PC. WT.]]</f>
        <v>192.1229586935639</v>
      </c>
      <c r="J163" s="3">
        <v>108</v>
      </c>
      <c r="K163" s="3">
        <f>FastenersPriceList[[#This Row],[1000 PCS/WT.]]*FastenersPriceList[[#This Row],[Rate / PER kg (₹)]]</f>
        <v>28107</v>
      </c>
      <c r="L163" s="4">
        <f>FastenersPriceList[[#This Row],[Rate / PER kg (₹)]]*FastenersPriceList[[#This Row],[Quantity (kg)]]</f>
        <v>5400</v>
      </c>
      <c r="M163" s="4"/>
    </row>
    <row r="164" spans="1:13" ht="22.05" customHeight="1" x14ac:dyDescent="0.3">
      <c r="A164" s="2" t="s">
        <v>1021</v>
      </c>
      <c r="B164" s="12" t="s">
        <v>8</v>
      </c>
      <c r="C164" s="12" t="s">
        <v>9</v>
      </c>
      <c r="D164" s="2">
        <v>270.5</v>
      </c>
      <c r="E164" s="2">
        <f>FastenersPriceList[[#This Row],[1000 PCS/WT.]]/1000</f>
        <v>0.27050000000000002</v>
      </c>
      <c r="F164" s="2" t="s">
        <v>167</v>
      </c>
      <c r="G164" s="6" t="s">
        <v>11</v>
      </c>
      <c r="H164" s="70">
        <v>50</v>
      </c>
      <c r="I164" s="72">
        <f>FastenersPriceList[[#This Row],[Quantity (kg)]]/FastenersPriceList[[#This Row],[SINGLE PC. WT.]]</f>
        <v>184.84288354898334</v>
      </c>
      <c r="J164" s="3">
        <v>108</v>
      </c>
      <c r="K164" s="3">
        <f>FastenersPriceList[[#This Row],[1000 PCS/WT.]]*FastenersPriceList[[#This Row],[Rate / PER kg (₹)]]</f>
        <v>29214</v>
      </c>
      <c r="L164" s="4">
        <f>FastenersPriceList[[#This Row],[Rate / PER kg (₹)]]*FastenersPriceList[[#This Row],[Quantity (kg)]]</f>
        <v>5400</v>
      </c>
      <c r="M164" s="4"/>
    </row>
    <row r="165" spans="1:13" ht="22.05" customHeight="1" x14ac:dyDescent="0.3">
      <c r="A165" s="2" t="s">
        <v>1144</v>
      </c>
      <c r="B165" s="12" t="s">
        <v>8</v>
      </c>
      <c r="C165" s="12" t="s">
        <v>9</v>
      </c>
      <c r="D165" s="2">
        <v>280.75</v>
      </c>
      <c r="E165" s="2">
        <f>FastenersPriceList[[#This Row],[1000 PCS/WT.]]/1000</f>
        <v>0.28075</v>
      </c>
      <c r="F165" s="2" t="s">
        <v>168</v>
      </c>
      <c r="G165" s="6" t="s">
        <v>11</v>
      </c>
      <c r="H165" s="70">
        <v>50</v>
      </c>
      <c r="I165" s="72">
        <f>FastenersPriceList[[#This Row],[Quantity (kg)]]/FastenersPriceList[[#This Row],[SINGLE PC. WT.]]</f>
        <v>178.09439002671417</v>
      </c>
      <c r="J165" s="3">
        <v>108</v>
      </c>
      <c r="K165" s="3">
        <f>FastenersPriceList[[#This Row],[1000 PCS/WT.]]*FastenersPriceList[[#This Row],[Rate / PER kg (₹)]]</f>
        <v>30321</v>
      </c>
      <c r="L165" s="4">
        <f>FastenersPriceList[[#This Row],[Rate / PER kg (₹)]]*FastenersPriceList[[#This Row],[Quantity (kg)]]</f>
        <v>5400</v>
      </c>
      <c r="M165" s="4"/>
    </row>
    <row r="166" spans="1:13" ht="22.05" customHeight="1" x14ac:dyDescent="0.3">
      <c r="A166" s="2" t="s">
        <v>1145</v>
      </c>
      <c r="B166" s="12" t="s">
        <v>8</v>
      </c>
      <c r="C166" s="12" t="s">
        <v>9</v>
      </c>
      <c r="D166" s="2">
        <v>301.25</v>
      </c>
      <c r="E166" s="2">
        <f>FastenersPriceList[[#This Row],[1000 PCS/WT.]]/1000</f>
        <v>0.30125000000000002</v>
      </c>
      <c r="F166" s="2" t="s">
        <v>169</v>
      </c>
      <c r="G166" s="6" t="s">
        <v>11</v>
      </c>
      <c r="H166" s="70">
        <v>50</v>
      </c>
      <c r="I166" s="72">
        <f>FastenersPriceList[[#This Row],[Quantity (kg)]]/FastenersPriceList[[#This Row],[SINGLE PC. WT.]]</f>
        <v>165.97510373443981</v>
      </c>
      <c r="J166" s="3">
        <v>110</v>
      </c>
      <c r="K166" s="3">
        <f>FastenersPriceList[[#This Row],[1000 PCS/WT.]]*FastenersPriceList[[#This Row],[Rate / PER kg (₹)]]</f>
        <v>33137.5</v>
      </c>
      <c r="L166" s="4">
        <f>FastenersPriceList[[#This Row],[Rate / PER kg (₹)]]*FastenersPriceList[[#This Row],[Quantity (kg)]]</f>
        <v>5500</v>
      </c>
      <c r="M166" s="4"/>
    </row>
    <row r="167" spans="1:13" ht="22.05" customHeight="1" x14ac:dyDescent="0.3">
      <c r="A167" s="2" t="s">
        <v>1146</v>
      </c>
      <c r="B167" s="12" t="s">
        <v>8</v>
      </c>
      <c r="C167" s="12" t="s">
        <v>9</v>
      </c>
      <c r="D167" s="2">
        <v>321.75</v>
      </c>
      <c r="E167" s="2">
        <f>FastenersPriceList[[#This Row],[1000 PCS/WT.]]/1000</f>
        <v>0.32174999999999998</v>
      </c>
      <c r="F167" s="2" t="s">
        <v>170</v>
      </c>
      <c r="G167" s="6" t="s">
        <v>11</v>
      </c>
      <c r="H167" s="70">
        <v>50</v>
      </c>
      <c r="I167" s="72">
        <f>FastenersPriceList[[#This Row],[Quantity (kg)]]/FastenersPriceList[[#This Row],[SINGLE PC. WT.]]</f>
        <v>155.4001554001554</v>
      </c>
      <c r="J167" s="3">
        <v>110</v>
      </c>
      <c r="K167" s="3">
        <f>FastenersPriceList[[#This Row],[1000 PCS/WT.]]*FastenersPriceList[[#This Row],[Rate / PER kg (₹)]]</f>
        <v>35392.5</v>
      </c>
      <c r="L167" s="4">
        <f>FastenersPriceList[[#This Row],[Rate / PER kg (₹)]]*FastenersPriceList[[#This Row],[Quantity (kg)]]</f>
        <v>5500</v>
      </c>
      <c r="M167" s="4"/>
    </row>
    <row r="168" spans="1:13" ht="22.05" customHeight="1" x14ac:dyDescent="0.3">
      <c r="A168" s="2" t="s">
        <v>1147</v>
      </c>
      <c r="B168" s="12" t="s">
        <v>8</v>
      </c>
      <c r="C168" s="12" t="s">
        <v>9</v>
      </c>
      <c r="D168" s="2">
        <v>342.25</v>
      </c>
      <c r="E168" s="2">
        <f>FastenersPriceList[[#This Row],[1000 PCS/WT.]]/1000</f>
        <v>0.34225</v>
      </c>
      <c r="F168" s="2" t="s">
        <v>171</v>
      </c>
      <c r="G168" s="6" t="s">
        <v>11</v>
      </c>
      <c r="H168" s="70">
        <v>50</v>
      </c>
      <c r="I168" s="72">
        <f>FastenersPriceList[[#This Row],[Quantity (kg)]]/FastenersPriceList[[#This Row],[SINGLE PC. WT.]]</f>
        <v>146.09203798392988</v>
      </c>
      <c r="J168" s="3">
        <v>110</v>
      </c>
      <c r="K168" s="3">
        <f>FastenersPriceList[[#This Row],[1000 PCS/WT.]]*FastenersPriceList[[#This Row],[Rate / PER kg (₹)]]</f>
        <v>37647.5</v>
      </c>
      <c r="L168" s="4">
        <f>FastenersPriceList[[#This Row],[Rate / PER kg (₹)]]*FastenersPriceList[[#This Row],[Quantity (kg)]]</f>
        <v>5500</v>
      </c>
      <c r="M168" s="4"/>
    </row>
    <row r="169" spans="1:13" ht="22.05" customHeight="1" x14ac:dyDescent="0.3">
      <c r="A169" s="2" t="s">
        <v>1148</v>
      </c>
      <c r="B169" s="12" t="s">
        <v>8</v>
      </c>
      <c r="C169" s="12" t="s">
        <v>9</v>
      </c>
      <c r="D169" s="2">
        <v>362.75</v>
      </c>
      <c r="E169" s="2">
        <f>FastenersPriceList[[#This Row],[1000 PCS/WT.]]/1000</f>
        <v>0.36275000000000002</v>
      </c>
      <c r="F169" s="2" t="s">
        <v>172</v>
      </c>
      <c r="G169" s="6" t="s">
        <v>11</v>
      </c>
      <c r="H169" s="70">
        <v>50</v>
      </c>
      <c r="I169" s="72">
        <f>FastenersPriceList[[#This Row],[Quantity (kg)]]/FastenersPriceList[[#This Row],[SINGLE PC. WT.]]</f>
        <v>137.83597518952445</v>
      </c>
      <c r="J169" s="3">
        <v>110</v>
      </c>
      <c r="K169" s="3">
        <f>FastenersPriceList[[#This Row],[1000 PCS/WT.]]*FastenersPriceList[[#This Row],[Rate / PER kg (₹)]]</f>
        <v>39902.5</v>
      </c>
      <c r="L169" s="4">
        <f>FastenersPriceList[[#This Row],[Rate / PER kg (₹)]]*FastenersPriceList[[#This Row],[Quantity (kg)]]</f>
        <v>5500</v>
      </c>
      <c r="M169" s="4"/>
    </row>
    <row r="170" spans="1:13" ht="22.05" customHeight="1" x14ac:dyDescent="0.3">
      <c r="A170" s="2" t="s">
        <v>1149</v>
      </c>
      <c r="B170" s="12" t="s">
        <v>8</v>
      </c>
      <c r="C170" s="12" t="s">
        <v>9</v>
      </c>
      <c r="D170" s="2">
        <v>383.25</v>
      </c>
      <c r="E170" s="2">
        <f>FastenersPriceList[[#This Row],[1000 PCS/WT.]]/1000</f>
        <v>0.38324999999999998</v>
      </c>
      <c r="F170" s="2" t="s">
        <v>173</v>
      </c>
      <c r="G170" s="6" t="s">
        <v>11</v>
      </c>
      <c r="H170" s="70">
        <v>50</v>
      </c>
      <c r="I170" s="72">
        <f>FastenersPriceList[[#This Row],[Quantity (kg)]]/FastenersPriceList[[#This Row],[SINGLE PC. WT.]]</f>
        <v>130.4631441617743</v>
      </c>
      <c r="J170" s="3">
        <v>110</v>
      </c>
      <c r="K170" s="3">
        <f>FastenersPriceList[[#This Row],[1000 PCS/WT.]]*FastenersPriceList[[#This Row],[Rate / PER kg (₹)]]</f>
        <v>42157.5</v>
      </c>
      <c r="L170" s="4">
        <f>FastenersPriceList[[#This Row],[Rate / PER kg (₹)]]*FastenersPriceList[[#This Row],[Quantity (kg)]]</f>
        <v>5500</v>
      </c>
      <c r="M170" s="4"/>
    </row>
    <row r="171" spans="1:13" ht="22.05" customHeight="1" x14ac:dyDescent="0.3">
      <c r="A171" s="2" t="s">
        <v>1150</v>
      </c>
      <c r="B171" s="12" t="s">
        <v>8</v>
      </c>
      <c r="C171" s="12" t="s">
        <v>9</v>
      </c>
      <c r="D171" s="2">
        <v>403.75</v>
      </c>
      <c r="E171" s="2">
        <f>FastenersPriceList[[#This Row],[1000 PCS/WT.]]/1000</f>
        <v>0.40375</v>
      </c>
      <c r="F171" s="2" t="s">
        <v>174</v>
      </c>
      <c r="G171" s="6" t="s">
        <v>11</v>
      </c>
      <c r="H171" s="70">
        <v>50</v>
      </c>
      <c r="I171" s="72">
        <f>FastenersPriceList[[#This Row],[Quantity (kg)]]/FastenersPriceList[[#This Row],[SINGLE PC. WT.]]</f>
        <v>123.83900928792569</v>
      </c>
      <c r="J171" s="3">
        <v>110</v>
      </c>
      <c r="K171" s="3">
        <f>FastenersPriceList[[#This Row],[1000 PCS/WT.]]*FastenersPriceList[[#This Row],[Rate / PER kg (₹)]]</f>
        <v>44412.5</v>
      </c>
      <c r="L171" s="4">
        <f>FastenersPriceList[[#This Row],[Rate / PER kg (₹)]]*FastenersPriceList[[#This Row],[Quantity (kg)]]</f>
        <v>5500</v>
      </c>
      <c r="M171" s="4"/>
    </row>
    <row r="172" spans="1:13" ht="22.05" customHeight="1" x14ac:dyDescent="0.3">
      <c r="A172" s="2" t="s">
        <v>1151</v>
      </c>
      <c r="B172" s="12" t="s">
        <v>8</v>
      </c>
      <c r="C172" s="12" t="s">
        <v>9</v>
      </c>
      <c r="D172" s="2">
        <v>444.75</v>
      </c>
      <c r="E172" s="2">
        <f>FastenersPriceList[[#This Row],[1000 PCS/WT.]]/1000</f>
        <v>0.44474999999999998</v>
      </c>
      <c r="F172" s="2" t="s">
        <v>175</v>
      </c>
      <c r="G172" s="6" t="s">
        <v>11</v>
      </c>
      <c r="H172" s="70">
        <v>50</v>
      </c>
      <c r="I172" s="72">
        <f>FastenersPriceList[[#This Row],[Quantity (kg)]]/FastenersPriceList[[#This Row],[SINGLE PC. WT.]]</f>
        <v>112.42270938729624</v>
      </c>
      <c r="J172" s="3">
        <v>110</v>
      </c>
      <c r="K172" s="3">
        <f>FastenersPriceList[[#This Row],[1000 PCS/WT.]]*FastenersPriceList[[#This Row],[Rate / PER kg (₹)]]</f>
        <v>48922.5</v>
      </c>
      <c r="L172" s="4">
        <f>FastenersPriceList[[#This Row],[Rate / PER kg (₹)]]*FastenersPriceList[[#This Row],[Quantity (kg)]]</f>
        <v>5500</v>
      </c>
      <c r="M172" s="4"/>
    </row>
    <row r="173" spans="1:13" ht="22.05" customHeight="1" x14ac:dyDescent="0.3">
      <c r="A173" s="2" t="s">
        <v>1152</v>
      </c>
      <c r="B173" s="12" t="s">
        <v>8</v>
      </c>
      <c r="C173" s="12" t="s">
        <v>9</v>
      </c>
      <c r="D173" s="2">
        <v>465.25</v>
      </c>
      <c r="E173" s="2">
        <f>FastenersPriceList[[#This Row],[1000 PCS/WT.]]/1000</f>
        <v>0.46525</v>
      </c>
      <c r="F173" s="2" t="s">
        <v>176</v>
      </c>
      <c r="G173" s="6" t="s">
        <v>11</v>
      </c>
      <c r="H173" s="70">
        <v>50</v>
      </c>
      <c r="I173" s="72">
        <f>FastenersPriceList[[#This Row],[Quantity (kg)]]/FastenersPriceList[[#This Row],[SINGLE PC. WT.]]</f>
        <v>107.46910263299301</v>
      </c>
      <c r="J173" s="3">
        <v>115</v>
      </c>
      <c r="K173" s="3">
        <f>FastenersPriceList[[#This Row],[1000 PCS/WT.]]*FastenersPriceList[[#This Row],[Rate / PER kg (₹)]]</f>
        <v>53503.75</v>
      </c>
      <c r="L173" s="4">
        <f>FastenersPriceList[[#This Row],[Rate / PER kg (₹)]]*FastenersPriceList[[#This Row],[Quantity (kg)]]</f>
        <v>5750</v>
      </c>
      <c r="M173" s="4"/>
    </row>
    <row r="174" spans="1:13" ht="22.05" customHeight="1" x14ac:dyDescent="0.3">
      <c r="A174" s="2" t="s">
        <v>1153</v>
      </c>
      <c r="B174" s="12" t="s">
        <v>8</v>
      </c>
      <c r="C174" s="12" t="s">
        <v>9</v>
      </c>
      <c r="D174" s="2">
        <v>485.75</v>
      </c>
      <c r="E174" s="2">
        <f>FastenersPriceList[[#This Row],[1000 PCS/WT.]]/1000</f>
        <v>0.48575000000000002</v>
      </c>
      <c r="F174" s="2" t="s">
        <v>177</v>
      </c>
      <c r="G174" s="6" t="s">
        <v>11</v>
      </c>
      <c r="H174" s="70">
        <v>50</v>
      </c>
      <c r="I174" s="72">
        <f>FastenersPriceList[[#This Row],[Quantity (kg)]]/FastenersPriceList[[#This Row],[SINGLE PC. WT.]]</f>
        <v>102.93360782295419</v>
      </c>
      <c r="J174" s="3">
        <v>115</v>
      </c>
      <c r="K174" s="3">
        <f>FastenersPriceList[[#This Row],[1000 PCS/WT.]]*FastenersPriceList[[#This Row],[Rate / PER kg (₹)]]</f>
        <v>55861.25</v>
      </c>
      <c r="L174" s="4">
        <f>FastenersPriceList[[#This Row],[Rate / PER kg (₹)]]*FastenersPriceList[[#This Row],[Quantity (kg)]]</f>
        <v>5750</v>
      </c>
      <c r="M174" s="4"/>
    </row>
    <row r="175" spans="1:13" ht="22.05" customHeight="1" x14ac:dyDescent="0.3">
      <c r="A175" s="2" t="s">
        <v>1022</v>
      </c>
      <c r="B175" s="12" t="s">
        <v>8</v>
      </c>
      <c r="C175" s="12" t="s">
        <v>9</v>
      </c>
      <c r="D175" s="2">
        <v>183</v>
      </c>
      <c r="E175" s="2">
        <f>FastenersPriceList[[#This Row],[1000 PCS/WT.]]/1000</f>
        <v>0.183</v>
      </c>
      <c r="F175" s="2" t="s">
        <v>636</v>
      </c>
      <c r="G175" s="6" t="s">
        <v>11</v>
      </c>
      <c r="H175" s="70">
        <v>50</v>
      </c>
      <c r="I175" s="72">
        <f>FastenersPriceList[[#This Row],[Quantity (kg)]]/FastenersPriceList[[#This Row],[SINGLE PC. WT.]]</f>
        <v>273.22404371584702</v>
      </c>
      <c r="J175" s="3">
        <v>110</v>
      </c>
      <c r="K175" s="3">
        <f>FastenersPriceList[[#This Row],[1000 PCS/WT.]]*FastenersPriceList[[#This Row],[Rate / PER kg (₹)]]</f>
        <v>20130</v>
      </c>
      <c r="L175" s="4">
        <f>FastenersPriceList[[#This Row],[Rate / PER kg (₹)]]*FastenersPriceList[[#This Row],[Quantity (kg)]]</f>
        <v>5500</v>
      </c>
      <c r="M175" s="4"/>
    </row>
    <row r="176" spans="1:13" ht="22.05" customHeight="1" x14ac:dyDescent="0.3">
      <c r="A176" s="2" t="s">
        <v>1023</v>
      </c>
      <c r="B176" s="12" t="s">
        <v>8</v>
      </c>
      <c r="C176" s="12" t="s">
        <v>9</v>
      </c>
      <c r="D176" s="2">
        <v>196</v>
      </c>
      <c r="E176" s="2">
        <f>FastenersPriceList[[#This Row],[1000 PCS/WT.]]/1000</f>
        <v>0.19600000000000001</v>
      </c>
      <c r="F176" s="2" t="s">
        <v>637</v>
      </c>
      <c r="G176" s="6" t="s">
        <v>11</v>
      </c>
      <c r="H176" s="70">
        <v>50</v>
      </c>
      <c r="I176" s="72">
        <f>FastenersPriceList[[#This Row],[Quantity (kg)]]/FastenersPriceList[[#This Row],[SINGLE PC. WT.]]</f>
        <v>255.10204081632651</v>
      </c>
      <c r="J176" s="3">
        <v>110</v>
      </c>
      <c r="K176" s="3">
        <f>FastenersPriceList[[#This Row],[1000 PCS/WT.]]*FastenersPriceList[[#This Row],[Rate / PER kg (₹)]]</f>
        <v>21560</v>
      </c>
      <c r="L176" s="4">
        <f>FastenersPriceList[[#This Row],[Rate / PER kg (₹)]]*FastenersPriceList[[#This Row],[Quantity (kg)]]</f>
        <v>5500</v>
      </c>
      <c r="M176" s="4"/>
    </row>
    <row r="177" spans="1:13" ht="22.05" customHeight="1" x14ac:dyDescent="0.3">
      <c r="A177" s="2" t="s">
        <v>1024</v>
      </c>
      <c r="B177" s="12" t="s">
        <v>8</v>
      </c>
      <c r="C177" s="12" t="s">
        <v>9</v>
      </c>
      <c r="D177" s="2">
        <v>209</v>
      </c>
      <c r="E177" s="2">
        <f>FastenersPriceList[[#This Row],[1000 PCS/WT.]]/1000</f>
        <v>0.20899999999999999</v>
      </c>
      <c r="F177" s="2" t="s">
        <v>638</v>
      </c>
      <c r="G177" s="6" t="s">
        <v>11</v>
      </c>
      <c r="H177" s="70">
        <v>50</v>
      </c>
      <c r="I177" s="72">
        <f>FastenersPriceList[[#This Row],[Quantity (kg)]]/FastenersPriceList[[#This Row],[SINGLE PC. WT.]]</f>
        <v>239.23444976076556</v>
      </c>
      <c r="J177" s="3">
        <v>110</v>
      </c>
      <c r="K177" s="3">
        <f>FastenersPriceList[[#This Row],[1000 PCS/WT.]]*FastenersPriceList[[#This Row],[Rate / PER kg (₹)]]</f>
        <v>22990</v>
      </c>
      <c r="L177" s="4">
        <f>FastenersPriceList[[#This Row],[Rate / PER kg (₹)]]*FastenersPriceList[[#This Row],[Quantity (kg)]]</f>
        <v>5500</v>
      </c>
      <c r="M177" s="4"/>
    </row>
    <row r="178" spans="1:13" ht="22.05" customHeight="1" x14ac:dyDescent="0.3">
      <c r="A178" s="2" t="s">
        <v>1025</v>
      </c>
      <c r="B178" s="12" t="s">
        <v>8</v>
      </c>
      <c r="C178" s="12" t="s">
        <v>9</v>
      </c>
      <c r="D178" s="2">
        <v>222</v>
      </c>
      <c r="E178" s="2">
        <f>FastenersPriceList[[#This Row],[1000 PCS/WT.]]/1000</f>
        <v>0.222</v>
      </c>
      <c r="F178" s="2" t="s">
        <v>639</v>
      </c>
      <c r="G178" s="6" t="s">
        <v>11</v>
      </c>
      <c r="H178" s="70">
        <v>50</v>
      </c>
      <c r="I178" s="72">
        <f>FastenersPriceList[[#This Row],[Quantity (kg)]]/FastenersPriceList[[#This Row],[SINGLE PC. WT.]]</f>
        <v>225.22522522522522</v>
      </c>
      <c r="J178" s="3">
        <v>110</v>
      </c>
      <c r="K178" s="3">
        <f>FastenersPriceList[[#This Row],[1000 PCS/WT.]]*FastenersPriceList[[#This Row],[Rate / PER kg (₹)]]</f>
        <v>24420</v>
      </c>
      <c r="L178" s="4">
        <f>FastenersPriceList[[#This Row],[Rate / PER kg (₹)]]*FastenersPriceList[[#This Row],[Quantity (kg)]]</f>
        <v>5500</v>
      </c>
      <c r="M178" s="4"/>
    </row>
    <row r="179" spans="1:13" ht="22.05" customHeight="1" x14ac:dyDescent="0.3">
      <c r="A179" s="2" t="s">
        <v>1026</v>
      </c>
      <c r="B179" s="12" t="s">
        <v>8</v>
      </c>
      <c r="C179" s="12" t="s">
        <v>9</v>
      </c>
      <c r="D179" s="2">
        <v>235</v>
      </c>
      <c r="E179" s="2">
        <f>FastenersPriceList[[#This Row],[1000 PCS/WT.]]/1000</f>
        <v>0.23499999999999999</v>
      </c>
      <c r="F179" s="2" t="s">
        <v>640</v>
      </c>
      <c r="G179" s="6" t="s">
        <v>11</v>
      </c>
      <c r="H179" s="70">
        <v>50</v>
      </c>
      <c r="I179" s="72">
        <f>FastenersPriceList[[#This Row],[Quantity (kg)]]/FastenersPriceList[[#This Row],[SINGLE PC. WT.]]</f>
        <v>212.76595744680853</v>
      </c>
      <c r="J179" s="3">
        <v>110</v>
      </c>
      <c r="K179" s="3">
        <f>FastenersPriceList[[#This Row],[1000 PCS/WT.]]*FastenersPriceList[[#This Row],[Rate / PER kg (₹)]]</f>
        <v>25850</v>
      </c>
      <c r="L179" s="4">
        <f>FastenersPriceList[[#This Row],[Rate / PER kg (₹)]]*FastenersPriceList[[#This Row],[Quantity (kg)]]</f>
        <v>5500</v>
      </c>
      <c r="M179" s="4"/>
    </row>
    <row r="180" spans="1:13" ht="22.05" customHeight="1" x14ac:dyDescent="0.3">
      <c r="A180" s="2" t="s">
        <v>1027</v>
      </c>
      <c r="B180" s="12" t="s">
        <v>8</v>
      </c>
      <c r="C180" s="12" t="s">
        <v>9</v>
      </c>
      <c r="D180" s="2">
        <v>248</v>
      </c>
      <c r="E180" s="2">
        <f>FastenersPriceList[[#This Row],[1000 PCS/WT.]]/1000</f>
        <v>0.248</v>
      </c>
      <c r="F180" s="2" t="s">
        <v>641</v>
      </c>
      <c r="G180" s="6" t="s">
        <v>11</v>
      </c>
      <c r="H180" s="70">
        <v>50</v>
      </c>
      <c r="I180" s="72">
        <f>FastenersPriceList[[#This Row],[Quantity (kg)]]/FastenersPriceList[[#This Row],[SINGLE PC. WT.]]</f>
        <v>201.61290322580646</v>
      </c>
      <c r="J180" s="3">
        <v>110</v>
      </c>
      <c r="K180" s="3">
        <f>FastenersPriceList[[#This Row],[1000 PCS/WT.]]*FastenersPriceList[[#This Row],[Rate / PER kg (₹)]]</f>
        <v>27280</v>
      </c>
      <c r="L180" s="4">
        <f>FastenersPriceList[[#This Row],[Rate / PER kg (₹)]]*FastenersPriceList[[#This Row],[Quantity (kg)]]</f>
        <v>5500</v>
      </c>
      <c r="M180" s="4"/>
    </row>
    <row r="181" spans="1:13" ht="22.05" customHeight="1" x14ac:dyDescent="0.3">
      <c r="A181" s="2" t="s">
        <v>1028</v>
      </c>
      <c r="B181" s="12" t="s">
        <v>8</v>
      </c>
      <c r="C181" s="12" t="s">
        <v>9</v>
      </c>
      <c r="D181" s="2">
        <v>261</v>
      </c>
      <c r="E181" s="2">
        <f>FastenersPriceList[[#This Row],[1000 PCS/WT.]]/1000</f>
        <v>0.26100000000000001</v>
      </c>
      <c r="F181" s="2" t="s">
        <v>642</v>
      </c>
      <c r="G181" s="6" t="s">
        <v>11</v>
      </c>
      <c r="H181" s="70">
        <v>50</v>
      </c>
      <c r="I181" s="72">
        <f>FastenersPriceList[[#This Row],[Quantity (kg)]]/FastenersPriceList[[#This Row],[SINGLE PC. WT.]]</f>
        <v>191.57088122605364</v>
      </c>
      <c r="J181" s="3">
        <v>110</v>
      </c>
      <c r="K181" s="3">
        <f>FastenersPriceList[[#This Row],[1000 PCS/WT.]]*FastenersPriceList[[#This Row],[Rate / PER kg (₹)]]</f>
        <v>28710</v>
      </c>
      <c r="L181" s="4">
        <f>FastenersPriceList[[#This Row],[Rate / PER kg (₹)]]*FastenersPriceList[[#This Row],[Quantity (kg)]]</f>
        <v>5500</v>
      </c>
      <c r="M181" s="4"/>
    </row>
    <row r="182" spans="1:13" ht="22.05" customHeight="1" x14ac:dyDescent="0.3">
      <c r="A182" s="2" t="s">
        <v>1029</v>
      </c>
      <c r="B182" s="12" t="s">
        <v>8</v>
      </c>
      <c r="C182" s="12" t="s">
        <v>9</v>
      </c>
      <c r="D182" s="2">
        <v>274</v>
      </c>
      <c r="E182" s="2">
        <f>FastenersPriceList[[#This Row],[1000 PCS/WT.]]/1000</f>
        <v>0.27400000000000002</v>
      </c>
      <c r="F182" s="2" t="s">
        <v>643</v>
      </c>
      <c r="G182" s="6" t="s">
        <v>11</v>
      </c>
      <c r="H182" s="70">
        <v>50</v>
      </c>
      <c r="I182" s="72">
        <f>FastenersPriceList[[#This Row],[Quantity (kg)]]/FastenersPriceList[[#This Row],[SINGLE PC. WT.]]</f>
        <v>182.48175182481751</v>
      </c>
      <c r="J182" s="3">
        <v>110</v>
      </c>
      <c r="K182" s="3">
        <f>FastenersPriceList[[#This Row],[1000 PCS/WT.]]*FastenersPriceList[[#This Row],[Rate / PER kg (₹)]]</f>
        <v>30140</v>
      </c>
      <c r="L182" s="4">
        <f>FastenersPriceList[[#This Row],[Rate / PER kg (₹)]]*FastenersPriceList[[#This Row],[Quantity (kg)]]</f>
        <v>5500</v>
      </c>
      <c r="M182" s="4"/>
    </row>
    <row r="183" spans="1:13" ht="22.05" customHeight="1" x14ac:dyDescent="0.3">
      <c r="A183" s="2" t="s">
        <v>1030</v>
      </c>
      <c r="B183" s="12" t="s">
        <v>8</v>
      </c>
      <c r="C183" s="12" t="s">
        <v>9</v>
      </c>
      <c r="D183" s="2">
        <v>287</v>
      </c>
      <c r="E183" s="2">
        <f>FastenersPriceList[[#This Row],[1000 PCS/WT.]]/1000</f>
        <v>0.28699999999999998</v>
      </c>
      <c r="F183" s="2" t="s">
        <v>644</v>
      </c>
      <c r="G183" s="6" t="s">
        <v>11</v>
      </c>
      <c r="H183" s="70">
        <v>50</v>
      </c>
      <c r="I183" s="72">
        <f>FastenersPriceList[[#This Row],[Quantity (kg)]]/FastenersPriceList[[#This Row],[SINGLE PC. WT.]]</f>
        <v>174.21602787456447</v>
      </c>
      <c r="J183" s="3">
        <v>110</v>
      </c>
      <c r="K183" s="3">
        <f>FastenersPriceList[[#This Row],[1000 PCS/WT.]]*FastenersPriceList[[#This Row],[Rate / PER kg (₹)]]</f>
        <v>31570</v>
      </c>
      <c r="L183" s="4">
        <f>FastenersPriceList[[#This Row],[Rate / PER kg (₹)]]*FastenersPriceList[[#This Row],[Quantity (kg)]]</f>
        <v>5500</v>
      </c>
      <c r="M183" s="4"/>
    </row>
    <row r="184" spans="1:13" ht="22.05" customHeight="1" x14ac:dyDescent="0.3">
      <c r="A184" s="2" t="s">
        <v>1031</v>
      </c>
      <c r="B184" s="12" t="s">
        <v>8</v>
      </c>
      <c r="C184" s="12" t="s">
        <v>9</v>
      </c>
      <c r="D184" s="2">
        <v>300</v>
      </c>
      <c r="E184" s="2">
        <f>FastenersPriceList[[#This Row],[1000 PCS/WT.]]/1000</f>
        <v>0.3</v>
      </c>
      <c r="F184" s="2" t="s">
        <v>645</v>
      </c>
      <c r="G184" s="6" t="s">
        <v>11</v>
      </c>
      <c r="H184" s="70">
        <v>50</v>
      </c>
      <c r="I184" s="72">
        <f>FastenersPriceList[[#This Row],[Quantity (kg)]]/FastenersPriceList[[#This Row],[SINGLE PC. WT.]]</f>
        <v>166.66666666666669</v>
      </c>
      <c r="J184" s="3">
        <v>110</v>
      </c>
      <c r="K184" s="3">
        <f>FastenersPriceList[[#This Row],[1000 PCS/WT.]]*FastenersPriceList[[#This Row],[Rate / PER kg (₹)]]</f>
        <v>33000</v>
      </c>
      <c r="L184" s="4">
        <f>FastenersPriceList[[#This Row],[Rate / PER kg (₹)]]*FastenersPriceList[[#This Row],[Quantity (kg)]]</f>
        <v>5500</v>
      </c>
      <c r="M184" s="4"/>
    </row>
    <row r="185" spans="1:13" ht="22.05" customHeight="1" x14ac:dyDescent="0.3">
      <c r="A185" s="2" t="s">
        <v>1032</v>
      </c>
      <c r="B185" s="12" t="s">
        <v>8</v>
      </c>
      <c r="C185" s="12" t="s">
        <v>9</v>
      </c>
      <c r="D185" s="2">
        <v>313</v>
      </c>
      <c r="E185" s="2">
        <f>FastenersPriceList[[#This Row],[1000 PCS/WT.]]/1000</f>
        <v>0.313</v>
      </c>
      <c r="F185" s="2" t="s">
        <v>646</v>
      </c>
      <c r="G185" s="6" t="s">
        <v>11</v>
      </c>
      <c r="H185" s="70">
        <v>50</v>
      </c>
      <c r="I185" s="72">
        <f>FastenersPriceList[[#This Row],[Quantity (kg)]]/FastenersPriceList[[#This Row],[SINGLE PC. WT.]]</f>
        <v>159.7444089456869</v>
      </c>
      <c r="J185" s="3">
        <v>110</v>
      </c>
      <c r="K185" s="3">
        <f>FastenersPriceList[[#This Row],[1000 PCS/WT.]]*FastenersPriceList[[#This Row],[Rate / PER kg (₹)]]</f>
        <v>34430</v>
      </c>
      <c r="L185" s="4">
        <f>FastenersPriceList[[#This Row],[Rate / PER kg (₹)]]*FastenersPriceList[[#This Row],[Quantity (kg)]]</f>
        <v>5500</v>
      </c>
      <c r="M185" s="4"/>
    </row>
    <row r="186" spans="1:13" ht="22.05" customHeight="1" x14ac:dyDescent="0.3">
      <c r="A186" s="2" t="s">
        <v>1154</v>
      </c>
      <c r="B186" s="12" t="s">
        <v>8</v>
      </c>
      <c r="C186" s="12" t="s">
        <v>9</v>
      </c>
      <c r="D186" s="2">
        <v>326</v>
      </c>
      <c r="E186" s="2">
        <f>FastenersPriceList[[#This Row],[1000 PCS/WT.]]/1000</f>
        <v>0.32600000000000001</v>
      </c>
      <c r="F186" s="2" t="s">
        <v>647</v>
      </c>
      <c r="G186" s="6" t="s">
        <v>11</v>
      </c>
      <c r="H186" s="70">
        <v>50</v>
      </c>
      <c r="I186" s="72">
        <f>FastenersPriceList[[#This Row],[Quantity (kg)]]/FastenersPriceList[[#This Row],[SINGLE PC. WT.]]</f>
        <v>153.37423312883436</v>
      </c>
      <c r="J186" s="3">
        <v>110</v>
      </c>
      <c r="K186" s="3">
        <f>FastenersPriceList[[#This Row],[1000 PCS/WT.]]*FastenersPriceList[[#This Row],[Rate / PER kg (₹)]]</f>
        <v>35860</v>
      </c>
      <c r="L186" s="4">
        <f>FastenersPriceList[[#This Row],[Rate / PER kg (₹)]]*FastenersPriceList[[#This Row],[Quantity (kg)]]</f>
        <v>5500</v>
      </c>
      <c r="M186" s="4"/>
    </row>
    <row r="187" spans="1:13" ht="22.05" customHeight="1" x14ac:dyDescent="0.3">
      <c r="A187" s="2" t="s">
        <v>1033</v>
      </c>
      <c r="B187" s="12" t="s">
        <v>8</v>
      </c>
      <c r="C187" s="12" t="s">
        <v>9</v>
      </c>
      <c r="D187" s="2">
        <v>339</v>
      </c>
      <c r="E187" s="2">
        <f>FastenersPriceList[[#This Row],[1000 PCS/WT.]]/1000</f>
        <v>0.33900000000000002</v>
      </c>
      <c r="F187" s="2" t="s">
        <v>648</v>
      </c>
      <c r="G187" s="6" t="s">
        <v>11</v>
      </c>
      <c r="H187" s="70">
        <v>50</v>
      </c>
      <c r="I187" s="72">
        <f>FastenersPriceList[[#This Row],[Quantity (kg)]]/FastenersPriceList[[#This Row],[SINGLE PC. WT.]]</f>
        <v>147.49262536873155</v>
      </c>
      <c r="J187" s="3">
        <v>110</v>
      </c>
      <c r="K187" s="3">
        <f>FastenersPriceList[[#This Row],[1000 PCS/WT.]]*FastenersPriceList[[#This Row],[Rate / PER kg (₹)]]</f>
        <v>37290</v>
      </c>
      <c r="L187" s="4">
        <f>FastenersPriceList[[#This Row],[Rate / PER kg (₹)]]*FastenersPriceList[[#This Row],[Quantity (kg)]]</f>
        <v>5500</v>
      </c>
      <c r="M187" s="4"/>
    </row>
    <row r="188" spans="1:13" ht="22.05" customHeight="1" x14ac:dyDescent="0.3">
      <c r="A188" s="2" t="s">
        <v>1155</v>
      </c>
      <c r="B188" s="12" t="s">
        <v>8</v>
      </c>
      <c r="C188" s="12" t="s">
        <v>9</v>
      </c>
      <c r="D188" s="2">
        <v>352</v>
      </c>
      <c r="E188" s="2">
        <f>FastenersPriceList[[#This Row],[1000 PCS/WT.]]/1000</f>
        <v>0.35199999999999998</v>
      </c>
      <c r="F188" s="2" t="s">
        <v>649</v>
      </c>
      <c r="G188" s="6" t="s">
        <v>11</v>
      </c>
      <c r="H188" s="70">
        <v>50</v>
      </c>
      <c r="I188" s="72">
        <f>FastenersPriceList[[#This Row],[Quantity (kg)]]/FastenersPriceList[[#This Row],[SINGLE PC. WT.]]</f>
        <v>142.04545454545456</v>
      </c>
      <c r="J188" s="3">
        <v>110</v>
      </c>
      <c r="K188" s="3">
        <f>FastenersPriceList[[#This Row],[1000 PCS/WT.]]*FastenersPriceList[[#This Row],[Rate / PER kg (₹)]]</f>
        <v>38720</v>
      </c>
      <c r="L188" s="4">
        <f>FastenersPriceList[[#This Row],[Rate / PER kg (₹)]]*FastenersPriceList[[#This Row],[Quantity (kg)]]</f>
        <v>5500</v>
      </c>
      <c r="M188" s="4"/>
    </row>
    <row r="189" spans="1:13" ht="22.05" customHeight="1" x14ac:dyDescent="0.3">
      <c r="A189" s="2" t="s">
        <v>1156</v>
      </c>
      <c r="B189" s="12" t="s">
        <v>8</v>
      </c>
      <c r="C189" s="12" t="s">
        <v>9</v>
      </c>
      <c r="D189" s="2">
        <v>377</v>
      </c>
      <c r="E189" s="2">
        <f>FastenersPriceList[[#This Row],[1000 PCS/WT.]]/1000</f>
        <v>0.377</v>
      </c>
      <c r="F189" s="2" t="s">
        <v>650</v>
      </c>
      <c r="G189" s="6" t="s">
        <v>11</v>
      </c>
      <c r="H189" s="70">
        <v>50</v>
      </c>
      <c r="I189" s="72">
        <f>FastenersPriceList[[#This Row],[Quantity (kg)]]/FastenersPriceList[[#This Row],[SINGLE PC. WT.]]</f>
        <v>132.62599469496021</v>
      </c>
      <c r="J189" s="3">
        <v>115</v>
      </c>
      <c r="K189" s="3">
        <f>FastenersPriceList[[#This Row],[1000 PCS/WT.]]*FastenersPriceList[[#This Row],[Rate / PER kg (₹)]]</f>
        <v>43355</v>
      </c>
      <c r="L189" s="4">
        <f>FastenersPriceList[[#This Row],[Rate / PER kg (₹)]]*FastenersPriceList[[#This Row],[Quantity (kg)]]</f>
        <v>5750</v>
      </c>
      <c r="M189" s="4"/>
    </row>
    <row r="190" spans="1:13" ht="22.05" customHeight="1" x14ac:dyDescent="0.3">
      <c r="A190" s="2" t="s">
        <v>1157</v>
      </c>
      <c r="B190" s="12" t="s">
        <v>8</v>
      </c>
      <c r="C190" s="12" t="s">
        <v>9</v>
      </c>
      <c r="D190" s="2">
        <v>402</v>
      </c>
      <c r="E190" s="2">
        <f>FastenersPriceList[[#This Row],[1000 PCS/WT.]]/1000</f>
        <v>0.40200000000000002</v>
      </c>
      <c r="F190" s="2" t="s">
        <v>651</v>
      </c>
      <c r="G190" s="6" t="s">
        <v>11</v>
      </c>
      <c r="H190" s="70">
        <v>50</v>
      </c>
      <c r="I190" s="72">
        <f>FastenersPriceList[[#This Row],[Quantity (kg)]]/FastenersPriceList[[#This Row],[SINGLE PC. WT.]]</f>
        <v>124.37810945273631</v>
      </c>
      <c r="J190" s="3">
        <v>115</v>
      </c>
      <c r="K190" s="3">
        <f>FastenersPriceList[[#This Row],[1000 PCS/WT.]]*FastenersPriceList[[#This Row],[Rate / PER kg (₹)]]</f>
        <v>46230</v>
      </c>
      <c r="L190" s="4">
        <f>FastenersPriceList[[#This Row],[Rate / PER kg (₹)]]*FastenersPriceList[[#This Row],[Quantity (kg)]]</f>
        <v>5750</v>
      </c>
      <c r="M190" s="4"/>
    </row>
    <row r="191" spans="1:13" ht="22.05" customHeight="1" x14ac:dyDescent="0.3">
      <c r="A191" s="2" t="s">
        <v>1158</v>
      </c>
      <c r="B191" s="12" t="s">
        <v>8</v>
      </c>
      <c r="C191" s="12" t="s">
        <v>9</v>
      </c>
      <c r="D191" s="2">
        <v>427</v>
      </c>
      <c r="E191" s="2">
        <f>FastenersPriceList[[#This Row],[1000 PCS/WT.]]/1000</f>
        <v>0.42699999999999999</v>
      </c>
      <c r="F191" s="2" t="s">
        <v>652</v>
      </c>
      <c r="G191" s="6" t="s">
        <v>11</v>
      </c>
      <c r="H191" s="70">
        <v>50</v>
      </c>
      <c r="I191" s="72">
        <f>FastenersPriceList[[#This Row],[Quantity (kg)]]/FastenersPriceList[[#This Row],[SINGLE PC. WT.]]</f>
        <v>117.096018735363</v>
      </c>
      <c r="J191" s="3">
        <v>115</v>
      </c>
      <c r="K191" s="3">
        <f>FastenersPriceList[[#This Row],[1000 PCS/WT.]]*FastenersPriceList[[#This Row],[Rate / PER kg (₹)]]</f>
        <v>49105</v>
      </c>
      <c r="L191" s="4">
        <f>FastenersPriceList[[#This Row],[Rate / PER kg (₹)]]*FastenersPriceList[[#This Row],[Quantity (kg)]]</f>
        <v>5750</v>
      </c>
      <c r="M191" s="4"/>
    </row>
    <row r="192" spans="1:13" ht="22.05" customHeight="1" x14ac:dyDescent="0.3">
      <c r="A192" s="2" t="s">
        <v>1159</v>
      </c>
      <c r="B192" s="12" t="s">
        <v>8</v>
      </c>
      <c r="C192" s="12" t="s">
        <v>9</v>
      </c>
      <c r="D192" s="2">
        <v>452</v>
      </c>
      <c r="E192" s="2">
        <f>FastenersPriceList[[#This Row],[1000 PCS/WT.]]/1000</f>
        <v>0.45200000000000001</v>
      </c>
      <c r="F192" s="2" t="s">
        <v>653</v>
      </c>
      <c r="G192" s="6" t="s">
        <v>11</v>
      </c>
      <c r="H192" s="70">
        <v>50</v>
      </c>
      <c r="I192" s="72">
        <f>FastenersPriceList[[#This Row],[Quantity (kg)]]/FastenersPriceList[[#This Row],[SINGLE PC. WT.]]</f>
        <v>110.61946902654867</v>
      </c>
      <c r="J192" s="3">
        <v>115</v>
      </c>
      <c r="K192" s="3">
        <f>FastenersPriceList[[#This Row],[1000 PCS/WT.]]*FastenersPriceList[[#This Row],[Rate / PER kg (₹)]]</f>
        <v>51980</v>
      </c>
      <c r="L192" s="4">
        <f>FastenersPriceList[[#This Row],[Rate / PER kg (₹)]]*FastenersPriceList[[#This Row],[Quantity (kg)]]</f>
        <v>5750</v>
      </c>
      <c r="M192" s="4"/>
    </row>
    <row r="193" spans="1:13" ht="22.05" customHeight="1" x14ac:dyDescent="0.3">
      <c r="A193" s="2" t="s">
        <v>1160</v>
      </c>
      <c r="B193" s="12" t="s">
        <v>8</v>
      </c>
      <c r="C193" s="12" t="s">
        <v>9</v>
      </c>
      <c r="D193" s="2">
        <v>477</v>
      </c>
      <c r="E193" s="2">
        <f>FastenersPriceList[[#This Row],[1000 PCS/WT.]]/1000</f>
        <v>0.47699999999999998</v>
      </c>
      <c r="F193" s="2" t="s">
        <v>654</v>
      </c>
      <c r="G193" s="6" t="s">
        <v>11</v>
      </c>
      <c r="H193" s="70">
        <v>50</v>
      </c>
      <c r="I193" s="72">
        <f>FastenersPriceList[[#This Row],[Quantity (kg)]]/FastenersPriceList[[#This Row],[SINGLE PC. WT.]]</f>
        <v>104.82180293501048</v>
      </c>
      <c r="J193" s="3">
        <v>115</v>
      </c>
      <c r="K193" s="3">
        <f>FastenersPriceList[[#This Row],[1000 PCS/WT.]]*FastenersPriceList[[#This Row],[Rate / PER kg (₹)]]</f>
        <v>54855</v>
      </c>
      <c r="L193" s="4">
        <f>FastenersPriceList[[#This Row],[Rate / PER kg (₹)]]*FastenersPriceList[[#This Row],[Quantity (kg)]]</f>
        <v>5750</v>
      </c>
      <c r="M193" s="4"/>
    </row>
    <row r="194" spans="1:13" ht="22.05" customHeight="1" x14ac:dyDescent="0.3">
      <c r="A194" s="2" t="s">
        <v>1161</v>
      </c>
      <c r="B194" s="12" t="s">
        <v>8</v>
      </c>
      <c r="C194" s="12" t="s">
        <v>9</v>
      </c>
      <c r="D194" s="2">
        <v>502</v>
      </c>
      <c r="E194" s="2">
        <f>FastenersPriceList[[#This Row],[1000 PCS/WT.]]/1000</f>
        <v>0.502</v>
      </c>
      <c r="F194" s="2" t="s">
        <v>655</v>
      </c>
      <c r="G194" s="6" t="s">
        <v>11</v>
      </c>
      <c r="H194" s="70">
        <v>50</v>
      </c>
      <c r="I194" s="72">
        <f>FastenersPriceList[[#This Row],[Quantity (kg)]]/FastenersPriceList[[#This Row],[SINGLE PC. WT.]]</f>
        <v>99.601593625498012</v>
      </c>
      <c r="J194" s="3">
        <v>115</v>
      </c>
      <c r="K194" s="3">
        <f>FastenersPriceList[[#This Row],[1000 PCS/WT.]]*FastenersPriceList[[#This Row],[Rate / PER kg (₹)]]</f>
        <v>57730</v>
      </c>
      <c r="L194" s="4">
        <f>FastenersPriceList[[#This Row],[Rate / PER kg (₹)]]*FastenersPriceList[[#This Row],[Quantity (kg)]]</f>
        <v>5750</v>
      </c>
      <c r="M194" s="4"/>
    </row>
    <row r="195" spans="1:13" ht="22.05" customHeight="1" x14ac:dyDescent="0.3">
      <c r="A195" s="2" t="s">
        <v>1162</v>
      </c>
      <c r="B195" s="12" t="s">
        <v>8</v>
      </c>
      <c r="C195" s="12" t="s">
        <v>9</v>
      </c>
      <c r="D195" s="2">
        <v>527</v>
      </c>
      <c r="E195" s="2">
        <f>FastenersPriceList[[#This Row],[1000 PCS/WT.]]/1000</f>
        <v>0.52700000000000002</v>
      </c>
      <c r="F195" s="2" t="s">
        <v>656</v>
      </c>
      <c r="G195" s="6" t="s">
        <v>11</v>
      </c>
      <c r="H195" s="70">
        <v>50</v>
      </c>
      <c r="I195" s="72">
        <f>FastenersPriceList[[#This Row],[Quantity (kg)]]/FastenersPriceList[[#This Row],[SINGLE PC. WT.]]</f>
        <v>94.876660341555976</v>
      </c>
      <c r="J195" s="3">
        <v>115</v>
      </c>
      <c r="K195" s="3">
        <f>FastenersPriceList[[#This Row],[1000 PCS/WT.]]*FastenersPriceList[[#This Row],[Rate / PER kg (₹)]]</f>
        <v>60605</v>
      </c>
      <c r="L195" s="4">
        <f>FastenersPriceList[[#This Row],[Rate / PER kg (₹)]]*FastenersPriceList[[#This Row],[Quantity (kg)]]</f>
        <v>5750</v>
      </c>
      <c r="M195" s="4"/>
    </row>
    <row r="196" spans="1:13" ht="22.05" customHeight="1" x14ac:dyDescent="0.3">
      <c r="A196" s="2" t="s">
        <v>1163</v>
      </c>
      <c r="B196" s="12" t="s">
        <v>8</v>
      </c>
      <c r="C196" s="12" t="s">
        <v>9</v>
      </c>
      <c r="D196" s="2">
        <v>552</v>
      </c>
      <c r="E196" s="2">
        <f>FastenersPriceList[[#This Row],[1000 PCS/WT.]]/1000</f>
        <v>0.55200000000000005</v>
      </c>
      <c r="F196" s="2" t="s">
        <v>657</v>
      </c>
      <c r="G196" s="6" t="s">
        <v>11</v>
      </c>
      <c r="H196" s="70">
        <v>50</v>
      </c>
      <c r="I196" s="72">
        <f>FastenersPriceList[[#This Row],[Quantity (kg)]]/FastenersPriceList[[#This Row],[SINGLE PC. WT.]]</f>
        <v>90.579710144927532</v>
      </c>
      <c r="J196" s="3">
        <v>115</v>
      </c>
      <c r="K196" s="3">
        <f>FastenersPriceList[[#This Row],[1000 PCS/WT.]]*FastenersPriceList[[#This Row],[Rate / PER kg (₹)]]</f>
        <v>63480</v>
      </c>
      <c r="L196" s="4">
        <f>FastenersPriceList[[#This Row],[Rate / PER kg (₹)]]*FastenersPriceList[[#This Row],[Quantity (kg)]]</f>
        <v>5750</v>
      </c>
      <c r="M196" s="4"/>
    </row>
    <row r="197" spans="1:13" ht="22.05" customHeight="1" x14ac:dyDescent="0.3">
      <c r="A197" s="2" t="s">
        <v>1164</v>
      </c>
      <c r="B197" s="12" t="s">
        <v>8</v>
      </c>
      <c r="C197" s="12" t="s">
        <v>9</v>
      </c>
      <c r="D197" s="2">
        <v>577</v>
      </c>
      <c r="E197" s="2">
        <f>FastenersPriceList[[#This Row],[1000 PCS/WT.]]/1000</f>
        <v>0.57699999999999996</v>
      </c>
      <c r="F197" s="2" t="s">
        <v>658</v>
      </c>
      <c r="G197" s="6" t="s">
        <v>11</v>
      </c>
      <c r="H197" s="70">
        <v>50</v>
      </c>
      <c r="I197" s="72">
        <f>FastenersPriceList[[#This Row],[Quantity (kg)]]/FastenersPriceList[[#This Row],[SINGLE PC. WT.]]</f>
        <v>86.655112651646448</v>
      </c>
      <c r="J197" s="3">
        <v>115</v>
      </c>
      <c r="K197" s="3">
        <f>FastenersPriceList[[#This Row],[1000 PCS/WT.]]*FastenersPriceList[[#This Row],[Rate / PER kg (₹)]]</f>
        <v>66355</v>
      </c>
      <c r="L197" s="4">
        <f>FastenersPriceList[[#This Row],[Rate / PER kg (₹)]]*FastenersPriceList[[#This Row],[Quantity (kg)]]</f>
        <v>5750</v>
      </c>
      <c r="M197" s="4"/>
    </row>
    <row r="198" spans="1:13" ht="22.05" customHeight="1" x14ac:dyDescent="0.3">
      <c r="A198" s="2" t="s">
        <v>1165</v>
      </c>
      <c r="B198" s="12" t="s">
        <v>8</v>
      </c>
      <c r="C198" s="12" t="s">
        <v>9</v>
      </c>
      <c r="D198" s="2">
        <v>602</v>
      </c>
      <c r="E198" s="2">
        <f>FastenersPriceList[[#This Row],[1000 PCS/WT.]]/1000</f>
        <v>0.60199999999999998</v>
      </c>
      <c r="F198" s="2" t="s">
        <v>659</v>
      </c>
      <c r="G198" s="6" t="s">
        <v>11</v>
      </c>
      <c r="H198" s="70">
        <v>50</v>
      </c>
      <c r="I198" s="72">
        <f>FastenersPriceList[[#This Row],[Quantity (kg)]]/FastenersPriceList[[#This Row],[SINGLE PC. WT.]]</f>
        <v>83.056478405315616</v>
      </c>
      <c r="J198" s="3">
        <v>115</v>
      </c>
      <c r="K198" s="3">
        <f>FastenersPriceList[[#This Row],[1000 PCS/WT.]]*FastenersPriceList[[#This Row],[Rate / PER kg (₹)]]</f>
        <v>69230</v>
      </c>
      <c r="L198" s="4">
        <f>FastenersPriceList[[#This Row],[Rate / PER kg (₹)]]*FastenersPriceList[[#This Row],[Quantity (kg)]]</f>
        <v>5750</v>
      </c>
      <c r="M198" s="4"/>
    </row>
    <row r="199" spans="1:13" ht="22.05" customHeight="1" x14ac:dyDescent="0.3">
      <c r="A199" s="2" t="s">
        <v>1034</v>
      </c>
      <c r="B199" s="12" t="s">
        <v>8</v>
      </c>
      <c r="C199" s="12" t="s">
        <v>9</v>
      </c>
      <c r="D199" s="2">
        <v>247</v>
      </c>
      <c r="E199" s="2">
        <f>FastenersPriceList[[#This Row],[1000 PCS/WT.]]/1000</f>
        <v>0.247</v>
      </c>
      <c r="F199" s="2" t="s">
        <v>660</v>
      </c>
      <c r="G199" s="6" t="s">
        <v>11</v>
      </c>
      <c r="H199" s="70">
        <v>50</v>
      </c>
      <c r="I199" s="72">
        <f>FastenersPriceList[[#This Row],[Quantity (kg)]]/FastenersPriceList[[#This Row],[SINGLE PC. WT.]]</f>
        <v>202.42914979757086</v>
      </c>
      <c r="J199" s="3">
        <v>110</v>
      </c>
      <c r="K199" s="3">
        <f>FastenersPriceList[[#This Row],[1000 PCS/WT.]]*FastenersPriceList[[#This Row],[Rate / PER kg (₹)]]</f>
        <v>27170</v>
      </c>
      <c r="L199" s="4">
        <f>FastenersPriceList[[#This Row],[Rate / PER kg (₹)]]*FastenersPriceList[[#This Row],[Quantity (kg)]]</f>
        <v>5500</v>
      </c>
      <c r="M199" s="4"/>
    </row>
    <row r="200" spans="1:13" ht="22.05" customHeight="1" x14ac:dyDescent="0.3">
      <c r="A200" s="2" t="s">
        <v>1035</v>
      </c>
      <c r="B200" s="12" t="s">
        <v>8</v>
      </c>
      <c r="C200" s="12" t="s">
        <v>9</v>
      </c>
      <c r="D200" s="2">
        <v>265</v>
      </c>
      <c r="E200" s="2">
        <f>FastenersPriceList[[#This Row],[1000 PCS/WT.]]/1000</f>
        <v>0.26500000000000001</v>
      </c>
      <c r="F200" s="2" t="s">
        <v>661</v>
      </c>
      <c r="G200" s="6" t="s">
        <v>11</v>
      </c>
      <c r="H200" s="70">
        <v>50</v>
      </c>
      <c r="I200" s="72">
        <f>FastenersPriceList[[#This Row],[Quantity (kg)]]/FastenersPriceList[[#This Row],[SINGLE PC. WT.]]</f>
        <v>188.67924528301887</v>
      </c>
      <c r="J200" s="3">
        <v>110</v>
      </c>
      <c r="K200" s="3">
        <f>FastenersPriceList[[#This Row],[1000 PCS/WT.]]*FastenersPriceList[[#This Row],[Rate / PER kg (₹)]]</f>
        <v>29150</v>
      </c>
      <c r="L200" s="4">
        <f>FastenersPriceList[[#This Row],[Rate / PER kg (₹)]]*FastenersPriceList[[#This Row],[Quantity (kg)]]</f>
        <v>5500</v>
      </c>
      <c r="M200" s="4"/>
    </row>
    <row r="201" spans="1:13" ht="22.05" customHeight="1" x14ac:dyDescent="0.3">
      <c r="A201" s="2" t="s">
        <v>1036</v>
      </c>
      <c r="B201" s="12" t="s">
        <v>8</v>
      </c>
      <c r="C201" s="12" t="s">
        <v>9</v>
      </c>
      <c r="D201" s="2">
        <v>283</v>
      </c>
      <c r="E201" s="2">
        <f>FastenersPriceList[[#This Row],[1000 PCS/WT.]]/1000</f>
        <v>0.28299999999999997</v>
      </c>
      <c r="F201" s="2" t="s">
        <v>662</v>
      </c>
      <c r="G201" s="6" t="s">
        <v>11</v>
      </c>
      <c r="H201" s="70">
        <v>50</v>
      </c>
      <c r="I201" s="72">
        <f>FastenersPriceList[[#This Row],[Quantity (kg)]]/FastenersPriceList[[#This Row],[SINGLE PC. WT.]]</f>
        <v>176.67844522968198</v>
      </c>
      <c r="J201" s="3">
        <v>110</v>
      </c>
      <c r="K201" s="3">
        <f>FastenersPriceList[[#This Row],[1000 PCS/WT.]]*FastenersPriceList[[#This Row],[Rate / PER kg (₹)]]</f>
        <v>31130</v>
      </c>
      <c r="L201" s="4">
        <f>FastenersPriceList[[#This Row],[Rate / PER kg (₹)]]*FastenersPriceList[[#This Row],[Quantity (kg)]]</f>
        <v>5500</v>
      </c>
      <c r="M201" s="4"/>
    </row>
    <row r="202" spans="1:13" ht="22.05" customHeight="1" x14ac:dyDescent="0.3">
      <c r="A202" s="2" t="s">
        <v>1037</v>
      </c>
      <c r="B202" s="12" t="s">
        <v>8</v>
      </c>
      <c r="C202" s="12" t="s">
        <v>9</v>
      </c>
      <c r="D202" s="2">
        <v>301</v>
      </c>
      <c r="E202" s="2">
        <f>FastenersPriceList[[#This Row],[1000 PCS/WT.]]/1000</f>
        <v>0.30099999999999999</v>
      </c>
      <c r="F202" s="2" t="s">
        <v>663</v>
      </c>
      <c r="G202" s="6" t="s">
        <v>11</v>
      </c>
      <c r="H202" s="70">
        <v>50</v>
      </c>
      <c r="I202" s="72">
        <f>FastenersPriceList[[#This Row],[Quantity (kg)]]/FastenersPriceList[[#This Row],[SINGLE PC. WT.]]</f>
        <v>166.11295681063123</v>
      </c>
      <c r="J202" s="3">
        <v>110</v>
      </c>
      <c r="K202" s="3">
        <f>FastenersPriceList[[#This Row],[1000 PCS/WT.]]*FastenersPriceList[[#This Row],[Rate / PER kg (₹)]]</f>
        <v>33110</v>
      </c>
      <c r="L202" s="4">
        <f>FastenersPriceList[[#This Row],[Rate / PER kg (₹)]]*FastenersPriceList[[#This Row],[Quantity (kg)]]</f>
        <v>5500</v>
      </c>
      <c r="M202" s="4"/>
    </row>
    <row r="203" spans="1:13" ht="22.05" customHeight="1" x14ac:dyDescent="0.3">
      <c r="A203" s="2" t="s">
        <v>1038</v>
      </c>
      <c r="B203" s="12" t="s">
        <v>8</v>
      </c>
      <c r="C203" s="12" t="s">
        <v>9</v>
      </c>
      <c r="D203" s="2">
        <v>319</v>
      </c>
      <c r="E203" s="2">
        <f>FastenersPriceList[[#This Row],[1000 PCS/WT.]]/1000</f>
        <v>0.31900000000000001</v>
      </c>
      <c r="F203" s="2" t="s">
        <v>664</v>
      </c>
      <c r="G203" s="6" t="s">
        <v>11</v>
      </c>
      <c r="H203" s="70">
        <v>50</v>
      </c>
      <c r="I203" s="72">
        <f>FastenersPriceList[[#This Row],[Quantity (kg)]]/FastenersPriceList[[#This Row],[SINGLE PC. WT.]]</f>
        <v>156.73981191222569</v>
      </c>
      <c r="J203" s="3">
        <v>110</v>
      </c>
      <c r="K203" s="3">
        <f>FastenersPriceList[[#This Row],[1000 PCS/WT.]]*FastenersPriceList[[#This Row],[Rate / PER kg (₹)]]</f>
        <v>35090</v>
      </c>
      <c r="L203" s="4">
        <f>FastenersPriceList[[#This Row],[Rate / PER kg (₹)]]*FastenersPriceList[[#This Row],[Quantity (kg)]]</f>
        <v>5500</v>
      </c>
      <c r="M203" s="4"/>
    </row>
    <row r="204" spans="1:13" ht="22.05" customHeight="1" x14ac:dyDescent="0.3">
      <c r="A204" s="2" t="s">
        <v>1039</v>
      </c>
      <c r="B204" s="12" t="s">
        <v>8</v>
      </c>
      <c r="C204" s="12" t="s">
        <v>9</v>
      </c>
      <c r="D204" s="2">
        <v>337</v>
      </c>
      <c r="E204" s="2">
        <f>FastenersPriceList[[#This Row],[1000 PCS/WT.]]/1000</f>
        <v>0.33700000000000002</v>
      </c>
      <c r="F204" s="2" t="s">
        <v>665</v>
      </c>
      <c r="G204" s="6" t="s">
        <v>11</v>
      </c>
      <c r="H204" s="70">
        <v>50</v>
      </c>
      <c r="I204" s="72">
        <f>FastenersPriceList[[#This Row],[Quantity (kg)]]/FastenersPriceList[[#This Row],[SINGLE PC. WT.]]</f>
        <v>148.36795252225519</v>
      </c>
      <c r="J204" s="3">
        <v>110</v>
      </c>
      <c r="K204" s="3">
        <f>FastenersPriceList[[#This Row],[1000 PCS/WT.]]*FastenersPriceList[[#This Row],[Rate / PER kg (₹)]]</f>
        <v>37070</v>
      </c>
      <c r="L204" s="4">
        <f>FastenersPriceList[[#This Row],[Rate / PER kg (₹)]]*FastenersPriceList[[#This Row],[Quantity (kg)]]</f>
        <v>5500</v>
      </c>
      <c r="M204" s="4"/>
    </row>
    <row r="205" spans="1:13" ht="22.05" customHeight="1" x14ac:dyDescent="0.3">
      <c r="A205" s="2" t="s">
        <v>1040</v>
      </c>
      <c r="B205" s="12" t="s">
        <v>8</v>
      </c>
      <c r="C205" s="12" t="s">
        <v>9</v>
      </c>
      <c r="D205" s="2">
        <v>355</v>
      </c>
      <c r="E205" s="2">
        <f>FastenersPriceList[[#This Row],[1000 PCS/WT.]]/1000</f>
        <v>0.35499999999999998</v>
      </c>
      <c r="F205" s="2" t="s">
        <v>666</v>
      </c>
      <c r="G205" s="6" t="s">
        <v>11</v>
      </c>
      <c r="H205" s="70">
        <v>50</v>
      </c>
      <c r="I205" s="72">
        <f>FastenersPriceList[[#This Row],[Quantity (kg)]]/FastenersPriceList[[#This Row],[SINGLE PC. WT.]]</f>
        <v>140.84507042253523</v>
      </c>
      <c r="J205" s="3">
        <v>115</v>
      </c>
      <c r="K205" s="3">
        <f>FastenersPriceList[[#This Row],[1000 PCS/WT.]]*FastenersPriceList[[#This Row],[Rate / PER kg (₹)]]</f>
        <v>40825</v>
      </c>
      <c r="L205" s="4">
        <f>FastenersPriceList[[#This Row],[Rate / PER kg (₹)]]*FastenersPriceList[[#This Row],[Quantity (kg)]]</f>
        <v>5750</v>
      </c>
      <c r="M205" s="4"/>
    </row>
    <row r="206" spans="1:13" ht="22.05" customHeight="1" x14ac:dyDescent="0.3">
      <c r="A206" s="2" t="s">
        <v>1041</v>
      </c>
      <c r="B206" s="12" t="s">
        <v>8</v>
      </c>
      <c r="C206" s="12" t="s">
        <v>9</v>
      </c>
      <c r="D206" s="2">
        <v>373</v>
      </c>
      <c r="E206" s="2">
        <f>FastenersPriceList[[#This Row],[1000 PCS/WT.]]/1000</f>
        <v>0.373</v>
      </c>
      <c r="F206" s="2" t="s">
        <v>667</v>
      </c>
      <c r="G206" s="6" t="s">
        <v>11</v>
      </c>
      <c r="H206" s="70">
        <v>50</v>
      </c>
      <c r="I206" s="72">
        <f>FastenersPriceList[[#This Row],[Quantity (kg)]]/FastenersPriceList[[#This Row],[SINGLE PC. WT.]]</f>
        <v>134.04825737265415</v>
      </c>
      <c r="J206" s="3">
        <v>115</v>
      </c>
      <c r="K206" s="3">
        <f>FastenersPriceList[[#This Row],[1000 PCS/WT.]]*FastenersPriceList[[#This Row],[Rate / PER kg (₹)]]</f>
        <v>42895</v>
      </c>
      <c r="L206" s="4">
        <f>FastenersPriceList[[#This Row],[Rate / PER kg (₹)]]*FastenersPriceList[[#This Row],[Quantity (kg)]]</f>
        <v>5750</v>
      </c>
      <c r="M206" s="4"/>
    </row>
    <row r="207" spans="1:13" ht="22.05" customHeight="1" x14ac:dyDescent="0.3">
      <c r="A207" s="2" t="s">
        <v>1042</v>
      </c>
      <c r="B207" s="12" t="s">
        <v>8</v>
      </c>
      <c r="C207" s="12" t="s">
        <v>9</v>
      </c>
      <c r="D207" s="2">
        <v>391</v>
      </c>
      <c r="E207" s="2">
        <f>FastenersPriceList[[#This Row],[1000 PCS/WT.]]/1000</f>
        <v>0.39100000000000001</v>
      </c>
      <c r="F207" s="2" t="s">
        <v>668</v>
      </c>
      <c r="G207" s="6" t="s">
        <v>11</v>
      </c>
      <c r="H207" s="70">
        <v>50</v>
      </c>
      <c r="I207" s="72">
        <f>FastenersPriceList[[#This Row],[Quantity (kg)]]/FastenersPriceList[[#This Row],[SINGLE PC. WT.]]</f>
        <v>127.8772378516624</v>
      </c>
      <c r="J207" s="3">
        <v>115</v>
      </c>
      <c r="K207" s="3">
        <f>FastenersPriceList[[#This Row],[1000 PCS/WT.]]*FastenersPriceList[[#This Row],[Rate / PER kg (₹)]]</f>
        <v>44965</v>
      </c>
      <c r="L207" s="4">
        <f>FastenersPriceList[[#This Row],[Rate / PER kg (₹)]]*FastenersPriceList[[#This Row],[Quantity (kg)]]</f>
        <v>5750</v>
      </c>
      <c r="M207" s="4"/>
    </row>
    <row r="208" spans="1:13" ht="22.05" customHeight="1" x14ac:dyDescent="0.3">
      <c r="A208" s="2" t="s">
        <v>1043</v>
      </c>
      <c r="B208" s="12" t="s">
        <v>8</v>
      </c>
      <c r="C208" s="12" t="s">
        <v>9</v>
      </c>
      <c r="D208" s="2">
        <v>409</v>
      </c>
      <c r="E208" s="2">
        <f>FastenersPriceList[[#This Row],[1000 PCS/WT.]]/1000</f>
        <v>0.40899999999999997</v>
      </c>
      <c r="F208" s="2" t="s">
        <v>669</v>
      </c>
      <c r="G208" s="6" t="s">
        <v>11</v>
      </c>
      <c r="H208" s="70">
        <v>50</v>
      </c>
      <c r="I208" s="72">
        <f>FastenersPriceList[[#This Row],[Quantity (kg)]]/FastenersPriceList[[#This Row],[SINGLE PC. WT.]]</f>
        <v>122.24938875305624</v>
      </c>
      <c r="J208" s="3">
        <v>115</v>
      </c>
      <c r="K208" s="3">
        <f>FastenersPriceList[[#This Row],[1000 PCS/WT.]]*FastenersPriceList[[#This Row],[Rate / PER kg (₹)]]</f>
        <v>47035</v>
      </c>
      <c r="L208" s="4">
        <f>FastenersPriceList[[#This Row],[Rate / PER kg (₹)]]*FastenersPriceList[[#This Row],[Quantity (kg)]]</f>
        <v>5750</v>
      </c>
      <c r="M208" s="4"/>
    </row>
    <row r="209" spans="1:13" ht="22.05" customHeight="1" x14ac:dyDescent="0.3">
      <c r="A209" s="2" t="s">
        <v>1044</v>
      </c>
      <c r="B209" s="12" t="s">
        <v>8</v>
      </c>
      <c r="C209" s="12" t="s">
        <v>9</v>
      </c>
      <c r="D209" s="2">
        <v>427</v>
      </c>
      <c r="E209" s="2">
        <f>FastenersPriceList[[#This Row],[1000 PCS/WT.]]/1000</f>
        <v>0.42699999999999999</v>
      </c>
      <c r="F209" s="2" t="s">
        <v>670</v>
      </c>
      <c r="G209" s="6" t="s">
        <v>11</v>
      </c>
      <c r="H209" s="70">
        <v>50</v>
      </c>
      <c r="I209" s="72">
        <f>FastenersPriceList[[#This Row],[Quantity (kg)]]/FastenersPriceList[[#This Row],[SINGLE PC. WT.]]</f>
        <v>117.096018735363</v>
      </c>
      <c r="J209" s="3">
        <v>115</v>
      </c>
      <c r="K209" s="3">
        <f>FastenersPriceList[[#This Row],[1000 PCS/WT.]]*FastenersPriceList[[#This Row],[Rate / PER kg (₹)]]</f>
        <v>49105</v>
      </c>
      <c r="L209" s="4">
        <f>FastenersPriceList[[#This Row],[Rate / PER kg (₹)]]*FastenersPriceList[[#This Row],[Quantity (kg)]]</f>
        <v>5750</v>
      </c>
      <c r="M209" s="4"/>
    </row>
    <row r="210" spans="1:13" ht="22.05" customHeight="1" x14ac:dyDescent="0.3">
      <c r="A210" s="2" t="s">
        <v>1166</v>
      </c>
      <c r="B210" s="12" t="s">
        <v>8</v>
      </c>
      <c r="C210" s="12" t="s">
        <v>9</v>
      </c>
      <c r="D210" s="2">
        <v>445</v>
      </c>
      <c r="E210" s="2">
        <f>FastenersPriceList[[#This Row],[1000 PCS/WT.]]/1000</f>
        <v>0.44500000000000001</v>
      </c>
      <c r="F210" s="2" t="s">
        <v>671</v>
      </c>
      <c r="G210" s="6" t="s">
        <v>11</v>
      </c>
      <c r="H210" s="70">
        <v>50</v>
      </c>
      <c r="I210" s="72">
        <f>FastenersPriceList[[#This Row],[Quantity (kg)]]/FastenersPriceList[[#This Row],[SINGLE PC. WT.]]</f>
        <v>112.35955056179775</v>
      </c>
      <c r="J210" s="3">
        <v>115</v>
      </c>
      <c r="K210" s="3">
        <f>FastenersPriceList[[#This Row],[1000 PCS/WT.]]*FastenersPriceList[[#This Row],[Rate / PER kg (₹)]]</f>
        <v>51175</v>
      </c>
      <c r="L210" s="4">
        <f>FastenersPriceList[[#This Row],[Rate / PER kg (₹)]]*FastenersPriceList[[#This Row],[Quantity (kg)]]</f>
        <v>5750</v>
      </c>
      <c r="M210" s="4"/>
    </row>
    <row r="211" spans="1:13" ht="22.05" customHeight="1" x14ac:dyDescent="0.3">
      <c r="A211" s="2" t="s">
        <v>1167</v>
      </c>
      <c r="B211" s="12" t="s">
        <v>8</v>
      </c>
      <c r="C211" s="12" t="s">
        <v>9</v>
      </c>
      <c r="D211" s="2">
        <v>481</v>
      </c>
      <c r="E211" s="2">
        <f>FastenersPriceList[[#This Row],[1000 PCS/WT.]]/1000</f>
        <v>0.48099999999999998</v>
      </c>
      <c r="F211" s="2" t="s">
        <v>672</v>
      </c>
      <c r="G211" s="6" t="s">
        <v>11</v>
      </c>
      <c r="H211" s="70">
        <v>50</v>
      </c>
      <c r="I211" s="72">
        <f>FastenersPriceList[[#This Row],[Quantity (kg)]]/FastenersPriceList[[#This Row],[SINGLE PC. WT.]]</f>
        <v>103.95010395010395</v>
      </c>
      <c r="J211" s="3">
        <v>120</v>
      </c>
      <c r="K211" s="3">
        <f>FastenersPriceList[[#This Row],[1000 PCS/WT.]]*FastenersPriceList[[#This Row],[Rate / PER kg (₹)]]</f>
        <v>57720</v>
      </c>
      <c r="L211" s="4">
        <f>FastenersPriceList[[#This Row],[Rate / PER kg (₹)]]*FastenersPriceList[[#This Row],[Quantity (kg)]]</f>
        <v>6000</v>
      </c>
      <c r="M211" s="4"/>
    </row>
    <row r="212" spans="1:13" ht="22.05" customHeight="1" x14ac:dyDescent="0.3">
      <c r="A212" s="2" t="s">
        <v>1168</v>
      </c>
      <c r="B212" s="12" t="s">
        <v>8</v>
      </c>
      <c r="C212" s="12" t="s">
        <v>9</v>
      </c>
      <c r="D212" s="2">
        <v>517</v>
      </c>
      <c r="E212" s="2">
        <f>FastenersPriceList[[#This Row],[1000 PCS/WT.]]/1000</f>
        <v>0.51700000000000002</v>
      </c>
      <c r="F212" s="2" t="s">
        <v>673</v>
      </c>
      <c r="G212" s="6" t="s">
        <v>11</v>
      </c>
      <c r="H212" s="70">
        <v>50</v>
      </c>
      <c r="I212" s="72">
        <f>FastenersPriceList[[#This Row],[Quantity (kg)]]/FastenersPriceList[[#This Row],[SINGLE PC. WT.]]</f>
        <v>96.71179883945841</v>
      </c>
      <c r="J212" s="3">
        <v>120</v>
      </c>
      <c r="K212" s="3">
        <f>FastenersPriceList[[#This Row],[1000 PCS/WT.]]*FastenersPriceList[[#This Row],[Rate / PER kg (₹)]]</f>
        <v>62040</v>
      </c>
      <c r="L212" s="4">
        <f>FastenersPriceList[[#This Row],[Rate / PER kg (₹)]]*FastenersPriceList[[#This Row],[Quantity (kg)]]</f>
        <v>6000</v>
      </c>
      <c r="M212" s="4"/>
    </row>
    <row r="213" spans="1:13" ht="22.05" customHeight="1" x14ac:dyDescent="0.3">
      <c r="A213" s="2" t="s">
        <v>1169</v>
      </c>
      <c r="B213" s="12" t="s">
        <v>8</v>
      </c>
      <c r="C213" s="12" t="s">
        <v>9</v>
      </c>
      <c r="D213" s="2">
        <v>553</v>
      </c>
      <c r="E213" s="2">
        <f>FastenersPriceList[[#This Row],[1000 PCS/WT.]]/1000</f>
        <v>0.55300000000000005</v>
      </c>
      <c r="F213" s="2" t="s">
        <v>674</v>
      </c>
      <c r="G213" s="6" t="s">
        <v>11</v>
      </c>
      <c r="H213" s="70">
        <v>50</v>
      </c>
      <c r="I213" s="72">
        <f>FastenersPriceList[[#This Row],[Quantity (kg)]]/FastenersPriceList[[#This Row],[SINGLE PC. WT.]]</f>
        <v>90.415913200723324</v>
      </c>
      <c r="J213" s="3">
        <v>120</v>
      </c>
      <c r="K213" s="3">
        <f>FastenersPriceList[[#This Row],[1000 PCS/WT.]]*FastenersPriceList[[#This Row],[Rate / PER kg (₹)]]</f>
        <v>66360</v>
      </c>
      <c r="L213" s="4">
        <f>FastenersPriceList[[#This Row],[Rate / PER kg (₹)]]*FastenersPriceList[[#This Row],[Quantity (kg)]]</f>
        <v>6000</v>
      </c>
      <c r="M213" s="4"/>
    </row>
    <row r="214" spans="1:13" ht="22.05" customHeight="1" x14ac:dyDescent="0.3">
      <c r="A214" s="2" t="s">
        <v>1170</v>
      </c>
      <c r="B214" s="12" t="s">
        <v>8</v>
      </c>
      <c r="C214" s="12" t="s">
        <v>9</v>
      </c>
      <c r="D214" s="2">
        <v>589</v>
      </c>
      <c r="E214" s="2">
        <f>FastenersPriceList[[#This Row],[1000 PCS/WT.]]/1000</f>
        <v>0.58899999999999997</v>
      </c>
      <c r="F214" s="2" t="s">
        <v>675</v>
      </c>
      <c r="G214" s="6" t="s">
        <v>11</v>
      </c>
      <c r="H214" s="70">
        <v>50</v>
      </c>
      <c r="I214" s="72">
        <f>FastenersPriceList[[#This Row],[Quantity (kg)]]/FastenersPriceList[[#This Row],[SINGLE PC. WT.]]</f>
        <v>84.889643463497464</v>
      </c>
      <c r="J214" s="3">
        <v>120</v>
      </c>
      <c r="K214" s="3">
        <f>FastenersPriceList[[#This Row],[1000 PCS/WT.]]*FastenersPriceList[[#This Row],[Rate / PER kg (₹)]]</f>
        <v>70680</v>
      </c>
      <c r="L214" s="4">
        <f>FastenersPriceList[[#This Row],[Rate / PER kg (₹)]]*FastenersPriceList[[#This Row],[Quantity (kg)]]</f>
        <v>6000</v>
      </c>
      <c r="M214" s="4"/>
    </row>
    <row r="215" spans="1:13" ht="22.05" customHeight="1" x14ac:dyDescent="0.3">
      <c r="A215" s="2" t="s">
        <v>1171</v>
      </c>
      <c r="B215" s="12" t="s">
        <v>8</v>
      </c>
      <c r="C215" s="12" t="s">
        <v>9</v>
      </c>
      <c r="D215" s="2">
        <v>625</v>
      </c>
      <c r="E215" s="2">
        <f>FastenersPriceList[[#This Row],[1000 PCS/WT.]]/1000</f>
        <v>0.625</v>
      </c>
      <c r="F215" s="2" t="s">
        <v>676</v>
      </c>
      <c r="G215" s="6" t="s">
        <v>11</v>
      </c>
      <c r="H215" s="70">
        <v>50</v>
      </c>
      <c r="I215" s="72">
        <f>FastenersPriceList[[#This Row],[Quantity (kg)]]/FastenersPriceList[[#This Row],[SINGLE PC. WT.]]</f>
        <v>80</v>
      </c>
      <c r="J215" s="3">
        <v>120</v>
      </c>
      <c r="K215" s="3">
        <f>FastenersPriceList[[#This Row],[1000 PCS/WT.]]*FastenersPriceList[[#This Row],[Rate / PER kg (₹)]]</f>
        <v>75000</v>
      </c>
      <c r="L215" s="4">
        <f>FastenersPriceList[[#This Row],[Rate / PER kg (₹)]]*FastenersPriceList[[#This Row],[Quantity (kg)]]</f>
        <v>6000</v>
      </c>
      <c r="M215" s="4"/>
    </row>
    <row r="216" spans="1:13" ht="22.05" customHeight="1" x14ac:dyDescent="0.3">
      <c r="A216" s="2" t="s">
        <v>1172</v>
      </c>
      <c r="B216" s="12" t="s">
        <v>8</v>
      </c>
      <c r="C216" s="12" t="s">
        <v>9</v>
      </c>
      <c r="D216" s="2">
        <v>661</v>
      </c>
      <c r="E216" s="2">
        <f>FastenersPriceList[[#This Row],[1000 PCS/WT.]]/1000</f>
        <v>0.66100000000000003</v>
      </c>
      <c r="F216" s="2" t="s">
        <v>677</v>
      </c>
      <c r="G216" s="6" t="s">
        <v>11</v>
      </c>
      <c r="H216" s="70">
        <v>50</v>
      </c>
      <c r="I216" s="72">
        <f>FastenersPriceList[[#This Row],[Quantity (kg)]]/FastenersPriceList[[#This Row],[SINGLE PC. WT.]]</f>
        <v>75.642965204236006</v>
      </c>
      <c r="J216" s="3">
        <v>120</v>
      </c>
      <c r="K216" s="3">
        <f>FastenersPriceList[[#This Row],[1000 PCS/WT.]]*FastenersPriceList[[#This Row],[Rate / PER kg (₹)]]</f>
        <v>79320</v>
      </c>
      <c r="L216" s="4">
        <f>FastenersPriceList[[#This Row],[Rate / PER kg (₹)]]*FastenersPriceList[[#This Row],[Quantity (kg)]]</f>
        <v>6000</v>
      </c>
      <c r="M216" s="4"/>
    </row>
    <row r="217" spans="1:13" ht="22.05" customHeight="1" x14ac:dyDescent="0.3">
      <c r="A217" s="2" t="s">
        <v>1173</v>
      </c>
      <c r="B217" s="12" t="s">
        <v>8</v>
      </c>
      <c r="C217" s="12" t="s">
        <v>9</v>
      </c>
      <c r="D217" s="2">
        <v>697</v>
      </c>
      <c r="E217" s="2">
        <f>FastenersPriceList[[#This Row],[1000 PCS/WT.]]/1000</f>
        <v>0.69699999999999995</v>
      </c>
      <c r="F217" s="2" t="s">
        <v>678</v>
      </c>
      <c r="G217" s="6" t="s">
        <v>11</v>
      </c>
      <c r="H217" s="70">
        <v>50</v>
      </c>
      <c r="I217" s="72">
        <f>FastenersPriceList[[#This Row],[Quantity (kg)]]/FastenersPriceList[[#This Row],[SINGLE PC. WT.]]</f>
        <v>71.736011477761835</v>
      </c>
      <c r="J217" s="3">
        <v>120</v>
      </c>
      <c r="K217" s="3">
        <f>FastenersPriceList[[#This Row],[1000 PCS/WT.]]*FastenersPriceList[[#This Row],[Rate / PER kg (₹)]]</f>
        <v>83640</v>
      </c>
      <c r="L217" s="4">
        <f>FastenersPriceList[[#This Row],[Rate / PER kg (₹)]]*FastenersPriceList[[#This Row],[Quantity (kg)]]</f>
        <v>6000</v>
      </c>
      <c r="M217" s="4"/>
    </row>
    <row r="218" spans="1:13" ht="22.05" customHeight="1" x14ac:dyDescent="0.3">
      <c r="A218" s="2" t="s">
        <v>1174</v>
      </c>
      <c r="B218" s="12" t="s">
        <v>8</v>
      </c>
      <c r="C218" s="12" t="s">
        <v>9</v>
      </c>
      <c r="D218" s="2">
        <v>733</v>
      </c>
      <c r="E218" s="2">
        <f>FastenersPriceList[[#This Row],[1000 PCS/WT.]]/1000</f>
        <v>0.73299999999999998</v>
      </c>
      <c r="F218" s="2" t="s">
        <v>679</v>
      </c>
      <c r="G218" s="6" t="s">
        <v>11</v>
      </c>
      <c r="H218" s="70">
        <v>50</v>
      </c>
      <c r="I218" s="72">
        <f>FastenersPriceList[[#This Row],[Quantity (kg)]]/FastenersPriceList[[#This Row],[SINGLE PC. WT.]]</f>
        <v>68.212824010914048</v>
      </c>
      <c r="J218" s="3">
        <v>120</v>
      </c>
      <c r="K218" s="3">
        <f>FastenersPriceList[[#This Row],[1000 PCS/WT.]]*FastenersPriceList[[#This Row],[Rate / PER kg (₹)]]</f>
        <v>87960</v>
      </c>
      <c r="L218" s="4">
        <f>FastenersPriceList[[#This Row],[Rate / PER kg (₹)]]*FastenersPriceList[[#This Row],[Quantity (kg)]]</f>
        <v>6000</v>
      </c>
      <c r="M218" s="4"/>
    </row>
    <row r="219" spans="1:13" ht="22.05" customHeight="1" x14ac:dyDescent="0.3">
      <c r="A219" s="2" t="s">
        <v>1175</v>
      </c>
      <c r="B219" s="12" t="s">
        <v>8</v>
      </c>
      <c r="C219" s="12" t="s">
        <v>9</v>
      </c>
      <c r="D219" s="2">
        <v>769</v>
      </c>
      <c r="E219" s="2">
        <f>FastenersPriceList[[#This Row],[1000 PCS/WT.]]/1000</f>
        <v>0.76900000000000002</v>
      </c>
      <c r="F219" s="2" t="s">
        <v>680</v>
      </c>
      <c r="G219" s="6" t="s">
        <v>11</v>
      </c>
      <c r="H219" s="70">
        <v>50</v>
      </c>
      <c r="I219" s="72">
        <f>FastenersPriceList[[#This Row],[Quantity (kg)]]/FastenersPriceList[[#This Row],[SINGLE PC. WT.]]</f>
        <v>65.019505851755525</v>
      </c>
      <c r="J219" s="3">
        <v>120</v>
      </c>
      <c r="K219" s="3">
        <f>FastenersPriceList[[#This Row],[1000 PCS/WT.]]*FastenersPriceList[[#This Row],[Rate / PER kg (₹)]]</f>
        <v>92280</v>
      </c>
      <c r="L219" s="4">
        <f>FastenersPriceList[[#This Row],[Rate / PER kg (₹)]]*FastenersPriceList[[#This Row],[Quantity (kg)]]</f>
        <v>6000</v>
      </c>
      <c r="M219" s="4"/>
    </row>
    <row r="220" spans="1:13" ht="22.05" customHeight="1" x14ac:dyDescent="0.3">
      <c r="A220" s="2" t="s">
        <v>1176</v>
      </c>
      <c r="B220" s="12" t="s">
        <v>8</v>
      </c>
      <c r="C220" s="12" t="s">
        <v>9</v>
      </c>
      <c r="D220" s="2">
        <v>805</v>
      </c>
      <c r="E220" s="2">
        <f>FastenersPriceList[[#This Row],[1000 PCS/WT.]]/1000</f>
        <v>0.80500000000000005</v>
      </c>
      <c r="F220" s="2" t="s">
        <v>681</v>
      </c>
      <c r="G220" s="6" t="s">
        <v>11</v>
      </c>
      <c r="H220" s="70">
        <v>50</v>
      </c>
      <c r="I220" s="72">
        <f>FastenersPriceList[[#This Row],[Quantity (kg)]]/FastenersPriceList[[#This Row],[SINGLE PC. WT.]]</f>
        <v>62.11180124223602</v>
      </c>
      <c r="J220" s="3">
        <v>120</v>
      </c>
      <c r="K220" s="3">
        <f>FastenersPriceList[[#This Row],[1000 PCS/WT.]]*FastenersPriceList[[#This Row],[Rate / PER kg (₹)]]</f>
        <v>96600</v>
      </c>
      <c r="L220" s="4">
        <f>FastenersPriceList[[#This Row],[Rate / PER kg (₹)]]*FastenersPriceList[[#This Row],[Quantity (kg)]]</f>
        <v>6000</v>
      </c>
      <c r="M220" s="4"/>
    </row>
    <row r="221" spans="1:13" ht="22.05" customHeight="1" x14ac:dyDescent="0.3">
      <c r="A221" s="2" t="s">
        <v>1045</v>
      </c>
      <c r="B221" s="12" t="s">
        <v>8</v>
      </c>
      <c r="C221" s="12" t="s">
        <v>9</v>
      </c>
      <c r="D221" s="2">
        <v>350</v>
      </c>
      <c r="E221" s="2">
        <f>FastenersPriceList[[#This Row],[1000 PCS/WT.]]/1000</f>
        <v>0.35</v>
      </c>
      <c r="F221" s="2" t="s">
        <v>682</v>
      </c>
      <c r="G221" s="6" t="s">
        <v>11</v>
      </c>
      <c r="H221" s="70">
        <v>50</v>
      </c>
      <c r="I221" s="72">
        <f>FastenersPriceList[[#This Row],[Quantity (kg)]]/FastenersPriceList[[#This Row],[SINGLE PC. WT.]]</f>
        <v>142.85714285714286</v>
      </c>
      <c r="J221" s="3">
        <v>110</v>
      </c>
      <c r="K221" s="3">
        <f>FastenersPriceList[[#This Row],[1000 PCS/WT.]]*FastenersPriceList[[#This Row],[Rate / PER kg (₹)]]</f>
        <v>38500</v>
      </c>
      <c r="L221" s="4">
        <f>FastenersPriceList[[#This Row],[Rate / PER kg (₹)]]*FastenersPriceList[[#This Row],[Quantity (kg)]]</f>
        <v>5500</v>
      </c>
      <c r="M221" s="4"/>
    </row>
    <row r="222" spans="1:13" ht="22.05" customHeight="1" x14ac:dyDescent="0.3">
      <c r="A222" s="2" t="s">
        <v>1046</v>
      </c>
      <c r="B222" s="12" t="s">
        <v>8</v>
      </c>
      <c r="C222" s="12" t="s">
        <v>9</v>
      </c>
      <c r="D222" s="2">
        <v>370</v>
      </c>
      <c r="E222" s="2">
        <f>FastenersPriceList[[#This Row],[1000 PCS/WT.]]/1000</f>
        <v>0.37</v>
      </c>
      <c r="F222" s="2" t="s">
        <v>683</v>
      </c>
      <c r="G222" s="6" t="s">
        <v>11</v>
      </c>
      <c r="H222" s="70">
        <v>50</v>
      </c>
      <c r="I222" s="72">
        <f>FastenersPriceList[[#This Row],[Quantity (kg)]]/FastenersPriceList[[#This Row],[SINGLE PC. WT.]]</f>
        <v>135.13513513513513</v>
      </c>
      <c r="J222" s="3">
        <v>110</v>
      </c>
      <c r="K222" s="3">
        <f>FastenersPriceList[[#This Row],[1000 PCS/WT.]]*FastenersPriceList[[#This Row],[Rate / PER kg (₹)]]</f>
        <v>40700</v>
      </c>
      <c r="L222" s="4">
        <f>FastenersPriceList[[#This Row],[Rate / PER kg (₹)]]*FastenersPriceList[[#This Row],[Quantity (kg)]]</f>
        <v>5500</v>
      </c>
      <c r="M222" s="4"/>
    </row>
    <row r="223" spans="1:13" ht="22.05" customHeight="1" x14ac:dyDescent="0.3">
      <c r="A223" s="2" t="s">
        <v>1047</v>
      </c>
      <c r="B223" s="12" t="s">
        <v>8</v>
      </c>
      <c r="C223" s="12" t="s">
        <v>9</v>
      </c>
      <c r="D223" s="2">
        <v>390</v>
      </c>
      <c r="E223" s="2">
        <f>FastenersPriceList[[#This Row],[1000 PCS/WT.]]/1000</f>
        <v>0.39</v>
      </c>
      <c r="F223" s="2" t="s">
        <v>684</v>
      </c>
      <c r="G223" s="6" t="s">
        <v>11</v>
      </c>
      <c r="H223" s="70">
        <v>50</v>
      </c>
      <c r="I223" s="72">
        <f>FastenersPriceList[[#This Row],[Quantity (kg)]]/FastenersPriceList[[#This Row],[SINGLE PC. WT.]]</f>
        <v>128.2051282051282</v>
      </c>
      <c r="J223" s="3">
        <v>110</v>
      </c>
      <c r="K223" s="3">
        <f>FastenersPriceList[[#This Row],[1000 PCS/WT.]]*FastenersPriceList[[#This Row],[Rate / PER kg (₹)]]</f>
        <v>42900</v>
      </c>
      <c r="L223" s="4">
        <f>FastenersPriceList[[#This Row],[Rate / PER kg (₹)]]*FastenersPriceList[[#This Row],[Quantity (kg)]]</f>
        <v>5500</v>
      </c>
      <c r="M223" s="4"/>
    </row>
    <row r="224" spans="1:13" ht="22.05" customHeight="1" x14ac:dyDescent="0.3">
      <c r="A224" s="2" t="s">
        <v>1048</v>
      </c>
      <c r="B224" s="12" t="s">
        <v>8</v>
      </c>
      <c r="C224" s="12" t="s">
        <v>9</v>
      </c>
      <c r="D224" s="2">
        <v>410</v>
      </c>
      <c r="E224" s="2">
        <f>FastenersPriceList[[#This Row],[1000 PCS/WT.]]/1000</f>
        <v>0.41</v>
      </c>
      <c r="F224" s="2" t="s">
        <v>685</v>
      </c>
      <c r="G224" s="6" t="s">
        <v>11</v>
      </c>
      <c r="H224" s="70">
        <v>50</v>
      </c>
      <c r="I224" s="72">
        <f>FastenersPriceList[[#This Row],[Quantity (kg)]]/FastenersPriceList[[#This Row],[SINGLE PC. WT.]]</f>
        <v>121.95121951219512</v>
      </c>
      <c r="J224" s="3">
        <v>110</v>
      </c>
      <c r="K224" s="3">
        <f>FastenersPriceList[[#This Row],[1000 PCS/WT.]]*FastenersPriceList[[#This Row],[Rate / PER kg (₹)]]</f>
        <v>45100</v>
      </c>
      <c r="L224" s="4">
        <f>FastenersPriceList[[#This Row],[Rate / PER kg (₹)]]*FastenersPriceList[[#This Row],[Quantity (kg)]]</f>
        <v>5500</v>
      </c>
      <c r="M224" s="4"/>
    </row>
    <row r="225" spans="1:13" ht="22.05" customHeight="1" x14ac:dyDescent="0.3">
      <c r="A225" s="2" t="s">
        <v>1049</v>
      </c>
      <c r="B225" s="12" t="s">
        <v>8</v>
      </c>
      <c r="C225" s="12" t="s">
        <v>9</v>
      </c>
      <c r="D225" s="2">
        <v>430</v>
      </c>
      <c r="E225" s="2">
        <f>FastenersPriceList[[#This Row],[1000 PCS/WT.]]/1000</f>
        <v>0.43</v>
      </c>
      <c r="F225" s="2" t="s">
        <v>686</v>
      </c>
      <c r="G225" s="6" t="s">
        <v>11</v>
      </c>
      <c r="H225" s="70">
        <v>50</v>
      </c>
      <c r="I225" s="72">
        <f>FastenersPriceList[[#This Row],[Quantity (kg)]]/FastenersPriceList[[#This Row],[SINGLE PC. WT.]]</f>
        <v>116.27906976744187</v>
      </c>
      <c r="J225" s="3">
        <v>110</v>
      </c>
      <c r="K225" s="3">
        <f>FastenersPriceList[[#This Row],[1000 PCS/WT.]]*FastenersPriceList[[#This Row],[Rate / PER kg (₹)]]</f>
        <v>47300</v>
      </c>
      <c r="L225" s="4">
        <f>FastenersPriceList[[#This Row],[Rate / PER kg (₹)]]*FastenersPriceList[[#This Row],[Quantity (kg)]]</f>
        <v>5500</v>
      </c>
      <c r="M225" s="4"/>
    </row>
    <row r="226" spans="1:13" ht="22.05" customHeight="1" x14ac:dyDescent="0.3">
      <c r="A226" s="2" t="s">
        <v>1050</v>
      </c>
      <c r="B226" s="12" t="s">
        <v>8</v>
      </c>
      <c r="C226" s="12" t="s">
        <v>9</v>
      </c>
      <c r="D226" s="2">
        <v>450</v>
      </c>
      <c r="E226" s="2">
        <f>FastenersPriceList[[#This Row],[1000 PCS/WT.]]/1000</f>
        <v>0.45</v>
      </c>
      <c r="F226" s="2" t="s">
        <v>687</v>
      </c>
      <c r="G226" s="6" t="s">
        <v>11</v>
      </c>
      <c r="H226" s="70">
        <v>50</v>
      </c>
      <c r="I226" s="72">
        <f>FastenersPriceList[[#This Row],[Quantity (kg)]]/FastenersPriceList[[#This Row],[SINGLE PC. WT.]]</f>
        <v>111.11111111111111</v>
      </c>
      <c r="J226" s="3">
        <v>110</v>
      </c>
      <c r="K226" s="3">
        <f>FastenersPriceList[[#This Row],[1000 PCS/WT.]]*FastenersPriceList[[#This Row],[Rate / PER kg (₹)]]</f>
        <v>49500</v>
      </c>
      <c r="L226" s="4">
        <f>FastenersPriceList[[#This Row],[Rate / PER kg (₹)]]*FastenersPriceList[[#This Row],[Quantity (kg)]]</f>
        <v>5500</v>
      </c>
      <c r="M226" s="4"/>
    </row>
    <row r="227" spans="1:13" ht="22.05" customHeight="1" x14ac:dyDescent="0.3">
      <c r="A227" s="2" t="s">
        <v>1051</v>
      </c>
      <c r="B227" s="12" t="s">
        <v>8</v>
      </c>
      <c r="C227" s="12" t="s">
        <v>9</v>
      </c>
      <c r="D227" s="2">
        <v>470</v>
      </c>
      <c r="E227" s="2">
        <f>FastenersPriceList[[#This Row],[1000 PCS/WT.]]/1000</f>
        <v>0.47</v>
      </c>
      <c r="F227" s="2" t="s">
        <v>688</v>
      </c>
      <c r="G227" s="6" t="s">
        <v>11</v>
      </c>
      <c r="H227" s="70">
        <v>50</v>
      </c>
      <c r="I227" s="72">
        <f>FastenersPriceList[[#This Row],[Quantity (kg)]]/FastenersPriceList[[#This Row],[SINGLE PC. WT.]]</f>
        <v>106.38297872340426</v>
      </c>
      <c r="J227" s="3">
        <v>110</v>
      </c>
      <c r="K227" s="3">
        <f>FastenersPriceList[[#This Row],[1000 PCS/WT.]]*FastenersPriceList[[#This Row],[Rate / PER kg (₹)]]</f>
        <v>51700</v>
      </c>
      <c r="L227" s="4">
        <f>FastenersPriceList[[#This Row],[Rate / PER kg (₹)]]*FastenersPriceList[[#This Row],[Quantity (kg)]]</f>
        <v>5500</v>
      </c>
      <c r="M227" s="4"/>
    </row>
    <row r="228" spans="1:13" ht="22.05" customHeight="1" x14ac:dyDescent="0.3">
      <c r="A228" s="2" t="s">
        <v>1052</v>
      </c>
      <c r="B228" s="12" t="s">
        <v>8</v>
      </c>
      <c r="C228" s="12" t="s">
        <v>9</v>
      </c>
      <c r="D228" s="2">
        <v>490</v>
      </c>
      <c r="E228" s="2">
        <f>FastenersPriceList[[#This Row],[1000 PCS/WT.]]/1000</f>
        <v>0.49</v>
      </c>
      <c r="F228" s="2" t="s">
        <v>689</v>
      </c>
      <c r="G228" s="6" t="s">
        <v>11</v>
      </c>
      <c r="H228" s="70">
        <v>50</v>
      </c>
      <c r="I228" s="72">
        <f>FastenersPriceList[[#This Row],[Quantity (kg)]]/FastenersPriceList[[#This Row],[SINGLE PC. WT.]]</f>
        <v>102.04081632653062</v>
      </c>
      <c r="J228" s="3">
        <v>110</v>
      </c>
      <c r="K228" s="3">
        <f>FastenersPriceList[[#This Row],[1000 PCS/WT.]]*FastenersPriceList[[#This Row],[Rate / PER kg (₹)]]</f>
        <v>53900</v>
      </c>
      <c r="L228" s="4">
        <f>FastenersPriceList[[#This Row],[Rate / PER kg (₹)]]*FastenersPriceList[[#This Row],[Quantity (kg)]]</f>
        <v>5500</v>
      </c>
      <c r="M228" s="4"/>
    </row>
    <row r="229" spans="1:13" ht="22.05" customHeight="1" x14ac:dyDescent="0.3">
      <c r="A229" s="2" t="s">
        <v>1053</v>
      </c>
      <c r="B229" s="12" t="s">
        <v>8</v>
      </c>
      <c r="C229" s="12" t="s">
        <v>9</v>
      </c>
      <c r="D229" s="2">
        <v>510</v>
      </c>
      <c r="E229" s="2">
        <f>FastenersPriceList[[#This Row],[1000 PCS/WT.]]/1000</f>
        <v>0.51</v>
      </c>
      <c r="F229" s="2" t="s">
        <v>690</v>
      </c>
      <c r="G229" s="6" t="s">
        <v>11</v>
      </c>
      <c r="H229" s="70">
        <v>50</v>
      </c>
      <c r="I229" s="72">
        <f>FastenersPriceList[[#This Row],[Quantity (kg)]]/FastenersPriceList[[#This Row],[SINGLE PC. WT.]]</f>
        <v>98.039215686274503</v>
      </c>
      <c r="J229" s="3">
        <v>110</v>
      </c>
      <c r="K229" s="3">
        <f>FastenersPriceList[[#This Row],[1000 PCS/WT.]]*FastenersPriceList[[#This Row],[Rate / PER kg (₹)]]</f>
        <v>56100</v>
      </c>
      <c r="L229" s="4">
        <f>FastenersPriceList[[#This Row],[Rate / PER kg (₹)]]*FastenersPriceList[[#This Row],[Quantity (kg)]]</f>
        <v>5500</v>
      </c>
      <c r="M229" s="4"/>
    </row>
    <row r="230" spans="1:13" ht="22.05" customHeight="1" x14ac:dyDescent="0.3">
      <c r="A230" s="2" t="s">
        <v>1054</v>
      </c>
      <c r="B230" s="12" t="s">
        <v>8</v>
      </c>
      <c r="C230" s="12" t="s">
        <v>9</v>
      </c>
      <c r="D230" s="2">
        <v>531</v>
      </c>
      <c r="E230" s="2">
        <f>FastenersPriceList[[#This Row],[1000 PCS/WT.]]/1000</f>
        <v>0.53100000000000003</v>
      </c>
      <c r="F230" s="2" t="s">
        <v>691</v>
      </c>
      <c r="G230" s="6" t="s">
        <v>11</v>
      </c>
      <c r="H230" s="70">
        <v>50</v>
      </c>
      <c r="I230" s="72">
        <f>FastenersPriceList[[#This Row],[Quantity (kg)]]/FastenersPriceList[[#This Row],[SINGLE PC. WT.]]</f>
        <v>94.161958568738228</v>
      </c>
      <c r="J230" s="3">
        <v>110</v>
      </c>
      <c r="K230" s="3">
        <f>FastenersPriceList[[#This Row],[1000 PCS/WT.]]*FastenersPriceList[[#This Row],[Rate / PER kg (₹)]]</f>
        <v>58410</v>
      </c>
      <c r="L230" s="4">
        <f>FastenersPriceList[[#This Row],[Rate / PER kg (₹)]]*FastenersPriceList[[#This Row],[Quantity (kg)]]</f>
        <v>5500</v>
      </c>
      <c r="M230" s="4"/>
    </row>
    <row r="231" spans="1:13" ht="22.05" customHeight="1" x14ac:dyDescent="0.3">
      <c r="A231" s="2" t="s">
        <v>1055</v>
      </c>
      <c r="B231" s="12" t="s">
        <v>8</v>
      </c>
      <c r="C231" s="12" t="s">
        <v>9</v>
      </c>
      <c r="D231" s="2">
        <v>552</v>
      </c>
      <c r="E231" s="2">
        <f>FastenersPriceList[[#This Row],[1000 PCS/WT.]]/1000</f>
        <v>0.55200000000000005</v>
      </c>
      <c r="F231" s="2" t="s">
        <v>692</v>
      </c>
      <c r="G231" s="6" t="s">
        <v>11</v>
      </c>
      <c r="H231" s="70">
        <v>50</v>
      </c>
      <c r="I231" s="72">
        <f>FastenersPriceList[[#This Row],[Quantity (kg)]]/FastenersPriceList[[#This Row],[SINGLE PC. WT.]]</f>
        <v>90.579710144927532</v>
      </c>
      <c r="J231" s="3">
        <v>110</v>
      </c>
      <c r="K231" s="3">
        <f>FastenersPriceList[[#This Row],[1000 PCS/WT.]]*FastenersPriceList[[#This Row],[Rate / PER kg (₹)]]</f>
        <v>60720</v>
      </c>
      <c r="L231" s="4">
        <f>FastenersPriceList[[#This Row],[Rate / PER kg (₹)]]*FastenersPriceList[[#This Row],[Quantity (kg)]]</f>
        <v>5500</v>
      </c>
      <c r="M231" s="4"/>
    </row>
    <row r="232" spans="1:13" ht="22.05" customHeight="1" x14ac:dyDescent="0.3">
      <c r="A232" s="2" t="s">
        <v>1056</v>
      </c>
      <c r="B232" s="12" t="s">
        <v>8</v>
      </c>
      <c r="C232" s="12" t="s">
        <v>9</v>
      </c>
      <c r="D232" s="2">
        <v>573</v>
      </c>
      <c r="E232" s="2">
        <f>FastenersPriceList[[#This Row],[1000 PCS/WT.]]/1000</f>
        <v>0.57299999999999995</v>
      </c>
      <c r="F232" s="2" t="s">
        <v>693</v>
      </c>
      <c r="G232" s="6" t="s">
        <v>11</v>
      </c>
      <c r="H232" s="70">
        <v>50</v>
      </c>
      <c r="I232" s="72">
        <f>FastenersPriceList[[#This Row],[Quantity (kg)]]/FastenersPriceList[[#This Row],[SINGLE PC. WT.]]</f>
        <v>87.260034904013963</v>
      </c>
      <c r="J232" s="3">
        <v>110</v>
      </c>
      <c r="K232" s="3">
        <f>FastenersPriceList[[#This Row],[1000 PCS/WT.]]*FastenersPriceList[[#This Row],[Rate / PER kg (₹)]]</f>
        <v>63030</v>
      </c>
      <c r="L232" s="4">
        <f>FastenersPriceList[[#This Row],[Rate / PER kg (₹)]]*FastenersPriceList[[#This Row],[Quantity (kg)]]</f>
        <v>5500</v>
      </c>
      <c r="M232" s="4"/>
    </row>
    <row r="233" spans="1:13" ht="22.05" customHeight="1" x14ac:dyDescent="0.3">
      <c r="A233" s="2" t="s">
        <v>1177</v>
      </c>
      <c r="B233" s="12" t="s">
        <v>8</v>
      </c>
      <c r="C233" s="12" t="s">
        <v>9</v>
      </c>
      <c r="D233" s="2">
        <v>594</v>
      </c>
      <c r="E233" s="2">
        <f>FastenersPriceList[[#This Row],[1000 PCS/WT.]]/1000</f>
        <v>0.59399999999999997</v>
      </c>
      <c r="F233" s="2" t="s">
        <v>694</v>
      </c>
      <c r="G233" s="6" t="s">
        <v>11</v>
      </c>
      <c r="H233" s="70">
        <v>50</v>
      </c>
      <c r="I233" s="72">
        <f>FastenersPriceList[[#This Row],[Quantity (kg)]]/FastenersPriceList[[#This Row],[SINGLE PC. WT.]]</f>
        <v>84.17508417508418</v>
      </c>
      <c r="J233" s="3">
        <v>110</v>
      </c>
      <c r="K233" s="3">
        <f>FastenersPriceList[[#This Row],[1000 PCS/WT.]]*FastenersPriceList[[#This Row],[Rate / PER kg (₹)]]</f>
        <v>65340</v>
      </c>
      <c r="L233" s="4">
        <f>FastenersPriceList[[#This Row],[Rate / PER kg (₹)]]*FastenersPriceList[[#This Row],[Quantity (kg)]]</f>
        <v>5500</v>
      </c>
      <c r="M233" s="4"/>
    </row>
    <row r="234" spans="1:13" ht="22.05" customHeight="1" x14ac:dyDescent="0.3">
      <c r="A234" s="2" t="s">
        <v>1178</v>
      </c>
      <c r="B234" s="12" t="s">
        <v>8</v>
      </c>
      <c r="C234" s="12" t="s">
        <v>9</v>
      </c>
      <c r="D234" s="2">
        <v>636</v>
      </c>
      <c r="E234" s="2">
        <f>FastenersPriceList[[#This Row],[1000 PCS/WT.]]/1000</f>
        <v>0.63600000000000001</v>
      </c>
      <c r="F234" s="2" t="s">
        <v>695</v>
      </c>
      <c r="G234" s="6" t="s">
        <v>11</v>
      </c>
      <c r="H234" s="70">
        <v>50</v>
      </c>
      <c r="I234" s="72">
        <f>FastenersPriceList[[#This Row],[Quantity (kg)]]/FastenersPriceList[[#This Row],[SINGLE PC. WT.]]</f>
        <v>78.616352201257854</v>
      </c>
      <c r="J234" s="3">
        <v>115</v>
      </c>
      <c r="K234" s="3">
        <f>FastenersPriceList[[#This Row],[1000 PCS/WT.]]*FastenersPriceList[[#This Row],[Rate / PER kg (₹)]]</f>
        <v>73140</v>
      </c>
      <c r="L234" s="4">
        <f>FastenersPriceList[[#This Row],[Rate / PER kg (₹)]]*FastenersPriceList[[#This Row],[Quantity (kg)]]</f>
        <v>5750</v>
      </c>
      <c r="M234" s="4"/>
    </row>
    <row r="235" spans="1:13" ht="22.05" customHeight="1" x14ac:dyDescent="0.3">
      <c r="A235" s="2" t="s">
        <v>1179</v>
      </c>
      <c r="B235" s="12" t="s">
        <v>8</v>
      </c>
      <c r="C235" s="12" t="s">
        <v>9</v>
      </c>
      <c r="D235" s="2">
        <v>678</v>
      </c>
      <c r="E235" s="2">
        <f>FastenersPriceList[[#This Row],[1000 PCS/WT.]]/1000</f>
        <v>0.67800000000000005</v>
      </c>
      <c r="F235" s="2" t="s">
        <v>696</v>
      </c>
      <c r="G235" s="6" t="s">
        <v>11</v>
      </c>
      <c r="H235" s="70">
        <v>50</v>
      </c>
      <c r="I235" s="72">
        <f>FastenersPriceList[[#This Row],[Quantity (kg)]]/FastenersPriceList[[#This Row],[SINGLE PC. WT.]]</f>
        <v>73.746312684365776</v>
      </c>
      <c r="J235" s="3">
        <v>115</v>
      </c>
      <c r="K235" s="3">
        <f>FastenersPriceList[[#This Row],[1000 PCS/WT.]]*FastenersPriceList[[#This Row],[Rate / PER kg (₹)]]</f>
        <v>77970</v>
      </c>
      <c r="L235" s="4">
        <f>FastenersPriceList[[#This Row],[Rate / PER kg (₹)]]*FastenersPriceList[[#This Row],[Quantity (kg)]]</f>
        <v>5750</v>
      </c>
      <c r="M235" s="4"/>
    </row>
    <row r="236" spans="1:13" ht="22.05" customHeight="1" x14ac:dyDescent="0.3">
      <c r="A236" s="2" t="s">
        <v>1180</v>
      </c>
      <c r="B236" s="12" t="s">
        <v>8</v>
      </c>
      <c r="C236" s="12" t="s">
        <v>9</v>
      </c>
      <c r="D236" s="2">
        <v>720</v>
      </c>
      <c r="E236" s="2">
        <f>FastenersPriceList[[#This Row],[1000 PCS/WT.]]/1000</f>
        <v>0.72</v>
      </c>
      <c r="F236" s="2" t="s">
        <v>697</v>
      </c>
      <c r="G236" s="6" t="s">
        <v>11</v>
      </c>
      <c r="H236" s="70">
        <v>50</v>
      </c>
      <c r="I236" s="72">
        <f>FastenersPriceList[[#This Row],[Quantity (kg)]]/FastenersPriceList[[#This Row],[SINGLE PC. WT.]]</f>
        <v>69.444444444444443</v>
      </c>
      <c r="J236" s="3">
        <v>115</v>
      </c>
      <c r="K236" s="3">
        <f>FastenersPriceList[[#This Row],[1000 PCS/WT.]]*FastenersPriceList[[#This Row],[Rate / PER kg (₹)]]</f>
        <v>82800</v>
      </c>
      <c r="L236" s="4">
        <f>FastenersPriceList[[#This Row],[Rate / PER kg (₹)]]*FastenersPriceList[[#This Row],[Quantity (kg)]]</f>
        <v>5750</v>
      </c>
      <c r="M236" s="4"/>
    </row>
    <row r="237" spans="1:13" ht="22.05" customHeight="1" x14ac:dyDescent="0.3">
      <c r="A237" s="2" t="s">
        <v>1181</v>
      </c>
      <c r="B237" s="12" t="s">
        <v>8</v>
      </c>
      <c r="C237" s="12" t="s">
        <v>9</v>
      </c>
      <c r="D237" s="2">
        <v>762</v>
      </c>
      <c r="E237" s="2">
        <f>FastenersPriceList[[#This Row],[1000 PCS/WT.]]/1000</f>
        <v>0.76200000000000001</v>
      </c>
      <c r="F237" s="2" t="s">
        <v>698</v>
      </c>
      <c r="G237" s="6" t="s">
        <v>11</v>
      </c>
      <c r="H237" s="70">
        <v>50</v>
      </c>
      <c r="I237" s="72">
        <f>FastenersPriceList[[#This Row],[Quantity (kg)]]/FastenersPriceList[[#This Row],[SINGLE PC. WT.]]</f>
        <v>65.616797900262469</v>
      </c>
      <c r="J237" s="3">
        <v>115</v>
      </c>
      <c r="K237" s="3">
        <f>FastenersPriceList[[#This Row],[1000 PCS/WT.]]*FastenersPriceList[[#This Row],[Rate / PER kg (₹)]]</f>
        <v>87630</v>
      </c>
      <c r="L237" s="4">
        <f>FastenersPriceList[[#This Row],[Rate / PER kg (₹)]]*FastenersPriceList[[#This Row],[Quantity (kg)]]</f>
        <v>5750</v>
      </c>
      <c r="M237" s="4"/>
    </row>
    <row r="238" spans="1:13" ht="22.05" customHeight="1" x14ac:dyDescent="0.3">
      <c r="A238" s="2" t="s">
        <v>1182</v>
      </c>
      <c r="B238" s="12" t="s">
        <v>8</v>
      </c>
      <c r="C238" s="12" t="s">
        <v>9</v>
      </c>
      <c r="D238" s="2">
        <v>804</v>
      </c>
      <c r="E238" s="2">
        <f>FastenersPriceList[[#This Row],[1000 PCS/WT.]]/1000</f>
        <v>0.80400000000000005</v>
      </c>
      <c r="F238" s="2" t="s">
        <v>699</v>
      </c>
      <c r="G238" s="6" t="s">
        <v>11</v>
      </c>
      <c r="H238" s="70">
        <v>50</v>
      </c>
      <c r="I238" s="72">
        <f>FastenersPriceList[[#This Row],[Quantity (kg)]]/FastenersPriceList[[#This Row],[SINGLE PC. WT.]]</f>
        <v>62.189054726368155</v>
      </c>
      <c r="J238" s="3">
        <v>115</v>
      </c>
      <c r="K238" s="3">
        <f>FastenersPriceList[[#This Row],[1000 PCS/WT.]]*FastenersPriceList[[#This Row],[Rate / PER kg (₹)]]</f>
        <v>92460</v>
      </c>
      <c r="L238" s="4">
        <f>FastenersPriceList[[#This Row],[Rate / PER kg (₹)]]*FastenersPriceList[[#This Row],[Quantity (kg)]]</f>
        <v>5750</v>
      </c>
      <c r="M238" s="4"/>
    </row>
    <row r="239" spans="1:13" ht="22.05" customHeight="1" x14ac:dyDescent="0.3">
      <c r="A239" s="2" t="s">
        <v>1183</v>
      </c>
      <c r="B239" s="12" t="s">
        <v>8</v>
      </c>
      <c r="C239" s="12" t="s">
        <v>9</v>
      </c>
      <c r="D239" s="2">
        <v>846</v>
      </c>
      <c r="E239" s="2">
        <f>FastenersPriceList[[#This Row],[1000 PCS/WT.]]/1000</f>
        <v>0.84599999999999997</v>
      </c>
      <c r="F239" s="2" t="s">
        <v>700</v>
      </c>
      <c r="G239" s="6" t="s">
        <v>11</v>
      </c>
      <c r="H239" s="70">
        <v>50</v>
      </c>
      <c r="I239" s="72">
        <f>FastenersPriceList[[#This Row],[Quantity (kg)]]/FastenersPriceList[[#This Row],[SINGLE PC. WT.]]</f>
        <v>59.101654846335698</v>
      </c>
      <c r="J239" s="3">
        <v>115</v>
      </c>
      <c r="K239" s="3">
        <f>FastenersPriceList[[#This Row],[1000 PCS/WT.]]*FastenersPriceList[[#This Row],[Rate / PER kg (₹)]]</f>
        <v>97290</v>
      </c>
      <c r="L239" s="4">
        <f>FastenersPriceList[[#This Row],[Rate / PER kg (₹)]]*FastenersPriceList[[#This Row],[Quantity (kg)]]</f>
        <v>5750</v>
      </c>
      <c r="M239" s="4"/>
    </row>
    <row r="240" spans="1:13" ht="22.05" customHeight="1" x14ac:dyDescent="0.3">
      <c r="A240" s="2" t="s">
        <v>1184</v>
      </c>
      <c r="B240" s="12" t="s">
        <v>8</v>
      </c>
      <c r="C240" s="12" t="s">
        <v>9</v>
      </c>
      <c r="D240" s="2">
        <v>888</v>
      </c>
      <c r="E240" s="2">
        <f>FastenersPriceList[[#This Row],[1000 PCS/WT.]]/1000</f>
        <v>0.88800000000000001</v>
      </c>
      <c r="F240" s="2" t="s">
        <v>701</v>
      </c>
      <c r="G240" s="6" t="s">
        <v>11</v>
      </c>
      <c r="H240" s="70">
        <v>50</v>
      </c>
      <c r="I240" s="72">
        <f>FastenersPriceList[[#This Row],[Quantity (kg)]]/FastenersPriceList[[#This Row],[SINGLE PC. WT.]]</f>
        <v>56.306306306306304</v>
      </c>
      <c r="J240" s="3">
        <v>115</v>
      </c>
      <c r="K240" s="3">
        <f>FastenersPriceList[[#This Row],[1000 PCS/WT.]]*FastenersPriceList[[#This Row],[Rate / PER kg (₹)]]</f>
        <v>102120</v>
      </c>
      <c r="L240" s="4">
        <f>FastenersPriceList[[#This Row],[Rate / PER kg (₹)]]*FastenersPriceList[[#This Row],[Quantity (kg)]]</f>
        <v>5750</v>
      </c>
      <c r="M240" s="4"/>
    </row>
    <row r="241" spans="1:13" ht="22.05" customHeight="1" x14ac:dyDescent="0.3">
      <c r="A241" s="2" t="s">
        <v>1185</v>
      </c>
      <c r="B241" s="12" t="s">
        <v>8</v>
      </c>
      <c r="C241" s="12" t="s">
        <v>9</v>
      </c>
      <c r="D241" s="2">
        <v>930</v>
      </c>
      <c r="E241" s="2">
        <f>FastenersPriceList[[#This Row],[1000 PCS/WT.]]/1000</f>
        <v>0.93</v>
      </c>
      <c r="F241" s="2" t="s">
        <v>702</v>
      </c>
      <c r="G241" s="6" t="s">
        <v>11</v>
      </c>
      <c r="H241" s="70">
        <v>50</v>
      </c>
      <c r="I241" s="72">
        <f>FastenersPriceList[[#This Row],[Quantity (kg)]]/FastenersPriceList[[#This Row],[SINGLE PC. WT.]]</f>
        <v>53.763440860215049</v>
      </c>
      <c r="J241" s="3">
        <v>115</v>
      </c>
      <c r="K241" s="3">
        <f>FastenersPriceList[[#This Row],[1000 PCS/WT.]]*FastenersPriceList[[#This Row],[Rate / PER kg (₹)]]</f>
        <v>106950</v>
      </c>
      <c r="L241" s="4">
        <f>FastenersPriceList[[#This Row],[Rate / PER kg (₹)]]*FastenersPriceList[[#This Row],[Quantity (kg)]]</f>
        <v>5750</v>
      </c>
      <c r="M241" s="4"/>
    </row>
    <row r="242" spans="1:13" ht="22.05" customHeight="1" x14ac:dyDescent="0.3">
      <c r="A242" s="2" t="s">
        <v>1186</v>
      </c>
      <c r="B242" s="12" t="s">
        <v>8</v>
      </c>
      <c r="C242" s="12" t="s">
        <v>9</v>
      </c>
      <c r="D242" s="2">
        <v>972</v>
      </c>
      <c r="E242" s="2">
        <f>FastenersPriceList[[#This Row],[1000 PCS/WT.]]/1000</f>
        <v>0.97199999999999998</v>
      </c>
      <c r="F242" s="2" t="s">
        <v>703</v>
      </c>
      <c r="G242" s="6" t="s">
        <v>11</v>
      </c>
      <c r="H242" s="70">
        <v>50</v>
      </c>
      <c r="I242" s="72">
        <f>FastenersPriceList[[#This Row],[Quantity (kg)]]/FastenersPriceList[[#This Row],[SINGLE PC. WT.]]</f>
        <v>51.440329218106996</v>
      </c>
      <c r="J242" s="3">
        <v>115</v>
      </c>
      <c r="K242" s="3">
        <f>FastenersPriceList[[#This Row],[1000 PCS/WT.]]*FastenersPriceList[[#This Row],[Rate / PER kg (₹)]]</f>
        <v>111780</v>
      </c>
      <c r="L242" s="4">
        <f>FastenersPriceList[[#This Row],[Rate / PER kg (₹)]]*FastenersPriceList[[#This Row],[Quantity (kg)]]</f>
        <v>5750</v>
      </c>
      <c r="M242" s="4"/>
    </row>
    <row r="243" spans="1:13" ht="22.05" customHeight="1" x14ac:dyDescent="0.3">
      <c r="A243" s="2" t="s">
        <v>1187</v>
      </c>
      <c r="B243" s="12" t="s">
        <v>8</v>
      </c>
      <c r="C243" s="12" t="s">
        <v>9</v>
      </c>
      <c r="D243" s="2">
        <v>1014</v>
      </c>
      <c r="E243" s="2">
        <f>FastenersPriceList[[#This Row],[1000 PCS/WT.]]/1000</f>
        <v>1.014</v>
      </c>
      <c r="F243" s="2" t="s">
        <v>704</v>
      </c>
      <c r="G243" s="6" t="s">
        <v>11</v>
      </c>
      <c r="H243" s="70">
        <v>50</v>
      </c>
      <c r="I243" s="72">
        <f>FastenersPriceList[[#This Row],[Quantity (kg)]]/FastenersPriceList[[#This Row],[SINGLE PC. WT.]]</f>
        <v>49.30966469428008</v>
      </c>
      <c r="J243" s="3">
        <v>115</v>
      </c>
      <c r="K243" s="3">
        <f>FastenersPriceList[[#This Row],[1000 PCS/WT.]]*FastenersPriceList[[#This Row],[Rate / PER kg (₹)]]</f>
        <v>116610</v>
      </c>
      <c r="L243" s="4">
        <f>FastenersPriceList[[#This Row],[Rate / PER kg (₹)]]*FastenersPriceList[[#This Row],[Quantity (kg)]]</f>
        <v>5750</v>
      </c>
      <c r="M243" s="4"/>
    </row>
    <row r="244" spans="1:13" ht="22.05" customHeight="1" x14ac:dyDescent="0.3">
      <c r="A244" s="2" t="s">
        <v>1188</v>
      </c>
      <c r="B244" s="12" t="s">
        <v>8</v>
      </c>
      <c r="C244" s="12" t="s">
        <v>9</v>
      </c>
      <c r="D244" s="2">
        <v>1056</v>
      </c>
      <c r="E244" s="2">
        <f>FastenersPriceList[[#This Row],[1000 PCS/WT.]]/1000</f>
        <v>1.056</v>
      </c>
      <c r="F244" s="2" t="s">
        <v>705</v>
      </c>
      <c r="G244" s="6" t="s">
        <v>11</v>
      </c>
      <c r="H244" s="70">
        <v>50</v>
      </c>
      <c r="I244" s="72">
        <f>FastenersPriceList[[#This Row],[Quantity (kg)]]/FastenersPriceList[[#This Row],[SINGLE PC. WT.]]</f>
        <v>47.348484848484844</v>
      </c>
      <c r="J244" s="3">
        <v>120</v>
      </c>
      <c r="K244" s="3">
        <f>FastenersPriceList[[#This Row],[1000 PCS/WT.]]*FastenersPriceList[[#This Row],[Rate / PER kg (₹)]]</f>
        <v>126720</v>
      </c>
      <c r="L244" s="4">
        <f>FastenersPriceList[[#This Row],[Rate / PER kg (₹)]]*FastenersPriceList[[#This Row],[Quantity (kg)]]</f>
        <v>6000</v>
      </c>
      <c r="M244" s="4"/>
    </row>
    <row r="245" spans="1:13" ht="22.05" customHeight="1" x14ac:dyDescent="0.3">
      <c r="A245" s="2" t="s">
        <v>1189</v>
      </c>
      <c r="B245" s="12" t="s">
        <v>8</v>
      </c>
      <c r="C245" s="12" t="s">
        <v>9</v>
      </c>
      <c r="D245" s="2">
        <v>1098</v>
      </c>
      <c r="E245" s="2">
        <f>FastenersPriceList[[#This Row],[1000 PCS/WT.]]/1000</f>
        <v>1.0980000000000001</v>
      </c>
      <c r="F245" s="2" t="s">
        <v>706</v>
      </c>
      <c r="G245" s="6" t="s">
        <v>11</v>
      </c>
      <c r="H245" s="70">
        <v>50</v>
      </c>
      <c r="I245" s="72">
        <f>FastenersPriceList[[#This Row],[Quantity (kg)]]/FastenersPriceList[[#This Row],[SINGLE PC. WT.]]</f>
        <v>45.537340619307827</v>
      </c>
      <c r="J245" s="3">
        <v>120</v>
      </c>
      <c r="K245" s="3">
        <f>FastenersPriceList[[#This Row],[1000 PCS/WT.]]*FastenersPriceList[[#This Row],[Rate / PER kg (₹)]]</f>
        <v>131760</v>
      </c>
      <c r="L245" s="4">
        <f>FastenersPriceList[[#This Row],[Rate / PER kg (₹)]]*FastenersPriceList[[#This Row],[Quantity (kg)]]</f>
        <v>6000</v>
      </c>
      <c r="M245" s="4"/>
    </row>
    <row r="246" spans="1:13" ht="22.05" customHeight="1" x14ac:dyDescent="0.3">
      <c r="A246" s="2" t="s">
        <v>1190</v>
      </c>
      <c r="B246" s="12" t="s">
        <v>8</v>
      </c>
      <c r="C246" s="12" t="s">
        <v>9</v>
      </c>
      <c r="D246" s="2">
        <v>1140</v>
      </c>
      <c r="E246" s="2">
        <f>FastenersPriceList[[#This Row],[1000 PCS/WT.]]/1000</f>
        <v>1.1399999999999999</v>
      </c>
      <c r="F246" s="2" t="s">
        <v>707</v>
      </c>
      <c r="G246" s="6" t="s">
        <v>11</v>
      </c>
      <c r="H246" s="70">
        <v>50</v>
      </c>
      <c r="I246" s="72">
        <f>FastenersPriceList[[#This Row],[Quantity (kg)]]/FastenersPriceList[[#This Row],[SINGLE PC. WT.]]</f>
        <v>43.859649122807021</v>
      </c>
      <c r="J246" s="3">
        <v>120</v>
      </c>
      <c r="K246" s="3">
        <f>FastenersPriceList[[#This Row],[1000 PCS/WT.]]*FastenersPriceList[[#This Row],[Rate / PER kg (₹)]]</f>
        <v>136800</v>
      </c>
      <c r="L246" s="4">
        <f>FastenersPriceList[[#This Row],[Rate / PER kg (₹)]]*FastenersPriceList[[#This Row],[Quantity (kg)]]</f>
        <v>6000</v>
      </c>
      <c r="M246" s="4"/>
    </row>
    <row r="247" spans="1:13" ht="22.05" customHeight="1" x14ac:dyDescent="0.3">
      <c r="A247" s="2" t="s">
        <v>1191</v>
      </c>
      <c r="B247" s="12" t="s">
        <v>8</v>
      </c>
      <c r="C247" s="12" t="s">
        <v>9</v>
      </c>
      <c r="D247" s="2">
        <v>1182</v>
      </c>
      <c r="E247" s="2">
        <f>FastenersPriceList[[#This Row],[1000 PCS/WT.]]/1000</f>
        <v>1.1819999999999999</v>
      </c>
      <c r="F247" s="2" t="s">
        <v>708</v>
      </c>
      <c r="G247" s="6" t="s">
        <v>11</v>
      </c>
      <c r="H247" s="70">
        <v>50</v>
      </c>
      <c r="I247" s="72">
        <f>FastenersPriceList[[#This Row],[Quantity (kg)]]/FastenersPriceList[[#This Row],[SINGLE PC. WT.]]</f>
        <v>42.301184433164131</v>
      </c>
      <c r="J247" s="3">
        <v>120</v>
      </c>
      <c r="K247" s="3">
        <f>FastenersPriceList[[#This Row],[1000 PCS/WT.]]*FastenersPriceList[[#This Row],[Rate / PER kg (₹)]]</f>
        <v>141840</v>
      </c>
      <c r="L247" s="4">
        <f>FastenersPriceList[[#This Row],[Rate / PER kg (₹)]]*FastenersPriceList[[#This Row],[Quantity (kg)]]</f>
        <v>6000</v>
      </c>
      <c r="M247" s="4"/>
    </row>
    <row r="248" spans="1:13" ht="22.05" customHeight="1" x14ac:dyDescent="0.3">
      <c r="A248" s="2" t="s">
        <v>1192</v>
      </c>
      <c r="B248" s="12" t="s">
        <v>8</v>
      </c>
      <c r="C248" s="12" t="s">
        <v>9</v>
      </c>
      <c r="D248" s="2">
        <v>1224</v>
      </c>
      <c r="E248" s="2">
        <f>FastenersPriceList[[#This Row],[1000 PCS/WT.]]/1000</f>
        <v>1.224</v>
      </c>
      <c r="F248" s="2" t="s">
        <v>709</v>
      </c>
      <c r="G248" s="6" t="s">
        <v>11</v>
      </c>
      <c r="H248" s="70">
        <v>50</v>
      </c>
      <c r="I248" s="72">
        <f>FastenersPriceList[[#This Row],[Quantity (kg)]]/FastenersPriceList[[#This Row],[SINGLE PC. WT.]]</f>
        <v>40.849673202614383</v>
      </c>
      <c r="J248" s="3">
        <v>120</v>
      </c>
      <c r="K248" s="3">
        <f>FastenersPriceList[[#This Row],[1000 PCS/WT.]]*FastenersPriceList[[#This Row],[Rate / PER kg (₹)]]</f>
        <v>146880</v>
      </c>
      <c r="L248" s="4">
        <f>FastenersPriceList[[#This Row],[Rate / PER kg (₹)]]*FastenersPriceList[[#This Row],[Quantity (kg)]]</f>
        <v>6000</v>
      </c>
      <c r="M248" s="4"/>
    </row>
    <row r="249" spans="1:13" ht="22.05" customHeight="1" x14ac:dyDescent="0.3">
      <c r="A249" s="2" t="s">
        <v>1193</v>
      </c>
      <c r="B249" s="12" t="s">
        <v>8</v>
      </c>
      <c r="C249" s="12" t="s">
        <v>9</v>
      </c>
      <c r="D249" s="2">
        <v>1266</v>
      </c>
      <c r="E249" s="2">
        <f>FastenersPriceList[[#This Row],[1000 PCS/WT.]]/1000</f>
        <v>1.266</v>
      </c>
      <c r="F249" s="2" t="s">
        <v>710</v>
      </c>
      <c r="G249" s="6" t="s">
        <v>11</v>
      </c>
      <c r="H249" s="70">
        <v>50</v>
      </c>
      <c r="I249" s="72">
        <f>FastenersPriceList[[#This Row],[Quantity (kg)]]/FastenersPriceList[[#This Row],[SINGLE PC. WT.]]</f>
        <v>39.494470774091624</v>
      </c>
      <c r="J249" s="3">
        <v>120</v>
      </c>
      <c r="K249" s="3">
        <f>FastenersPriceList[[#This Row],[1000 PCS/WT.]]*FastenersPriceList[[#This Row],[Rate / PER kg (₹)]]</f>
        <v>151920</v>
      </c>
      <c r="L249" s="4">
        <f>FastenersPriceList[[#This Row],[Rate / PER kg (₹)]]*FastenersPriceList[[#This Row],[Quantity (kg)]]</f>
        <v>6000</v>
      </c>
      <c r="M249" s="4"/>
    </row>
    <row r="250" spans="1:13" ht="22.05" customHeight="1" x14ac:dyDescent="0.3">
      <c r="A250" s="2" t="s">
        <v>1194</v>
      </c>
      <c r="B250" s="12" t="s">
        <v>8</v>
      </c>
      <c r="C250" s="12" t="s">
        <v>9</v>
      </c>
      <c r="D250" s="2">
        <v>1308</v>
      </c>
      <c r="E250" s="2">
        <f>FastenersPriceList[[#This Row],[1000 PCS/WT.]]/1000</f>
        <v>1.3080000000000001</v>
      </c>
      <c r="F250" s="2" t="s">
        <v>711</v>
      </c>
      <c r="G250" s="6" t="s">
        <v>11</v>
      </c>
      <c r="H250" s="70">
        <v>50</v>
      </c>
      <c r="I250" s="72">
        <f>FastenersPriceList[[#This Row],[Quantity (kg)]]/FastenersPriceList[[#This Row],[SINGLE PC. WT.]]</f>
        <v>38.226299694189599</v>
      </c>
      <c r="J250" s="3">
        <v>120</v>
      </c>
      <c r="K250" s="3">
        <f>FastenersPriceList[[#This Row],[1000 PCS/WT.]]*FastenersPriceList[[#This Row],[Rate / PER kg (₹)]]</f>
        <v>156960</v>
      </c>
      <c r="L250" s="4">
        <f>FastenersPriceList[[#This Row],[Rate / PER kg (₹)]]*FastenersPriceList[[#This Row],[Quantity (kg)]]</f>
        <v>6000</v>
      </c>
      <c r="M250" s="4"/>
    </row>
    <row r="251" spans="1:13" ht="22.05" customHeight="1" x14ac:dyDescent="0.3">
      <c r="A251" s="2" t="s">
        <v>1195</v>
      </c>
      <c r="B251" s="12" t="s">
        <v>8</v>
      </c>
      <c r="C251" s="12" t="s">
        <v>9</v>
      </c>
      <c r="D251" s="2">
        <v>1350</v>
      </c>
      <c r="E251" s="2">
        <f>FastenersPriceList[[#This Row],[1000 PCS/WT.]]/1000</f>
        <v>1.35</v>
      </c>
      <c r="F251" s="2" t="s">
        <v>712</v>
      </c>
      <c r="G251" s="6" t="s">
        <v>11</v>
      </c>
      <c r="H251" s="70">
        <v>50</v>
      </c>
      <c r="I251" s="72">
        <f>FastenersPriceList[[#This Row],[Quantity (kg)]]/FastenersPriceList[[#This Row],[SINGLE PC. WT.]]</f>
        <v>37.037037037037038</v>
      </c>
      <c r="J251" s="3">
        <v>120</v>
      </c>
      <c r="K251" s="3">
        <f>FastenersPriceList[[#This Row],[1000 PCS/WT.]]*FastenersPriceList[[#This Row],[Rate / PER kg (₹)]]</f>
        <v>162000</v>
      </c>
      <c r="L251" s="4">
        <f>FastenersPriceList[[#This Row],[Rate / PER kg (₹)]]*FastenersPriceList[[#This Row],[Quantity (kg)]]</f>
        <v>6000</v>
      </c>
      <c r="M251" s="4"/>
    </row>
    <row r="252" spans="1:13" ht="22.05" customHeight="1" x14ac:dyDescent="0.3">
      <c r="A252" s="2" t="s">
        <v>1196</v>
      </c>
      <c r="B252" s="12" t="s">
        <v>8</v>
      </c>
      <c r="C252" s="12" t="s">
        <v>9</v>
      </c>
      <c r="D252" s="2">
        <v>1392</v>
      </c>
      <c r="E252" s="2">
        <f>FastenersPriceList[[#This Row],[1000 PCS/WT.]]/1000</f>
        <v>1.3919999999999999</v>
      </c>
      <c r="F252" s="2" t="s">
        <v>713</v>
      </c>
      <c r="G252" s="6" t="s">
        <v>11</v>
      </c>
      <c r="H252" s="70">
        <v>50</v>
      </c>
      <c r="I252" s="72">
        <f>FastenersPriceList[[#This Row],[Quantity (kg)]]/FastenersPriceList[[#This Row],[SINGLE PC. WT.]]</f>
        <v>35.919540229885058</v>
      </c>
      <c r="J252" s="3">
        <v>120</v>
      </c>
      <c r="K252" s="3">
        <f>FastenersPriceList[[#This Row],[1000 PCS/WT.]]*FastenersPriceList[[#This Row],[Rate / PER kg (₹)]]</f>
        <v>167040</v>
      </c>
      <c r="L252" s="4">
        <f>FastenersPriceList[[#This Row],[Rate / PER kg (₹)]]*FastenersPriceList[[#This Row],[Quantity (kg)]]</f>
        <v>6000</v>
      </c>
      <c r="M252" s="4"/>
    </row>
    <row r="253" spans="1:13" ht="22.05" customHeight="1" x14ac:dyDescent="0.3">
      <c r="A253" s="2" t="s">
        <v>1197</v>
      </c>
      <c r="B253" s="12" t="s">
        <v>8</v>
      </c>
      <c r="C253" s="12" t="s">
        <v>9</v>
      </c>
      <c r="D253" s="2">
        <v>1434</v>
      </c>
      <c r="E253" s="2">
        <f>FastenersPriceList[[#This Row],[1000 PCS/WT.]]/1000</f>
        <v>1.4339999999999999</v>
      </c>
      <c r="F253" s="2" t="s">
        <v>714</v>
      </c>
      <c r="G253" s="6" t="s">
        <v>11</v>
      </c>
      <c r="H253" s="70">
        <v>50</v>
      </c>
      <c r="I253" s="72">
        <f>FastenersPriceList[[#This Row],[Quantity (kg)]]/FastenersPriceList[[#This Row],[SINGLE PC. WT.]]</f>
        <v>34.867503486750351</v>
      </c>
      <c r="J253" s="3">
        <v>120</v>
      </c>
      <c r="K253" s="3">
        <f>FastenersPriceList[[#This Row],[1000 PCS/WT.]]*FastenersPriceList[[#This Row],[Rate / PER kg (₹)]]</f>
        <v>172080</v>
      </c>
      <c r="L253" s="4">
        <f>FastenersPriceList[[#This Row],[Rate / PER kg (₹)]]*FastenersPriceList[[#This Row],[Quantity (kg)]]</f>
        <v>6000</v>
      </c>
      <c r="M253" s="4"/>
    </row>
    <row r="254" spans="1:13" ht="22.05" customHeight="1" x14ac:dyDescent="0.3">
      <c r="A254" s="2" t="s">
        <v>1057</v>
      </c>
      <c r="B254" s="12" t="s">
        <v>8</v>
      </c>
      <c r="C254" s="12" t="s">
        <v>9</v>
      </c>
      <c r="D254" s="2">
        <v>464</v>
      </c>
      <c r="E254" s="2">
        <f>FastenersPriceList[[#This Row],[1000 PCS/WT.]]/1000</f>
        <v>0.46400000000000002</v>
      </c>
      <c r="F254" s="2" t="s">
        <v>715</v>
      </c>
      <c r="G254" s="6" t="s">
        <v>11</v>
      </c>
      <c r="H254" s="70">
        <v>50</v>
      </c>
      <c r="I254" s="72">
        <f>FastenersPriceList[[#This Row],[Quantity (kg)]]/FastenersPriceList[[#This Row],[SINGLE PC. WT.]]</f>
        <v>107.75862068965516</v>
      </c>
      <c r="J254" s="3">
        <v>110</v>
      </c>
      <c r="K254" s="3">
        <f>FastenersPriceList[[#This Row],[1000 PCS/WT.]]*FastenersPriceList[[#This Row],[Rate / PER kg (₹)]]</f>
        <v>51040</v>
      </c>
      <c r="L254" s="4">
        <f>FastenersPriceList[[#This Row],[Rate / PER kg (₹)]]*FastenersPriceList[[#This Row],[Quantity (kg)]]</f>
        <v>5500</v>
      </c>
      <c r="M254" s="4"/>
    </row>
    <row r="255" spans="1:13" ht="22.05" customHeight="1" x14ac:dyDescent="0.3">
      <c r="A255" s="2" t="s">
        <v>1058</v>
      </c>
      <c r="B255" s="12" t="s">
        <v>8</v>
      </c>
      <c r="C255" s="12" t="s">
        <v>9</v>
      </c>
      <c r="D255" s="2">
        <v>488</v>
      </c>
      <c r="E255" s="2">
        <f>FastenersPriceList[[#This Row],[1000 PCS/WT.]]/1000</f>
        <v>0.48799999999999999</v>
      </c>
      <c r="F255" s="2" t="s">
        <v>716</v>
      </c>
      <c r="G255" s="6" t="s">
        <v>11</v>
      </c>
      <c r="H255" s="70">
        <v>50</v>
      </c>
      <c r="I255" s="72">
        <f>FastenersPriceList[[#This Row],[Quantity (kg)]]/FastenersPriceList[[#This Row],[SINGLE PC. WT.]]</f>
        <v>102.45901639344262</v>
      </c>
      <c r="J255" s="3">
        <v>110</v>
      </c>
      <c r="K255" s="3">
        <f>FastenersPriceList[[#This Row],[1000 PCS/WT.]]*FastenersPriceList[[#This Row],[Rate / PER kg (₹)]]</f>
        <v>53680</v>
      </c>
      <c r="L255" s="4">
        <f>FastenersPriceList[[#This Row],[Rate / PER kg (₹)]]*FastenersPriceList[[#This Row],[Quantity (kg)]]</f>
        <v>5500</v>
      </c>
      <c r="M255" s="4"/>
    </row>
    <row r="256" spans="1:13" ht="22.05" customHeight="1" x14ac:dyDescent="0.3">
      <c r="A256" s="2" t="s">
        <v>1059</v>
      </c>
      <c r="B256" s="12" t="s">
        <v>8</v>
      </c>
      <c r="C256" s="12" t="s">
        <v>9</v>
      </c>
      <c r="D256" s="2">
        <v>513.25</v>
      </c>
      <c r="E256" s="2">
        <f>FastenersPriceList[[#This Row],[1000 PCS/WT.]]/1000</f>
        <v>0.51324999999999998</v>
      </c>
      <c r="F256" s="2" t="s">
        <v>717</v>
      </c>
      <c r="G256" s="6" t="s">
        <v>11</v>
      </c>
      <c r="H256" s="70">
        <v>50</v>
      </c>
      <c r="I256" s="72">
        <f>FastenersPriceList[[#This Row],[Quantity (kg)]]/FastenersPriceList[[#This Row],[SINGLE PC. WT.]]</f>
        <v>97.418412079883097</v>
      </c>
      <c r="J256" s="3">
        <v>110</v>
      </c>
      <c r="K256" s="3">
        <f>FastenersPriceList[[#This Row],[1000 PCS/WT.]]*FastenersPriceList[[#This Row],[Rate / PER kg (₹)]]</f>
        <v>56457.5</v>
      </c>
      <c r="L256" s="4">
        <f>FastenersPriceList[[#This Row],[Rate / PER kg (₹)]]*FastenersPriceList[[#This Row],[Quantity (kg)]]</f>
        <v>5500</v>
      </c>
      <c r="M256" s="4"/>
    </row>
    <row r="257" spans="1:13" ht="22.05" customHeight="1" x14ac:dyDescent="0.3">
      <c r="A257" s="2" t="s">
        <v>1060</v>
      </c>
      <c r="B257" s="12" t="s">
        <v>8</v>
      </c>
      <c r="C257" s="12" t="s">
        <v>9</v>
      </c>
      <c r="D257" s="2">
        <v>538.5</v>
      </c>
      <c r="E257" s="2">
        <f>FastenersPriceList[[#This Row],[1000 PCS/WT.]]/1000</f>
        <v>0.53849999999999998</v>
      </c>
      <c r="F257" s="2" t="s">
        <v>718</v>
      </c>
      <c r="G257" s="6" t="s">
        <v>11</v>
      </c>
      <c r="H257" s="70">
        <v>50</v>
      </c>
      <c r="I257" s="72">
        <f>FastenersPriceList[[#This Row],[Quantity (kg)]]/FastenersPriceList[[#This Row],[SINGLE PC. WT.]]</f>
        <v>92.850510677808728</v>
      </c>
      <c r="J257" s="3">
        <v>110</v>
      </c>
      <c r="K257" s="3">
        <f>FastenersPriceList[[#This Row],[1000 PCS/WT.]]*FastenersPriceList[[#This Row],[Rate / PER kg (₹)]]</f>
        <v>59235</v>
      </c>
      <c r="L257" s="4">
        <f>FastenersPriceList[[#This Row],[Rate / PER kg (₹)]]*FastenersPriceList[[#This Row],[Quantity (kg)]]</f>
        <v>5500</v>
      </c>
      <c r="M257" s="4"/>
    </row>
    <row r="258" spans="1:13" ht="22.05" customHeight="1" x14ac:dyDescent="0.3">
      <c r="A258" s="2" t="s">
        <v>1061</v>
      </c>
      <c r="B258" s="12" t="s">
        <v>8</v>
      </c>
      <c r="C258" s="12" t="s">
        <v>9</v>
      </c>
      <c r="D258" s="2">
        <v>563.75</v>
      </c>
      <c r="E258" s="2">
        <f>FastenersPriceList[[#This Row],[1000 PCS/WT.]]/1000</f>
        <v>0.56374999999999997</v>
      </c>
      <c r="F258" s="2" t="s">
        <v>719</v>
      </c>
      <c r="G258" s="6" t="s">
        <v>11</v>
      </c>
      <c r="H258" s="70">
        <v>50</v>
      </c>
      <c r="I258" s="72">
        <f>FastenersPriceList[[#This Row],[Quantity (kg)]]/FastenersPriceList[[#This Row],[SINGLE PC. WT.]]</f>
        <v>88.69179600886919</v>
      </c>
      <c r="J258" s="3">
        <v>110</v>
      </c>
      <c r="K258" s="3">
        <f>FastenersPriceList[[#This Row],[1000 PCS/WT.]]*FastenersPriceList[[#This Row],[Rate / PER kg (₹)]]</f>
        <v>62012.5</v>
      </c>
      <c r="L258" s="4">
        <f>FastenersPriceList[[#This Row],[Rate / PER kg (₹)]]*FastenersPriceList[[#This Row],[Quantity (kg)]]</f>
        <v>5500</v>
      </c>
      <c r="M258" s="4"/>
    </row>
    <row r="259" spans="1:13" ht="22.05" customHeight="1" x14ac:dyDescent="0.3">
      <c r="A259" s="2" t="s">
        <v>1062</v>
      </c>
      <c r="B259" s="12" t="s">
        <v>8</v>
      </c>
      <c r="C259" s="12" t="s">
        <v>9</v>
      </c>
      <c r="D259" s="2">
        <v>589</v>
      </c>
      <c r="E259" s="2">
        <f>FastenersPriceList[[#This Row],[1000 PCS/WT.]]/1000</f>
        <v>0.58899999999999997</v>
      </c>
      <c r="F259" s="2" t="s">
        <v>720</v>
      </c>
      <c r="G259" s="6" t="s">
        <v>11</v>
      </c>
      <c r="H259" s="70">
        <v>50</v>
      </c>
      <c r="I259" s="72">
        <f>FastenersPriceList[[#This Row],[Quantity (kg)]]/FastenersPriceList[[#This Row],[SINGLE PC. WT.]]</f>
        <v>84.889643463497464</v>
      </c>
      <c r="J259" s="3">
        <v>110</v>
      </c>
      <c r="K259" s="3">
        <f>FastenersPriceList[[#This Row],[1000 PCS/WT.]]*FastenersPriceList[[#This Row],[Rate / PER kg (₹)]]</f>
        <v>64790</v>
      </c>
      <c r="L259" s="4">
        <f>FastenersPriceList[[#This Row],[Rate / PER kg (₹)]]*FastenersPriceList[[#This Row],[Quantity (kg)]]</f>
        <v>5500</v>
      </c>
      <c r="M259" s="4"/>
    </row>
    <row r="260" spans="1:13" ht="22.05" customHeight="1" x14ac:dyDescent="0.3">
      <c r="A260" s="2" t="s">
        <v>1063</v>
      </c>
      <c r="B260" s="12" t="s">
        <v>8</v>
      </c>
      <c r="C260" s="12" t="s">
        <v>9</v>
      </c>
      <c r="D260" s="2">
        <v>614.25</v>
      </c>
      <c r="E260" s="2">
        <f>FastenersPriceList[[#This Row],[1000 PCS/WT.]]/1000</f>
        <v>0.61424999999999996</v>
      </c>
      <c r="F260" s="2" t="s">
        <v>721</v>
      </c>
      <c r="G260" s="6" t="s">
        <v>11</v>
      </c>
      <c r="H260" s="70">
        <v>50</v>
      </c>
      <c r="I260" s="72">
        <f>FastenersPriceList[[#This Row],[Quantity (kg)]]/FastenersPriceList[[#This Row],[SINGLE PC. WT.]]</f>
        <v>81.400081400081405</v>
      </c>
      <c r="J260" s="3">
        <v>110</v>
      </c>
      <c r="K260" s="3">
        <f>FastenersPriceList[[#This Row],[1000 PCS/WT.]]*FastenersPriceList[[#This Row],[Rate / PER kg (₹)]]</f>
        <v>67567.5</v>
      </c>
      <c r="L260" s="4">
        <f>FastenersPriceList[[#This Row],[Rate / PER kg (₹)]]*FastenersPriceList[[#This Row],[Quantity (kg)]]</f>
        <v>5500</v>
      </c>
      <c r="M260" s="4"/>
    </row>
    <row r="261" spans="1:13" ht="22.05" customHeight="1" x14ac:dyDescent="0.3">
      <c r="A261" s="2" t="s">
        <v>1064</v>
      </c>
      <c r="B261" s="12" t="s">
        <v>8</v>
      </c>
      <c r="C261" s="12" t="s">
        <v>9</v>
      </c>
      <c r="D261" s="2">
        <v>639.5</v>
      </c>
      <c r="E261" s="2">
        <f>FastenersPriceList[[#This Row],[1000 PCS/WT.]]/1000</f>
        <v>0.63949999999999996</v>
      </c>
      <c r="F261" s="2" t="s">
        <v>722</v>
      </c>
      <c r="G261" s="6" t="s">
        <v>11</v>
      </c>
      <c r="H261" s="70">
        <v>50</v>
      </c>
      <c r="I261" s="72">
        <f>FastenersPriceList[[#This Row],[Quantity (kg)]]/FastenersPriceList[[#This Row],[SINGLE PC. WT.]]</f>
        <v>78.186082877247856</v>
      </c>
      <c r="J261" s="3">
        <v>110</v>
      </c>
      <c r="K261" s="3">
        <f>FastenersPriceList[[#This Row],[1000 PCS/WT.]]*FastenersPriceList[[#This Row],[Rate / PER kg (₹)]]</f>
        <v>70345</v>
      </c>
      <c r="L261" s="4">
        <f>FastenersPriceList[[#This Row],[Rate / PER kg (₹)]]*FastenersPriceList[[#This Row],[Quantity (kg)]]</f>
        <v>5500</v>
      </c>
      <c r="M261" s="4"/>
    </row>
    <row r="262" spans="1:13" ht="22.05" customHeight="1" x14ac:dyDescent="0.3">
      <c r="A262" s="2" t="s">
        <v>1065</v>
      </c>
      <c r="B262" s="12" t="s">
        <v>8</v>
      </c>
      <c r="C262" s="12" t="s">
        <v>9</v>
      </c>
      <c r="D262" s="2">
        <v>664.75</v>
      </c>
      <c r="E262" s="2">
        <f>FastenersPriceList[[#This Row],[1000 PCS/WT.]]/1000</f>
        <v>0.66474999999999995</v>
      </c>
      <c r="F262" s="2" t="s">
        <v>723</v>
      </c>
      <c r="G262" s="6" t="s">
        <v>11</v>
      </c>
      <c r="H262" s="70">
        <v>50</v>
      </c>
      <c r="I262" s="72">
        <f>FastenersPriceList[[#This Row],[Quantity (kg)]]/FastenersPriceList[[#This Row],[SINGLE PC. WT.]]</f>
        <v>75.216246709289209</v>
      </c>
      <c r="J262" s="3">
        <v>110</v>
      </c>
      <c r="K262" s="3">
        <f>FastenersPriceList[[#This Row],[1000 PCS/WT.]]*FastenersPriceList[[#This Row],[Rate / PER kg (₹)]]</f>
        <v>73122.5</v>
      </c>
      <c r="L262" s="4">
        <f>FastenersPriceList[[#This Row],[Rate / PER kg (₹)]]*FastenersPriceList[[#This Row],[Quantity (kg)]]</f>
        <v>5500</v>
      </c>
      <c r="M262" s="4"/>
    </row>
    <row r="263" spans="1:13" ht="22.05" customHeight="1" x14ac:dyDescent="0.3">
      <c r="A263" s="2" t="s">
        <v>1066</v>
      </c>
      <c r="B263" s="12" t="s">
        <v>8</v>
      </c>
      <c r="C263" s="12" t="s">
        <v>9</v>
      </c>
      <c r="D263" s="2">
        <v>690</v>
      </c>
      <c r="E263" s="2">
        <f>FastenersPriceList[[#This Row],[1000 PCS/WT.]]/1000</f>
        <v>0.69</v>
      </c>
      <c r="F263" s="2" t="s">
        <v>724</v>
      </c>
      <c r="G263" s="6" t="s">
        <v>11</v>
      </c>
      <c r="H263" s="70">
        <v>50</v>
      </c>
      <c r="I263" s="72">
        <f>FastenersPriceList[[#This Row],[Quantity (kg)]]/FastenersPriceList[[#This Row],[SINGLE PC. WT.]]</f>
        <v>72.463768115942031</v>
      </c>
      <c r="J263" s="3">
        <v>110</v>
      </c>
      <c r="K263" s="3">
        <f>FastenersPriceList[[#This Row],[1000 PCS/WT.]]*FastenersPriceList[[#This Row],[Rate / PER kg (₹)]]</f>
        <v>75900</v>
      </c>
      <c r="L263" s="4">
        <f>FastenersPriceList[[#This Row],[Rate / PER kg (₹)]]*FastenersPriceList[[#This Row],[Quantity (kg)]]</f>
        <v>5500</v>
      </c>
      <c r="M263" s="4"/>
    </row>
    <row r="264" spans="1:13" ht="22.05" customHeight="1" x14ac:dyDescent="0.3">
      <c r="A264" s="2" t="s">
        <v>1067</v>
      </c>
      <c r="B264" s="12" t="s">
        <v>8</v>
      </c>
      <c r="C264" s="12" t="s">
        <v>9</v>
      </c>
      <c r="D264" s="2">
        <v>716.5</v>
      </c>
      <c r="E264" s="2">
        <f>FastenersPriceList[[#This Row],[1000 PCS/WT.]]/1000</f>
        <v>0.71650000000000003</v>
      </c>
      <c r="F264" s="2" t="s">
        <v>725</v>
      </c>
      <c r="G264" s="6" t="s">
        <v>11</v>
      </c>
      <c r="H264" s="70">
        <v>50</v>
      </c>
      <c r="I264" s="72">
        <f>FastenersPriceList[[#This Row],[Quantity (kg)]]/FastenersPriceList[[#This Row],[SINGLE PC. WT.]]</f>
        <v>69.783670621074663</v>
      </c>
      <c r="J264" s="3">
        <v>110</v>
      </c>
      <c r="K264" s="3">
        <f>FastenersPriceList[[#This Row],[1000 PCS/WT.]]*FastenersPriceList[[#This Row],[Rate / PER kg (₹)]]</f>
        <v>78815</v>
      </c>
      <c r="L264" s="4">
        <f>FastenersPriceList[[#This Row],[Rate / PER kg (₹)]]*FastenersPriceList[[#This Row],[Quantity (kg)]]</f>
        <v>5500</v>
      </c>
      <c r="M264" s="4"/>
    </row>
    <row r="265" spans="1:13" ht="22.05" customHeight="1" x14ac:dyDescent="0.3">
      <c r="A265" s="2" t="s">
        <v>1068</v>
      </c>
      <c r="B265" s="12" t="s">
        <v>8</v>
      </c>
      <c r="C265" s="12" t="s">
        <v>9</v>
      </c>
      <c r="D265" s="2">
        <v>743</v>
      </c>
      <c r="E265" s="2">
        <f>FastenersPriceList[[#This Row],[1000 PCS/WT.]]/1000</f>
        <v>0.74299999999999999</v>
      </c>
      <c r="F265" s="2" t="s">
        <v>726</v>
      </c>
      <c r="G265" s="6" t="s">
        <v>11</v>
      </c>
      <c r="H265" s="70">
        <v>50</v>
      </c>
      <c r="I265" s="72">
        <f>FastenersPriceList[[#This Row],[Quantity (kg)]]/FastenersPriceList[[#This Row],[SINGLE PC. WT.]]</f>
        <v>67.294751009421262</v>
      </c>
      <c r="J265" s="3">
        <v>110</v>
      </c>
      <c r="K265" s="3">
        <f>FastenersPriceList[[#This Row],[1000 PCS/WT.]]*FastenersPriceList[[#This Row],[Rate / PER kg (₹)]]</f>
        <v>81730</v>
      </c>
      <c r="L265" s="4">
        <f>FastenersPriceList[[#This Row],[Rate / PER kg (₹)]]*FastenersPriceList[[#This Row],[Quantity (kg)]]</f>
        <v>5500</v>
      </c>
      <c r="M265" s="4"/>
    </row>
    <row r="266" spans="1:13" ht="22.05" customHeight="1" x14ac:dyDescent="0.3">
      <c r="A266" s="2" t="s">
        <v>1198</v>
      </c>
      <c r="B266" s="12" t="s">
        <v>8</v>
      </c>
      <c r="C266" s="12" t="s">
        <v>9</v>
      </c>
      <c r="D266" s="2">
        <v>769.5</v>
      </c>
      <c r="E266" s="2">
        <f>FastenersPriceList[[#This Row],[1000 PCS/WT.]]/1000</f>
        <v>0.76949999999999996</v>
      </c>
      <c r="F266" s="2" t="s">
        <v>727</v>
      </c>
      <c r="G266" s="6" t="s">
        <v>11</v>
      </c>
      <c r="H266" s="70">
        <v>50</v>
      </c>
      <c r="I266" s="72">
        <f>FastenersPriceList[[#This Row],[Quantity (kg)]]/FastenersPriceList[[#This Row],[SINGLE PC. WT.]]</f>
        <v>64.977257959714109</v>
      </c>
      <c r="J266" s="3">
        <v>110</v>
      </c>
      <c r="K266" s="3">
        <f>FastenersPriceList[[#This Row],[1000 PCS/WT.]]*FastenersPriceList[[#This Row],[Rate / PER kg (₹)]]</f>
        <v>84645</v>
      </c>
      <c r="L266" s="4">
        <f>FastenersPriceList[[#This Row],[Rate / PER kg (₹)]]*FastenersPriceList[[#This Row],[Quantity (kg)]]</f>
        <v>5500</v>
      </c>
      <c r="M266" s="4"/>
    </row>
    <row r="267" spans="1:13" ht="22.05" customHeight="1" x14ac:dyDescent="0.3">
      <c r="A267" s="2" t="s">
        <v>1199</v>
      </c>
      <c r="B267" s="12" t="s">
        <v>8</v>
      </c>
      <c r="C267" s="12" t="s">
        <v>9</v>
      </c>
      <c r="D267" s="2">
        <v>824.75</v>
      </c>
      <c r="E267" s="2">
        <f>FastenersPriceList[[#This Row],[1000 PCS/WT.]]/1000</f>
        <v>0.82474999999999998</v>
      </c>
      <c r="F267" s="2" t="s">
        <v>728</v>
      </c>
      <c r="G267" s="6" t="s">
        <v>11</v>
      </c>
      <c r="H267" s="70">
        <v>50</v>
      </c>
      <c r="I267" s="72">
        <f>FastenersPriceList[[#This Row],[Quantity (kg)]]/FastenersPriceList[[#This Row],[SINGLE PC. WT.]]</f>
        <v>60.624431645953322</v>
      </c>
      <c r="J267" s="3">
        <v>115</v>
      </c>
      <c r="K267" s="3">
        <f>FastenersPriceList[[#This Row],[1000 PCS/WT.]]*FastenersPriceList[[#This Row],[Rate / PER kg (₹)]]</f>
        <v>94846.25</v>
      </c>
      <c r="L267" s="4">
        <f>FastenersPriceList[[#This Row],[Rate / PER kg (₹)]]*FastenersPriceList[[#This Row],[Quantity (kg)]]</f>
        <v>5750</v>
      </c>
      <c r="M267" s="4"/>
    </row>
    <row r="268" spans="1:13" ht="22.05" customHeight="1" x14ac:dyDescent="0.3">
      <c r="A268" s="2" t="s">
        <v>1200</v>
      </c>
      <c r="B268" s="12" t="s">
        <v>8</v>
      </c>
      <c r="C268" s="12" t="s">
        <v>9</v>
      </c>
      <c r="D268" s="2">
        <v>880</v>
      </c>
      <c r="E268" s="2">
        <f>FastenersPriceList[[#This Row],[1000 PCS/WT.]]/1000</f>
        <v>0.88</v>
      </c>
      <c r="F268" s="2" t="s">
        <v>729</v>
      </c>
      <c r="G268" s="6" t="s">
        <v>11</v>
      </c>
      <c r="H268" s="70">
        <v>50</v>
      </c>
      <c r="I268" s="72">
        <f>FastenersPriceList[[#This Row],[Quantity (kg)]]/FastenersPriceList[[#This Row],[SINGLE PC. WT.]]</f>
        <v>56.81818181818182</v>
      </c>
      <c r="J268" s="3">
        <v>115</v>
      </c>
      <c r="K268" s="3">
        <f>FastenersPriceList[[#This Row],[1000 PCS/WT.]]*FastenersPriceList[[#This Row],[Rate / PER kg (₹)]]</f>
        <v>101200</v>
      </c>
      <c r="L268" s="4">
        <f>FastenersPriceList[[#This Row],[Rate / PER kg (₹)]]*FastenersPriceList[[#This Row],[Quantity (kg)]]</f>
        <v>5750</v>
      </c>
      <c r="M268" s="4"/>
    </row>
    <row r="269" spans="1:13" ht="22.05" customHeight="1" x14ac:dyDescent="0.3">
      <c r="A269" s="2" t="s">
        <v>1201</v>
      </c>
      <c r="B269" s="12" t="s">
        <v>8</v>
      </c>
      <c r="C269" s="12" t="s">
        <v>9</v>
      </c>
      <c r="D269" s="2">
        <v>935.25</v>
      </c>
      <c r="E269" s="2">
        <f>FastenersPriceList[[#This Row],[1000 PCS/WT.]]/1000</f>
        <v>0.93525000000000003</v>
      </c>
      <c r="F269" s="2" t="s">
        <v>730</v>
      </c>
      <c r="G269" s="6" t="s">
        <v>11</v>
      </c>
      <c r="H269" s="70">
        <v>50</v>
      </c>
      <c r="I269" s="72">
        <f>FastenersPriceList[[#This Row],[Quantity (kg)]]/FastenersPriceList[[#This Row],[SINGLE PC. WT.]]</f>
        <v>53.461641272387062</v>
      </c>
      <c r="J269" s="3">
        <v>115</v>
      </c>
      <c r="K269" s="3">
        <f>FastenersPriceList[[#This Row],[1000 PCS/WT.]]*FastenersPriceList[[#This Row],[Rate / PER kg (₹)]]</f>
        <v>107553.75</v>
      </c>
      <c r="L269" s="4">
        <f>FastenersPriceList[[#This Row],[Rate / PER kg (₹)]]*FastenersPriceList[[#This Row],[Quantity (kg)]]</f>
        <v>5750</v>
      </c>
      <c r="M269" s="4"/>
    </row>
    <row r="270" spans="1:13" ht="22.05" customHeight="1" x14ac:dyDescent="0.3">
      <c r="A270" s="2" t="s">
        <v>1202</v>
      </c>
      <c r="B270" s="12" t="s">
        <v>8</v>
      </c>
      <c r="C270" s="12" t="s">
        <v>9</v>
      </c>
      <c r="D270" s="2">
        <v>990.5</v>
      </c>
      <c r="E270" s="2">
        <f>FastenersPriceList[[#This Row],[1000 PCS/WT.]]/1000</f>
        <v>0.99050000000000005</v>
      </c>
      <c r="F270" s="2" t="s">
        <v>731</v>
      </c>
      <c r="G270" s="6" t="s">
        <v>11</v>
      </c>
      <c r="H270" s="70">
        <v>50</v>
      </c>
      <c r="I270" s="72">
        <f>FastenersPriceList[[#This Row],[Quantity (kg)]]/FastenersPriceList[[#This Row],[SINGLE PC. WT.]]</f>
        <v>50.479555779909134</v>
      </c>
      <c r="J270" s="3">
        <v>115</v>
      </c>
      <c r="K270" s="3">
        <f>FastenersPriceList[[#This Row],[1000 PCS/WT.]]*FastenersPriceList[[#This Row],[Rate / PER kg (₹)]]</f>
        <v>113907.5</v>
      </c>
      <c r="L270" s="4">
        <f>FastenersPriceList[[#This Row],[Rate / PER kg (₹)]]*FastenersPriceList[[#This Row],[Quantity (kg)]]</f>
        <v>5750</v>
      </c>
      <c r="M270" s="4"/>
    </row>
    <row r="271" spans="1:13" ht="22.05" customHeight="1" x14ac:dyDescent="0.3">
      <c r="A271" s="2" t="s">
        <v>1203</v>
      </c>
      <c r="B271" s="12" t="s">
        <v>8</v>
      </c>
      <c r="C271" s="12" t="s">
        <v>9</v>
      </c>
      <c r="D271" s="2">
        <v>1045.75</v>
      </c>
      <c r="E271" s="2">
        <f>FastenersPriceList[[#This Row],[1000 PCS/WT.]]/1000</f>
        <v>1.04575</v>
      </c>
      <c r="F271" s="2" t="s">
        <v>732</v>
      </c>
      <c r="G271" s="6" t="s">
        <v>11</v>
      </c>
      <c r="H271" s="70">
        <v>50</v>
      </c>
      <c r="I271" s="72">
        <f>FastenersPriceList[[#This Row],[Quantity (kg)]]/FastenersPriceList[[#This Row],[SINGLE PC. WT.]]</f>
        <v>47.812574707147981</v>
      </c>
      <c r="J271" s="3">
        <v>115</v>
      </c>
      <c r="K271" s="3">
        <f>FastenersPriceList[[#This Row],[1000 PCS/WT.]]*FastenersPriceList[[#This Row],[Rate / PER kg (₹)]]</f>
        <v>120261.25</v>
      </c>
      <c r="L271" s="4">
        <f>FastenersPriceList[[#This Row],[Rate / PER kg (₹)]]*FastenersPriceList[[#This Row],[Quantity (kg)]]</f>
        <v>5750</v>
      </c>
      <c r="M271" s="4"/>
    </row>
    <row r="272" spans="1:13" ht="22.05" customHeight="1" x14ac:dyDescent="0.3">
      <c r="A272" s="2" t="s">
        <v>1204</v>
      </c>
      <c r="B272" s="12" t="s">
        <v>8</v>
      </c>
      <c r="C272" s="12" t="s">
        <v>9</v>
      </c>
      <c r="D272" s="2">
        <v>1101</v>
      </c>
      <c r="E272" s="2">
        <f>FastenersPriceList[[#This Row],[1000 PCS/WT.]]/1000</f>
        <v>1.101</v>
      </c>
      <c r="F272" s="2" t="s">
        <v>733</v>
      </c>
      <c r="G272" s="6" t="s">
        <v>11</v>
      </c>
      <c r="H272" s="70">
        <v>50</v>
      </c>
      <c r="I272" s="72">
        <f>FastenersPriceList[[#This Row],[Quantity (kg)]]/FastenersPriceList[[#This Row],[SINGLE PC. WT.]]</f>
        <v>45.413260672116259</v>
      </c>
      <c r="J272" s="3">
        <v>115</v>
      </c>
      <c r="K272" s="3">
        <f>FastenersPriceList[[#This Row],[1000 PCS/WT.]]*FastenersPriceList[[#This Row],[Rate / PER kg (₹)]]</f>
        <v>126615</v>
      </c>
      <c r="L272" s="4">
        <f>FastenersPriceList[[#This Row],[Rate / PER kg (₹)]]*FastenersPriceList[[#This Row],[Quantity (kg)]]</f>
        <v>5750</v>
      </c>
      <c r="M272" s="4"/>
    </row>
    <row r="273" spans="1:13" ht="22.05" customHeight="1" x14ac:dyDescent="0.3">
      <c r="A273" s="2" t="s">
        <v>1205</v>
      </c>
      <c r="B273" s="12" t="s">
        <v>8</v>
      </c>
      <c r="C273" s="12" t="s">
        <v>9</v>
      </c>
      <c r="D273" s="2">
        <v>1156.25</v>
      </c>
      <c r="E273" s="2">
        <f>FastenersPriceList[[#This Row],[1000 PCS/WT.]]/1000</f>
        <v>1.15625</v>
      </c>
      <c r="F273" s="2" t="s">
        <v>734</v>
      </c>
      <c r="G273" s="6" t="s">
        <v>11</v>
      </c>
      <c r="H273" s="70">
        <v>50</v>
      </c>
      <c r="I273" s="72">
        <f>FastenersPriceList[[#This Row],[Quantity (kg)]]/FastenersPriceList[[#This Row],[SINGLE PC. WT.]]</f>
        <v>43.243243243243242</v>
      </c>
      <c r="J273" s="3">
        <v>115</v>
      </c>
      <c r="K273" s="3">
        <f>FastenersPriceList[[#This Row],[1000 PCS/WT.]]*FastenersPriceList[[#This Row],[Rate / PER kg (₹)]]</f>
        <v>132968.75</v>
      </c>
      <c r="L273" s="4">
        <f>FastenersPriceList[[#This Row],[Rate / PER kg (₹)]]*FastenersPriceList[[#This Row],[Quantity (kg)]]</f>
        <v>5750</v>
      </c>
      <c r="M273" s="4"/>
    </row>
    <row r="274" spans="1:13" ht="22.05" customHeight="1" x14ac:dyDescent="0.3">
      <c r="A274" s="2" t="s">
        <v>1206</v>
      </c>
      <c r="B274" s="12" t="s">
        <v>8</v>
      </c>
      <c r="C274" s="12" t="s">
        <v>9</v>
      </c>
      <c r="D274" s="2">
        <v>1211.5</v>
      </c>
      <c r="E274" s="2">
        <f>FastenersPriceList[[#This Row],[1000 PCS/WT.]]/1000</f>
        <v>1.2115</v>
      </c>
      <c r="F274" s="2" t="s">
        <v>735</v>
      </c>
      <c r="G274" s="6" t="s">
        <v>11</v>
      </c>
      <c r="H274" s="70">
        <v>50</v>
      </c>
      <c r="I274" s="72">
        <f>FastenersPriceList[[#This Row],[Quantity (kg)]]/FastenersPriceList[[#This Row],[SINGLE PC. WT.]]</f>
        <v>41.271151465125875</v>
      </c>
      <c r="J274" s="3">
        <v>115</v>
      </c>
      <c r="K274" s="3">
        <f>FastenersPriceList[[#This Row],[1000 PCS/WT.]]*FastenersPriceList[[#This Row],[Rate / PER kg (₹)]]</f>
        <v>139322.5</v>
      </c>
      <c r="L274" s="4">
        <f>FastenersPriceList[[#This Row],[Rate / PER kg (₹)]]*FastenersPriceList[[#This Row],[Quantity (kg)]]</f>
        <v>5750</v>
      </c>
      <c r="M274" s="4"/>
    </row>
    <row r="275" spans="1:13" ht="22.05" customHeight="1" x14ac:dyDescent="0.3">
      <c r="A275" s="2" t="s">
        <v>1207</v>
      </c>
      <c r="B275" s="12" t="s">
        <v>8</v>
      </c>
      <c r="C275" s="12" t="s">
        <v>9</v>
      </c>
      <c r="D275" s="2">
        <v>1266.75</v>
      </c>
      <c r="E275" s="2">
        <f>FastenersPriceList[[#This Row],[1000 PCS/WT.]]/1000</f>
        <v>1.26675</v>
      </c>
      <c r="F275" s="2" t="s">
        <v>736</v>
      </c>
      <c r="G275" s="6" t="s">
        <v>11</v>
      </c>
      <c r="H275" s="70">
        <v>50</v>
      </c>
      <c r="I275" s="72">
        <f>FastenersPriceList[[#This Row],[Quantity (kg)]]/FastenersPriceList[[#This Row],[SINGLE PC. WT.]]</f>
        <v>39.471087428458652</v>
      </c>
      <c r="J275" s="3">
        <v>115</v>
      </c>
      <c r="K275" s="3">
        <f>FastenersPriceList[[#This Row],[1000 PCS/WT.]]*FastenersPriceList[[#This Row],[Rate / PER kg (₹)]]</f>
        <v>145676.25</v>
      </c>
      <c r="L275" s="4">
        <f>FastenersPriceList[[#This Row],[Rate / PER kg (₹)]]*FastenersPriceList[[#This Row],[Quantity (kg)]]</f>
        <v>5750</v>
      </c>
      <c r="M275" s="4"/>
    </row>
    <row r="276" spans="1:13" ht="22.05" customHeight="1" x14ac:dyDescent="0.3">
      <c r="A276" s="2" t="s">
        <v>1208</v>
      </c>
      <c r="B276" s="12" t="s">
        <v>8</v>
      </c>
      <c r="C276" s="12" t="s">
        <v>9</v>
      </c>
      <c r="D276" s="2">
        <v>1322</v>
      </c>
      <c r="E276" s="2">
        <f>FastenersPriceList[[#This Row],[1000 PCS/WT.]]/1000</f>
        <v>1.3220000000000001</v>
      </c>
      <c r="F276" s="2" t="s">
        <v>737</v>
      </c>
      <c r="G276" s="6" t="s">
        <v>11</v>
      </c>
      <c r="H276" s="70">
        <v>50</v>
      </c>
      <c r="I276" s="72">
        <f>FastenersPriceList[[#This Row],[Quantity (kg)]]/FastenersPriceList[[#This Row],[SINGLE PC. WT.]]</f>
        <v>37.821482602118003</v>
      </c>
      <c r="J276" s="3">
        <v>115</v>
      </c>
      <c r="K276" s="3">
        <f>FastenersPriceList[[#This Row],[1000 PCS/WT.]]*FastenersPriceList[[#This Row],[Rate / PER kg (₹)]]</f>
        <v>152030</v>
      </c>
      <c r="L276" s="4">
        <f>FastenersPriceList[[#This Row],[Rate / PER kg (₹)]]*FastenersPriceList[[#This Row],[Quantity (kg)]]</f>
        <v>5750</v>
      </c>
      <c r="M276" s="4"/>
    </row>
    <row r="277" spans="1:13" ht="22.05" customHeight="1" x14ac:dyDescent="0.3">
      <c r="A277" s="2" t="s">
        <v>1209</v>
      </c>
      <c r="B277" s="12" t="s">
        <v>8</v>
      </c>
      <c r="C277" s="12" t="s">
        <v>9</v>
      </c>
      <c r="D277" s="2">
        <v>1377.25</v>
      </c>
      <c r="E277" s="2">
        <f>FastenersPriceList[[#This Row],[1000 PCS/WT.]]/1000</f>
        <v>1.3772500000000001</v>
      </c>
      <c r="F277" s="2" t="s">
        <v>738</v>
      </c>
      <c r="G277" s="6" t="s">
        <v>11</v>
      </c>
      <c r="H277" s="70">
        <v>50</v>
      </c>
      <c r="I277" s="72">
        <f>FastenersPriceList[[#This Row],[Quantity (kg)]]/FastenersPriceList[[#This Row],[SINGLE PC. WT.]]</f>
        <v>36.304229442730076</v>
      </c>
      <c r="J277" s="3">
        <v>120</v>
      </c>
      <c r="K277" s="3">
        <f>FastenersPriceList[[#This Row],[1000 PCS/WT.]]*FastenersPriceList[[#This Row],[Rate / PER kg (₹)]]</f>
        <v>165270</v>
      </c>
      <c r="L277" s="4">
        <f>FastenersPriceList[[#This Row],[Rate / PER kg (₹)]]*FastenersPriceList[[#This Row],[Quantity (kg)]]</f>
        <v>6000</v>
      </c>
      <c r="M277" s="4"/>
    </row>
    <row r="278" spans="1:13" ht="22.05" customHeight="1" x14ac:dyDescent="0.3">
      <c r="A278" s="2" t="s">
        <v>1210</v>
      </c>
      <c r="B278" s="12" t="s">
        <v>8</v>
      </c>
      <c r="C278" s="12" t="s">
        <v>9</v>
      </c>
      <c r="D278" s="2">
        <v>1432.5</v>
      </c>
      <c r="E278" s="2">
        <f>FastenersPriceList[[#This Row],[1000 PCS/WT.]]/1000</f>
        <v>1.4325000000000001</v>
      </c>
      <c r="F278" s="2" t="s">
        <v>739</v>
      </c>
      <c r="G278" s="6" t="s">
        <v>11</v>
      </c>
      <c r="H278" s="70">
        <v>50</v>
      </c>
      <c r="I278" s="72">
        <f>FastenersPriceList[[#This Row],[Quantity (kg)]]/FastenersPriceList[[#This Row],[SINGLE PC. WT.]]</f>
        <v>34.904013961605585</v>
      </c>
      <c r="J278" s="3">
        <v>120</v>
      </c>
      <c r="K278" s="3">
        <f>FastenersPriceList[[#This Row],[1000 PCS/WT.]]*FastenersPriceList[[#This Row],[Rate / PER kg (₹)]]</f>
        <v>171900</v>
      </c>
      <c r="L278" s="4">
        <f>FastenersPriceList[[#This Row],[Rate / PER kg (₹)]]*FastenersPriceList[[#This Row],[Quantity (kg)]]</f>
        <v>6000</v>
      </c>
      <c r="M278" s="4"/>
    </row>
    <row r="279" spans="1:13" ht="22.05" customHeight="1" x14ac:dyDescent="0.3">
      <c r="A279" s="2" t="s">
        <v>1211</v>
      </c>
      <c r="B279" s="12" t="s">
        <v>8</v>
      </c>
      <c r="C279" s="12" t="s">
        <v>9</v>
      </c>
      <c r="D279" s="2">
        <v>1487.75</v>
      </c>
      <c r="E279" s="2">
        <f>FastenersPriceList[[#This Row],[1000 PCS/WT.]]/1000</f>
        <v>1.4877499999999999</v>
      </c>
      <c r="F279" s="2" t="s">
        <v>740</v>
      </c>
      <c r="G279" s="6" t="s">
        <v>11</v>
      </c>
      <c r="H279" s="70">
        <v>50</v>
      </c>
      <c r="I279" s="72">
        <f>FastenersPriceList[[#This Row],[Quantity (kg)]]/FastenersPriceList[[#This Row],[SINGLE PC. WT.]]</f>
        <v>33.607797008906068</v>
      </c>
      <c r="J279" s="3">
        <v>120</v>
      </c>
      <c r="K279" s="3">
        <f>FastenersPriceList[[#This Row],[1000 PCS/WT.]]*FastenersPriceList[[#This Row],[Rate / PER kg (₹)]]</f>
        <v>178530</v>
      </c>
      <c r="L279" s="4">
        <f>FastenersPriceList[[#This Row],[Rate / PER kg (₹)]]*FastenersPriceList[[#This Row],[Quantity (kg)]]</f>
        <v>6000</v>
      </c>
      <c r="M279" s="4"/>
    </row>
    <row r="280" spans="1:13" ht="22.05" customHeight="1" x14ac:dyDescent="0.3">
      <c r="A280" s="2" t="s">
        <v>1212</v>
      </c>
      <c r="B280" s="12" t="s">
        <v>8</v>
      </c>
      <c r="C280" s="12" t="s">
        <v>9</v>
      </c>
      <c r="D280" s="2">
        <v>1543</v>
      </c>
      <c r="E280" s="2">
        <f>FastenersPriceList[[#This Row],[1000 PCS/WT.]]/1000</f>
        <v>1.5429999999999999</v>
      </c>
      <c r="F280" s="2" t="s">
        <v>741</v>
      </c>
      <c r="G280" s="6" t="s">
        <v>11</v>
      </c>
      <c r="H280" s="70">
        <v>50</v>
      </c>
      <c r="I280" s="72">
        <f>FastenersPriceList[[#This Row],[Quantity (kg)]]/FastenersPriceList[[#This Row],[SINGLE PC. WT.]]</f>
        <v>32.404406999351913</v>
      </c>
      <c r="J280" s="3">
        <v>120</v>
      </c>
      <c r="K280" s="3">
        <f>FastenersPriceList[[#This Row],[1000 PCS/WT.]]*FastenersPriceList[[#This Row],[Rate / PER kg (₹)]]</f>
        <v>185160</v>
      </c>
      <c r="L280" s="4">
        <f>FastenersPriceList[[#This Row],[Rate / PER kg (₹)]]*FastenersPriceList[[#This Row],[Quantity (kg)]]</f>
        <v>6000</v>
      </c>
      <c r="M280" s="4"/>
    </row>
    <row r="281" spans="1:13" ht="22.05" customHeight="1" x14ac:dyDescent="0.3">
      <c r="A281" s="2" t="s">
        <v>1213</v>
      </c>
      <c r="B281" s="12" t="s">
        <v>8</v>
      </c>
      <c r="C281" s="12" t="s">
        <v>9</v>
      </c>
      <c r="D281" s="2">
        <v>1598.25</v>
      </c>
      <c r="E281" s="2">
        <f>FastenersPriceList[[#This Row],[1000 PCS/WT.]]/1000</f>
        <v>1.5982499999999999</v>
      </c>
      <c r="F281" s="2" t="s">
        <v>742</v>
      </c>
      <c r="G281" s="6" t="s">
        <v>11</v>
      </c>
      <c r="H281" s="70">
        <v>50</v>
      </c>
      <c r="I281" s="72">
        <f>FastenersPriceList[[#This Row],[Quantity (kg)]]/FastenersPriceList[[#This Row],[SINGLE PC. WT.]]</f>
        <v>31.284217112466763</v>
      </c>
      <c r="J281" s="3">
        <v>120</v>
      </c>
      <c r="K281" s="3">
        <f>FastenersPriceList[[#This Row],[1000 PCS/WT.]]*FastenersPriceList[[#This Row],[Rate / PER kg (₹)]]</f>
        <v>191790</v>
      </c>
      <c r="L281" s="4">
        <f>FastenersPriceList[[#This Row],[Rate / PER kg (₹)]]*FastenersPriceList[[#This Row],[Quantity (kg)]]</f>
        <v>6000</v>
      </c>
      <c r="M281" s="4"/>
    </row>
    <row r="282" spans="1:13" ht="22.05" customHeight="1" x14ac:dyDescent="0.3">
      <c r="A282" s="2" t="s">
        <v>1214</v>
      </c>
      <c r="B282" s="12" t="s">
        <v>8</v>
      </c>
      <c r="C282" s="12" t="s">
        <v>9</v>
      </c>
      <c r="D282" s="2">
        <v>1653.5</v>
      </c>
      <c r="E282" s="2">
        <f>FastenersPriceList[[#This Row],[1000 PCS/WT.]]/1000</f>
        <v>1.6535</v>
      </c>
      <c r="F282" s="2" t="s">
        <v>743</v>
      </c>
      <c r="G282" s="6" t="s">
        <v>11</v>
      </c>
      <c r="H282" s="70">
        <v>50</v>
      </c>
      <c r="I282" s="72">
        <f>FastenersPriceList[[#This Row],[Quantity (kg)]]/FastenersPriceList[[#This Row],[SINGLE PC. WT.]]</f>
        <v>30.238887208950711</v>
      </c>
      <c r="J282" s="3">
        <v>120</v>
      </c>
      <c r="K282" s="3">
        <f>FastenersPriceList[[#This Row],[1000 PCS/WT.]]*FastenersPriceList[[#This Row],[Rate / PER kg (₹)]]</f>
        <v>198420</v>
      </c>
      <c r="L282" s="4">
        <f>FastenersPriceList[[#This Row],[Rate / PER kg (₹)]]*FastenersPriceList[[#This Row],[Quantity (kg)]]</f>
        <v>6000</v>
      </c>
      <c r="M282" s="4"/>
    </row>
    <row r="283" spans="1:13" ht="22.05" customHeight="1" x14ac:dyDescent="0.3">
      <c r="A283" s="2" t="s">
        <v>1215</v>
      </c>
      <c r="B283" s="12" t="s">
        <v>8</v>
      </c>
      <c r="C283" s="12" t="s">
        <v>9</v>
      </c>
      <c r="D283" s="2">
        <v>1708.75</v>
      </c>
      <c r="E283" s="2">
        <f>FastenersPriceList[[#This Row],[1000 PCS/WT.]]/1000</f>
        <v>1.70875</v>
      </c>
      <c r="F283" s="2" t="s">
        <v>744</v>
      </c>
      <c r="G283" s="6" t="s">
        <v>11</v>
      </c>
      <c r="H283" s="70">
        <v>50</v>
      </c>
      <c r="I283" s="72">
        <f>FastenersPriceList[[#This Row],[Quantity (kg)]]/FastenersPriceList[[#This Row],[SINGLE PC. WT.]]</f>
        <v>29.261155815654718</v>
      </c>
      <c r="J283" s="3">
        <v>120</v>
      </c>
      <c r="K283" s="3">
        <f>FastenersPriceList[[#This Row],[1000 PCS/WT.]]*FastenersPriceList[[#This Row],[Rate / PER kg (₹)]]</f>
        <v>205050</v>
      </c>
      <c r="L283" s="4">
        <f>FastenersPriceList[[#This Row],[Rate / PER kg (₹)]]*FastenersPriceList[[#This Row],[Quantity (kg)]]</f>
        <v>6000</v>
      </c>
      <c r="M283" s="4"/>
    </row>
    <row r="284" spans="1:13" ht="22.05" customHeight="1" x14ac:dyDescent="0.3">
      <c r="A284" s="2" t="s">
        <v>1216</v>
      </c>
      <c r="B284" s="12" t="s">
        <v>8</v>
      </c>
      <c r="C284" s="12" t="s">
        <v>9</v>
      </c>
      <c r="D284" s="2">
        <v>1764</v>
      </c>
      <c r="E284" s="2">
        <f>FastenersPriceList[[#This Row],[1000 PCS/WT.]]/1000</f>
        <v>1.764</v>
      </c>
      <c r="F284" s="2" t="s">
        <v>745</v>
      </c>
      <c r="G284" s="6" t="s">
        <v>11</v>
      </c>
      <c r="H284" s="70">
        <v>50</v>
      </c>
      <c r="I284" s="72">
        <f>FastenersPriceList[[#This Row],[Quantity (kg)]]/FastenersPriceList[[#This Row],[SINGLE PC. WT.]]</f>
        <v>28.344671201814059</v>
      </c>
      <c r="J284" s="3">
        <v>120</v>
      </c>
      <c r="K284" s="3">
        <f>FastenersPriceList[[#This Row],[1000 PCS/WT.]]*FastenersPriceList[[#This Row],[Rate / PER kg (₹)]]</f>
        <v>211680</v>
      </c>
      <c r="L284" s="4">
        <f>FastenersPriceList[[#This Row],[Rate / PER kg (₹)]]*FastenersPriceList[[#This Row],[Quantity (kg)]]</f>
        <v>6000</v>
      </c>
      <c r="M284" s="4"/>
    </row>
    <row r="285" spans="1:13" ht="22.05" customHeight="1" x14ac:dyDescent="0.3">
      <c r="A285" s="2" t="s">
        <v>1217</v>
      </c>
      <c r="B285" s="12" t="s">
        <v>8</v>
      </c>
      <c r="C285" s="12" t="s">
        <v>9</v>
      </c>
      <c r="D285" s="2">
        <v>1819.25</v>
      </c>
      <c r="E285" s="2">
        <f>FastenersPriceList[[#This Row],[1000 PCS/WT.]]/1000</f>
        <v>1.81925</v>
      </c>
      <c r="F285" s="2" t="s">
        <v>746</v>
      </c>
      <c r="G285" s="6" t="s">
        <v>11</v>
      </c>
      <c r="H285" s="70">
        <v>50</v>
      </c>
      <c r="I285" s="72">
        <f>FastenersPriceList[[#This Row],[Quantity (kg)]]/FastenersPriceList[[#This Row],[SINGLE PC. WT.]]</f>
        <v>27.48385323622372</v>
      </c>
      <c r="J285" s="3">
        <v>120</v>
      </c>
      <c r="K285" s="3">
        <f>FastenersPriceList[[#This Row],[1000 PCS/WT.]]*FastenersPriceList[[#This Row],[Rate / PER kg (₹)]]</f>
        <v>218310</v>
      </c>
      <c r="L285" s="4">
        <f>FastenersPriceList[[#This Row],[Rate / PER kg (₹)]]*FastenersPriceList[[#This Row],[Quantity (kg)]]</f>
        <v>6000</v>
      </c>
      <c r="M285" s="4"/>
    </row>
    <row r="286" spans="1:13" ht="22.05" customHeight="1" x14ac:dyDescent="0.3">
      <c r="A286" s="2" t="s">
        <v>1218</v>
      </c>
      <c r="B286" s="12" t="s">
        <v>8</v>
      </c>
      <c r="C286" s="12" t="s">
        <v>9</v>
      </c>
      <c r="D286" s="2">
        <v>1874.5</v>
      </c>
      <c r="E286" s="2">
        <f>FastenersPriceList[[#This Row],[1000 PCS/WT.]]/1000</f>
        <v>1.8745000000000001</v>
      </c>
      <c r="F286" s="2" t="s">
        <v>747</v>
      </c>
      <c r="G286" s="6" t="s">
        <v>11</v>
      </c>
      <c r="H286" s="70">
        <v>50</v>
      </c>
      <c r="I286" s="72">
        <f>FastenersPriceList[[#This Row],[Quantity (kg)]]/FastenersPriceList[[#This Row],[SINGLE PC. WT.]]</f>
        <v>26.673779674579887</v>
      </c>
      <c r="J286" s="3">
        <v>120</v>
      </c>
      <c r="K286" s="3">
        <f>FastenersPriceList[[#This Row],[1000 PCS/WT.]]*FastenersPriceList[[#This Row],[Rate / PER kg (₹)]]</f>
        <v>224940</v>
      </c>
      <c r="L286" s="4">
        <f>FastenersPriceList[[#This Row],[Rate / PER kg (₹)]]*FastenersPriceList[[#This Row],[Quantity (kg)]]</f>
        <v>6000</v>
      </c>
      <c r="M286" s="4"/>
    </row>
    <row r="287" spans="1:13" ht="22.05" customHeight="1" x14ac:dyDescent="0.3">
      <c r="A287" s="2" t="s">
        <v>1069</v>
      </c>
      <c r="B287" s="12" t="s">
        <v>8</v>
      </c>
      <c r="C287" s="12" t="s">
        <v>9</v>
      </c>
      <c r="D287" s="2">
        <v>592</v>
      </c>
      <c r="E287" s="2">
        <f>FastenersPriceList[[#This Row],[1000 PCS/WT.]]/1000</f>
        <v>0.59199999999999997</v>
      </c>
      <c r="F287" s="2" t="s">
        <v>748</v>
      </c>
      <c r="G287" s="6" t="s">
        <v>11</v>
      </c>
      <c r="H287" s="70">
        <v>50</v>
      </c>
      <c r="I287" s="72">
        <f>FastenersPriceList[[#This Row],[Quantity (kg)]]/FastenersPriceList[[#This Row],[SINGLE PC. WT.]]</f>
        <v>84.459459459459467</v>
      </c>
      <c r="J287" s="3">
        <v>110</v>
      </c>
      <c r="K287" s="3">
        <f>FastenersPriceList[[#This Row],[1000 PCS/WT.]]*FastenersPriceList[[#This Row],[Rate / PER kg (₹)]]</f>
        <v>65120</v>
      </c>
      <c r="L287" s="4">
        <f>FastenersPriceList[[#This Row],[Rate / PER kg (₹)]]*FastenersPriceList[[#This Row],[Quantity (kg)]]</f>
        <v>5500</v>
      </c>
      <c r="M287" s="4"/>
    </row>
    <row r="288" spans="1:13" ht="22.05" customHeight="1" x14ac:dyDescent="0.3">
      <c r="A288" s="2" t="s">
        <v>1070</v>
      </c>
      <c r="B288" s="12" t="s">
        <v>8</v>
      </c>
      <c r="C288" s="12" t="s">
        <v>9</v>
      </c>
      <c r="D288" s="2">
        <v>620</v>
      </c>
      <c r="E288" s="2">
        <f>FastenersPriceList[[#This Row],[1000 PCS/WT.]]/1000</f>
        <v>0.62</v>
      </c>
      <c r="F288" s="2" t="s">
        <v>749</v>
      </c>
      <c r="G288" s="6" t="s">
        <v>11</v>
      </c>
      <c r="H288" s="70">
        <v>50</v>
      </c>
      <c r="I288" s="72">
        <f>FastenersPriceList[[#This Row],[Quantity (kg)]]/FastenersPriceList[[#This Row],[SINGLE PC. WT.]]</f>
        <v>80.645161290322577</v>
      </c>
      <c r="J288" s="3">
        <v>110</v>
      </c>
      <c r="K288" s="3">
        <f>FastenersPriceList[[#This Row],[1000 PCS/WT.]]*FastenersPriceList[[#This Row],[Rate / PER kg (₹)]]</f>
        <v>68200</v>
      </c>
      <c r="L288" s="4">
        <f>FastenersPriceList[[#This Row],[Rate / PER kg (₹)]]*FastenersPriceList[[#This Row],[Quantity (kg)]]</f>
        <v>5500</v>
      </c>
      <c r="M288" s="4"/>
    </row>
    <row r="289" spans="1:13" ht="22.05" customHeight="1" x14ac:dyDescent="0.3">
      <c r="A289" s="2" t="s">
        <v>1071</v>
      </c>
      <c r="B289" s="12" t="s">
        <v>8</v>
      </c>
      <c r="C289" s="12" t="s">
        <v>9</v>
      </c>
      <c r="D289" s="2">
        <v>648</v>
      </c>
      <c r="E289" s="2">
        <f>FastenersPriceList[[#This Row],[1000 PCS/WT.]]/1000</f>
        <v>0.64800000000000002</v>
      </c>
      <c r="F289" s="2" t="s">
        <v>750</v>
      </c>
      <c r="G289" s="6" t="s">
        <v>11</v>
      </c>
      <c r="H289" s="70">
        <v>50</v>
      </c>
      <c r="I289" s="72">
        <f>FastenersPriceList[[#This Row],[Quantity (kg)]]/FastenersPriceList[[#This Row],[SINGLE PC. WT.]]</f>
        <v>77.160493827160494</v>
      </c>
      <c r="J289" s="3">
        <v>110</v>
      </c>
      <c r="K289" s="3">
        <f>FastenersPriceList[[#This Row],[1000 PCS/WT.]]*FastenersPriceList[[#This Row],[Rate / PER kg (₹)]]</f>
        <v>71280</v>
      </c>
      <c r="L289" s="4">
        <f>FastenersPriceList[[#This Row],[Rate / PER kg (₹)]]*FastenersPriceList[[#This Row],[Quantity (kg)]]</f>
        <v>5500</v>
      </c>
      <c r="M289" s="4"/>
    </row>
    <row r="290" spans="1:13" ht="22.05" customHeight="1" x14ac:dyDescent="0.3">
      <c r="A290" s="2" t="s">
        <v>1072</v>
      </c>
      <c r="B290" s="12" t="s">
        <v>8</v>
      </c>
      <c r="C290" s="12" t="s">
        <v>9</v>
      </c>
      <c r="D290" s="2">
        <v>676</v>
      </c>
      <c r="E290" s="2">
        <f>FastenersPriceList[[#This Row],[1000 PCS/WT.]]/1000</f>
        <v>0.67600000000000005</v>
      </c>
      <c r="F290" s="2" t="s">
        <v>751</v>
      </c>
      <c r="G290" s="6" t="s">
        <v>11</v>
      </c>
      <c r="H290" s="70">
        <v>50</v>
      </c>
      <c r="I290" s="72">
        <f>FastenersPriceList[[#This Row],[Quantity (kg)]]/FastenersPriceList[[#This Row],[SINGLE PC. WT.]]</f>
        <v>73.964497041420117</v>
      </c>
      <c r="J290" s="3">
        <v>110</v>
      </c>
      <c r="K290" s="3">
        <f>FastenersPriceList[[#This Row],[1000 PCS/WT.]]*FastenersPriceList[[#This Row],[Rate / PER kg (₹)]]</f>
        <v>74360</v>
      </c>
      <c r="L290" s="4">
        <f>FastenersPriceList[[#This Row],[Rate / PER kg (₹)]]*FastenersPriceList[[#This Row],[Quantity (kg)]]</f>
        <v>5500</v>
      </c>
      <c r="M290" s="4"/>
    </row>
    <row r="291" spans="1:13" ht="22.05" customHeight="1" x14ac:dyDescent="0.3">
      <c r="A291" s="2" t="s">
        <v>1073</v>
      </c>
      <c r="B291" s="12" t="s">
        <v>8</v>
      </c>
      <c r="C291" s="12" t="s">
        <v>9</v>
      </c>
      <c r="D291" s="2">
        <v>704</v>
      </c>
      <c r="E291" s="2">
        <f>FastenersPriceList[[#This Row],[1000 PCS/WT.]]/1000</f>
        <v>0.70399999999999996</v>
      </c>
      <c r="F291" s="2" t="s">
        <v>752</v>
      </c>
      <c r="G291" s="6" t="s">
        <v>11</v>
      </c>
      <c r="H291" s="70">
        <v>50</v>
      </c>
      <c r="I291" s="72">
        <f>FastenersPriceList[[#This Row],[Quantity (kg)]]/FastenersPriceList[[#This Row],[SINGLE PC. WT.]]</f>
        <v>71.02272727272728</v>
      </c>
      <c r="J291" s="3">
        <v>110</v>
      </c>
      <c r="K291" s="3">
        <f>FastenersPriceList[[#This Row],[1000 PCS/WT.]]*FastenersPriceList[[#This Row],[Rate / PER kg (₹)]]</f>
        <v>77440</v>
      </c>
      <c r="L291" s="4">
        <f>FastenersPriceList[[#This Row],[Rate / PER kg (₹)]]*FastenersPriceList[[#This Row],[Quantity (kg)]]</f>
        <v>5500</v>
      </c>
      <c r="M291" s="4"/>
    </row>
    <row r="292" spans="1:13" ht="22.05" customHeight="1" x14ac:dyDescent="0.3">
      <c r="A292" s="2" t="s">
        <v>1074</v>
      </c>
      <c r="B292" s="12" t="s">
        <v>8</v>
      </c>
      <c r="C292" s="12" t="s">
        <v>9</v>
      </c>
      <c r="D292" s="2">
        <v>732</v>
      </c>
      <c r="E292" s="2">
        <f>FastenersPriceList[[#This Row],[1000 PCS/WT.]]/1000</f>
        <v>0.73199999999999998</v>
      </c>
      <c r="F292" s="2" t="s">
        <v>753</v>
      </c>
      <c r="G292" s="6" t="s">
        <v>11</v>
      </c>
      <c r="H292" s="70">
        <v>50</v>
      </c>
      <c r="I292" s="72">
        <f>FastenersPriceList[[#This Row],[Quantity (kg)]]/FastenersPriceList[[#This Row],[SINGLE PC. WT.]]</f>
        <v>68.306010928961754</v>
      </c>
      <c r="J292" s="3">
        <v>110</v>
      </c>
      <c r="K292" s="3">
        <f>FastenersPriceList[[#This Row],[1000 PCS/WT.]]*FastenersPriceList[[#This Row],[Rate / PER kg (₹)]]</f>
        <v>80520</v>
      </c>
      <c r="L292" s="4">
        <f>FastenersPriceList[[#This Row],[Rate / PER kg (₹)]]*FastenersPriceList[[#This Row],[Quantity (kg)]]</f>
        <v>5500</v>
      </c>
      <c r="M292" s="4"/>
    </row>
    <row r="293" spans="1:13" ht="22.05" customHeight="1" x14ac:dyDescent="0.3">
      <c r="A293" s="2" t="s">
        <v>1075</v>
      </c>
      <c r="B293" s="12" t="s">
        <v>8</v>
      </c>
      <c r="C293" s="12" t="s">
        <v>9</v>
      </c>
      <c r="D293" s="2">
        <v>760</v>
      </c>
      <c r="E293" s="2">
        <f>FastenersPriceList[[#This Row],[1000 PCS/WT.]]/1000</f>
        <v>0.76</v>
      </c>
      <c r="F293" s="2" t="s">
        <v>754</v>
      </c>
      <c r="G293" s="6" t="s">
        <v>11</v>
      </c>
      <c r="H293" s="70">
        <v>50</v>
      </c>
      <c r="I293" s="72">
        <f>FastenersPriceList[[#This Row],[Quantity (kg)]]/FastenersPriceList[[#This Row],[SINGLE PC. WT.]]</f>
        <v>65.78947368421052</v>
      </c>
      <c r="J293" s="3">
        <v>110</v>
      </c>
      <c r="K293" s="3">
        <f>FastenersPriceList[[#This Row],[1000 PCS/WT.]]*FastenersPriceList[[#This Row],[Rate / PER kg (₹)]]</f>
        <v>83600</v>
      </c>
      <c r="L293" s="4">
        <f>FastenersPriceList[[#This Row],[Rate / PER kg (₹)]]*FastenersPriceList[[#This Row],[Quantity (kg)]]</f>
        <v>5500</v>
      </c>
      <c r="M293" s="4"/>
    </row>
    <row r="294" spans="1:13" ht="22.05" customHeight="1" x14ac:dyDescent="0.3">
      <c r="A294" s="2" t="s">
        <v>1076</v>
      </c>
      <c r="B294" s="12" t="s">
        <v>8</v>
      </c>
      <c r="C294" s="12" t="s">
        <v>9</v>
      </c>
      <c r="D294" s="2">
        <v>788</v>
      </c>
      <c r="E294" s="2">
        <f>FastenersPriceList[[#This Row],[1000 PCS/WT.]]/1000</f>
        <v>0.78800000000000003</v>
      </c>
      <c r="F294" s="2" t="s">
        <v>755</v>
      </c>
      <c r="G294" s="6" t="s">
        <v>11</v>
      </c>
      <c r="H294" s="70">
        <v>50</v>
      </c>
      <c r="I294" s="72">
        <f>FastenersPriceList[[#This Row],[Quantity (kg)]]/FastenersPriceList[[#This Row],[SINGLE PC. WT.]]</f>
        <v>63.451776649746193</v>
      </c>
      <c r="J294" s="3">
        <v>110</v>
      </c>
      <c r="K294" s="3">
        <f>FastenersPriceList[[#This Row],[1000 PCS/WT.]]*FastenersPriceList[[#This Row],[Rate / PER kg (₹)]]</f>
        <v>86680</v>
      </c>
      <c r="L294" s="4">
        <f>FastenersPriceList[[#This Row],[Rate / PER kg (₹)]]*FastenersPriceList[[#This Row],[Quantity (kg)]]</f>
        <v>5500</v>
      </c>
      <c r="M294" s="4"/>
    </row>
    <row r="295" spans="1:13" ht="22.05" customHeight="1" x14ac:dyDescent="0.3">
      <c r="A295" s="2" t="s">
        <v>1077</v>
      </c>
      <c r="B295" s="12" t="s">
        <v>8</v>
      </c>
      <c r="C295" s="12" t="s">
        <v>9</v>
      </c>
      <c r="D295" s="2">
        <v>821</v>
      </c>
      <c r="E295" s="2">
        <f>FastenersPriceList[[#This Row],[1000 PCS/WT.]]/1000</f>
        <v>0.82099999999999995</v>
      </c>
      <c r="F295" s="2" t="s">
        <v>756</v>
      </c>
      <c r="G295" s="6" t="s">
        <v>11</v>
      </c>
      <c r="H295" s="70">
        <v>50</v>
      </c>
      <c r="I295" s="72">
        <f>FastenersPriceList[[#This Row],[Quantity (kg)]]/FastenersPriceList[[#This Row],[SINGLE PC. WT.]]</f>
        <v>60.90133982947625</v>
      </c>
      <c r="J295" s="3">
        <v>110</v>
      </c>
      <c r="K295" s="3">
        <f>FastenersPriceList[[#This Row],[1000 PCS/WT.]]*FastenersPriceList[[#This Row],[Rate / PER kg (₹)]]</f>
        <v>90310</v>
      </c>
      <c r="L295" s="4">
        <f>FastenersPriceList[[#This Row],[Rate / PER kg (₹)]]*FastenersPriceList[[#This Row],[Quantity (kg)]]</f>
        <v>5500</v>
      </c>
      <c r="M295" s="4"/>
    </row>
    <row r="296" spans="1:13" ht="22.05" customHeight="1" x14ac:dyDescent="0.3">
      <c r="A296" s="2" t="s">
        <v>1078</v>
      </c>
      <c r="B296" s="12" t="s">
        <v>8</v>
      </c>
      <c r="C296" s="12" t="s">
        <v>9</v>
      </c>
      <c r="D296" s="2">
        <v>854</v>
      </c>
      <c r="E296" s="2">
        <f>FastenersPriceList[[#This Row],[1000 PCS/WT.]]/1000</f>
        <v>0.85399999999999998</v>
      </c>
      <c r="F296" s="2" t="s">
        <v>757</v>
      </c>
      <c r="G296" s="6" t="s">
        <v>11</v>
      </c>
      <c r="H296" s="70">
        <v>50</v>
      </c>
      <c r="I296" s="72">
        <f>FastenersPriceList[[#This Row],[Quantity (kg)]]/FastenersPriceList[[#This Row],[SINGLE PC. WT.]]</f>
        <v>58.548009367681502</v>
      </c>
      <c r="J296" s="3">
        <v>110</v>
      </c>
      <c r="K296" s="3">
        <f>FastenersPriceList[[#This Row],[1000 PCS/WT.]]*FastenersPriceList[[#This Row],[Rate / PER kg (₹)]]</f>
        <v>93940</v>
      </c>
      <c r="L296" s="4">
        <f>FastenersPriceList[[#This Row],[Rate / PER kg (₹)]]*FastenersPriceList[[#This Row],[Quantity (kg)]]</f>
        <v>5500</v>
      </c>
      <c r="M296" s="4"/>
    </row>
    <row r="297" spans="1:13" ht="22.05" customHeight="1" x14ac:dyDescent="0.3">
      <c r="A297" s="2" t="s">
        <v>1079</v>
      </c>
      <c r="B297" s="12" t="s">
        <v>8</v>
      </c>
      <c r="C297" s="12" t="s">
        <v>9</v>
      </c>
      <c r="D297" s="2">
        <v>887</v>
      </c>
      <c r="E297" s="2">
        <f>FastenersPriceList[[#This Row],[1000 PCS/WT.]]/1000</f>
        <v>0.88700000000000001</v>
      </c>
      <c r="F297" s="2" t="s">
        <v>758</v>
      </c>
      <c r="G297" s="6" t="s">
        <v>11</v>
      </c>
      <c r="H297" s="70">
        <v>50</v>
      </c>
      <c r="I297" s="72">
        <f>FastenersPriceList[[#This Row],[Quantity (kg)]]/FastenersPriceList[[#This Row],[SINGLE PC. WT.]]</f>
        <v>56.369785794813978</v>
      </c>
      <c r="J297" s="3">
        <v>110</v>
      </c>
      <c r="K297" s="3">
        <f>FastenersPriceList[[#This Row],[1000 PCS/WT.]]*FastenersPriceList[[#This Row],[Rate / PER kg (₹)]]</f>
        <v>97570</v>
      </c>
      <c r="L297" s="4">
        <f>FastenersPriceList[[#This Row],[Rate / PER kg (₹)]]*FastenersPriceList[[#This Row],[Quantity (kg)]]</f>
        <v>5500</v>
      </c>
      <c r="M297" s="4"/>
    </row>
    <row r="298" spans="1:13" ht="22.05" customHeight="1" x14ac:dyDescent="0.3">
      <c r="A298" s="2" t="s">
        <v>1219</v>
      </c>
      <c r="B298" s="12" t="s">
        <v>8</v>
      </c>
      <c r="C298" s="12" t="s">
        <v>9</v>
      </c>
      <c r="D298" s="2">
        <v>953</v>
      </c>
      <c r="E298" s="2">
        <f>FastenersPriceList[[#This Row],[1000 PCS/WT.]]/1000</f>
        <v>0.95299999999999996</v>
      </c>
      <c r="F298" s="2" t="s">
        <v>759</v>
      </c>
      <c r="G298" s="6" t="s">
        <v>11</v>
      </c>
      <c r="H298" s="70">
        <v>50</v>
      </c>
      <c r="I298" s="72">
        <f>FastenersPriceList[[#This Row],[Quantity (kg)]]/FastenersPriceList[[#This Row],[SINGLE PC. WT.]]</f>
        <v>52.465897166841557</v>
      </c>
      <c r="J298" s="3">
        <v>110</v>
      </c>
      <c r="K298" s="3">
        <f>FastenersPriceList[[#This Row],[1000 PCS/WT.]]*FastenersPriceList[[#This Row],[Rate / PER kg (₹)]]</f>
        <v>104830</v>
      </c>
      <c r="L298" s="4">
        <f>FastenersPriceList[[#This Row],[Rate / PER kg (₹)]]*FastenersPriceList[[#This Row],[Quantity (kg)]]</f>
        <v>5500</v>
      </c>
      <c r="M298" s="4"/>
    </row>
    <row r="299" spans="1:13" ht="22.05" customHeight="1" x14ac:dyDescent="0.3">
      <c r="A299" s="2" t="s">
        <v>1220</v>
      </c>
      <c r="B299" s="12" t="s">
        <v>8</v>
      </c>
      <c r="C299" s="12" t="s">
        <v>9</v>
      </c>
      <c r="D299" s="2">
        <v>1023</v>
      </c>
      <c r="E299" s="2">
        <f>FastenersPriceList[[#This Row],[1000 PCS/WT.]]/1000</f>
        <v>1.0229999999999999</v>
      </c>
      <c r="F299" s="2" t="s">
        <v>760</v>
      </c>
      <c r="G299" s="6" t="s">
        <v>11</v>
      </c>
      <c r="H299" s="70">
        <v>50</v>
      </c>
      <c r="I299" s="72">
        <f>FastenersPriceList[[#This Row],[Quantity (kg)]]/FastenersPriceList[[#This Row],[SINGLE PC. WT.]]</f>
        <v>48.875855327468237</v>
      </c>
      <c r="J299" s="3">
        <v>115</v>
      </c>
      <c r="K299" s="3">
        <f>FastenersPriceList[[#This Row],[1000 PCS/WT.]]*FastenersPriceList[[#This Row],[Rate / PER kg (₹)]]</f>
        <v>117645</v>
      </c>
      <c r="L299" s="4">
        <f>FastenersPriceList[[#This Row],[Rate / PER kg (₹)]]*FastenersPriceList[[#This Row],[Quantity (kg)]]</f>
        <v>5750</v>
      </c>
      <c r="M299" s="4"/>
    </row>
    <row r="300" spans="1:13" ht="22.05" customHeight="1" x14ac:dyDescent="0.3">
      <c r="A300" s="2" t="s">
        <v>1221</v>
      </c>
      <c r="B300" s="12" t="s">
        <v>8</v>
      </c>
      <c r="C300" s="12" t="s">
        <v>9</v>
      </c>
      <c r="D300" s="2">
        <v>1093</v>
      </c>
      <c r="E300" s="2">
        <f>FastenersPriceList[[#This Row],[1000 PCS/WT.]]/1000</f>
        <v>1.093</v>
      </c>
      <c r="F300" s="2" t="s">
        <v>761</v>
      </c>
      <c r="G300" s="6" t="s">
        <v>11</v>
      </c>
      <c r="H300" s="70">
        <v>50</v>
      </c>
      <c r="I300" s="72">
        <f>FastenersPriceList[[#This Row],[Quantity (kg)]]/FastenersPriceList[[#This Row],[SINGLE PC. WT.]]</f>
        <v>45.745654162854528</v>
      </c>
      <c r="J300" s="3">
        <v>115</v>
      </c>
      <c r="K300" s="3">
        <f>FastenersPriceList[[#This Row],[1000 PCS/WT.]]*FastenersPriceList[[#This Row],[Rate / PER kg (₹)]]</f>
        <v>125695</v>
      </c>
      <c r="L300" s="4">
        <f>FastenersPriceList[[#This Row],[Rate / PER kg (₹)]]*FastenersPriceList[[#This Row],[Quantity (kg)]]</f>
        <v>5750</v>
      </c>
      <c r="M300" s="4"/>
    </row>
    <row r="301" spans="1:13" ht="22.05" customHeight="1" x14ac:dyDescent="0.3">
      <c r="A301" s="2" t="s">
        <v>1222</v>
      </c>
      <c r="B301" s="12" t="s">
        <v>8</v>
      </c>
      <c r="C301" s="12" t="s">
        <v>9</v>
      </c>
      <c r="D301" s="2">
        <v>1163</v>
      </c>
      <c r="E301" s="2">
        <f>FastenersPriceList[[#This Row],[1000 PCS/WT.]]/1000</f>
        <v>1.163</v>
      </c>
      <c r="F301" s="2" t="s">
        <v>762</v>
      </c>
      <c r="G301" s="6" t="s">
        <v>11</v>
      </c>
      <c r="H301" s="70">
        <v>50</v>
      </c>
      <c r="I301" s="72">
        <f>FastenersPriceList[[#This Row],[Quantity (kg)]]/FastenersPriceList[[#This Row],[SINGLE PC. WT.]]</f>
        <v>42.992261392949267</v>
      </c>
      <c r="J301" s="3">
        <v>115</v>
      </c>
      <c r="K301" s="3">
        <f>FastenersPriceList[[#This Row],[1000 PCS/WT.]]*FastenersPriceList[[#This Row],[Rate / PER kg (₹)]]</f>
        <v>133745</v>
      </c>
      <c r="L301" s="4">
        <f>FastenersPriceList[[#This Row],[Rate / PER kg (₹)]]*FastenersPriceList[[#This Row],[Quantity (kg)]]</f>
        <v>5750</v>
      </c>
      <c r="M301" s="4"/>
    </row>
    <row r="302" spans="1:13" ht="22.05" customHeight="1" x14ac:dyDescent="0.3">
      <c r="A302" s="2" t="s">
        <v>1223</v>
      </c>
      <c r="B302" s="12" t="s">
        <v>8</v>
      </c>
      <c r="C302" s="12" t="s">
        <v>9</v>
      </c>
      <c r="D302" s="2">
        <v>1233</v>
      </c>
      <c r="E302" s="2">
        <f>FastenersPriceList[[#This Row],[1000 PCS/WT.]]/1000</f>
        <v>1.2330000000000001</v>
      </c>
      <c r="F302" s="2" t="s">
        <v>763</v>
      </c>
      <c r="G302" s="6" t="s">
        <v>11</v>
      </c>
      <c r="H302" s="70">
        <v>50</v>
      </c>
      <c r="I302" s="72">
        <f>FastenersPriceList[[#This Row],[Quantity (kg)]]/FastenersPriceList[[#This Row],[SINGLE PC. WT.]]</f>
        <v>40.551500405515</v>
      </c>
      <c r="J302" s="3">
        <v>115</v>
      </c>
      <c r="K302" s="3">
        <f>FastenersPriceList[[#This Row],[1000 PCS/WT.]]*FastenersPriceList[[#This Row],[Rate / PER kg (₹)]]</f>
        <v>141795</v>
      </c>
      <c r="L302" s="4">
        <f>FastenersPriceList[[#This Row],[Rate / PER kg (₹)]]*FastenersPriceList[[#This Row],[Quantity (kg)]]</f>
        <v>5750</v>
      </c>
      <c r="M302" s="4"/>
    </row>
    <row r="303" spans="1:13" ht="22.05" customHeight="1" x14ac:dyDescent="0.3">
      <c r="A303" s="2" t="s">
        <v>1224</v>
      </c>
      <c r="B303" s="12" t="s">
        <v>8</v>
      </c>
      <c r="C303" s="12" t="s">
        <v>9</v>
      </c>
      <c r="D303" s="2">
        <v>1303</v>
      </c>
      <c r="E303" s="2">
        <f>FastenersPriceList[[#This Row],[1000 PCS/WT.]]/1000</f>
        <v>1.3029999999999999</v>
      </c>
      <c r="F303" s="2" t="s">
        <v>764</v>
      </c>
      <c r="G303" s="6" t="s">
        <v>11</v>
      </c>
      <c r="H303" s="70">
        <v>50</v>
      </c>
      <c r="I303" s="72">
        <f>FastenersPriceList[[#This Row],[Quantity (kg)]]/FastenersPriceList[[#This Row],[SINGLE PC. WT.]]</f>
        <v>38.372985418265543</v>
      </c>
      <c r="J303" s="3">
        <v>115</v>
      </c>
      <c r="K303" s="3">
        <f>FastenersPriceList[[#This Row],[1000 PCS/WT.]]*FastenersPriceList[[#This Row],[Rate / PER kg (₹)]]</f>
        <v>149845</v>
      </c>
      <c r="L303" s="4">
        <f>FastenersPriceList[[#This Row],[Rate / PER kg (₹)]]*FastenersPriceList[[#This Row],[Quantity (kg)]]</f>
        <v>5750</v>
      </c>
      <c r="M303" s="4"/>
    </row>
    <row r="304" spans="1:13" ht="22.05" customHeight="1" x14ac:dyDescent="0.3">
      <c r="A304" s="2" t="s">
        <v>1225</v>
      </c>
      <c r="B304" s="12" t="s">
        <v>8</v>
      </c>
      <c r="C304" s="12" t="s">
        <v>9</v>
      </c>
      <c r="D304" s="2">
        <v>1373</v>
      </c>
      <c r="E304" s="2">
        <f>FastenersPriceList[[#This Row],[1000 PCS/WT.]]/1000</f>
        <v>1.373</v>
      </c>
      <c r="F304" s="2" t="s">
        <v>765</v>
      </c>
      <c r="G304" s="6" t="s">
        <v>11</v>
      </c>
      <c r="H304" s="70">
        <v>50</v>
      </c>
      <c r="I304" s="72">
        <f>FastenersPriceList[[#This Row],[Quantity (kg)]]/FastenersPriceList[[#This Row],[SINGLE PC. WT.]]</f>
        <v>36.416605972323381</v>
      </c>
      <c r="J304" s="3">
        <v>115</v>
      </c>
      <c r="K304" s="3">
        <f>FastenersPriceList[[#This Row],[1000 PCS/WT.]]*FastenersPriceList[[#This Row],[Rate / PER kg (₹)]]</f>
        <v>157895</v>
      </c>
      <c r="L304" s="4">
        <f>FastenersPriceList[[#This Row],[Rate / PER kg (₹)]]*FastenersPriceList[[#This Row],[Quantity (kg)]]</f>
        <v>5750</v>
      </c>
      <c r="M304" s="4"/>
    </row>
    <row r="305" spans="1:13" ht="22.05" customHeight="1" x14ac:dyDescent="0.3">
      <c r="A305" s="2" t="s">
        <v>1226</v>
      </c>
      <c r="B305" s="12" t="s">
        <v>8</v>
      </c>
      <c r="C305" s="12" t="s">
        <v>9</v>
      </c>
      <c r="D305" s="2">
        <v>1443</v>
      </c>
      <c r="E305" s="2">
        <f>FastenersPriceList[[#This Row],[1000 PCS/WT.]]/1000</f>
        <v>1.4430000000000001</v>
      </c>
      <c r="F305" s="2" t="s">
        <v>766</v>
      </c>
      <c r="G305" s="6" t="s">
        <v>11</v>
      </c>
      <c r="H305" s="70">
        <v>50</v>
      </c>
      <c r="I305" s="72">
        <f>FastenersPriceList[[#This Row],[Quantity (kg)]]/FastenersPriceList[[#This Row],[SINGLE PC. WT.]]</f>
        <v>34.650034650034648</v>
      </c>
      <c r="J305" s="3">
        <v>115</v>
      </c>
      <c r="K305" s="3">
        <f>FastenersPriceList[[#This Row],[1000 PCS/WT.]]*FastenersPriceList[[#This Row],[Rate / PER kg (₹)]]</f>
        <v>165945</v>
      </c>
      <c r="L305" s="4">
        <f>FastenersPriceList[[#This Row],[Rate / PER kg (₹)]]*FastenersPriceList[[#This Row],[Quantity (kg)]]</f>
        <v>5750</v>
      </c>
      <c r="M305" s="4"/>
    </row>
    <row r="306" spans="1:13" ht="22.05" customHeight="1" x14ac:dyDescent="0.3">
      <c r="A306" s="2" t="s">
        <v>1227</v>
      </c>
      <c r="B306" s="12" t="s">
        <v>8</v>
      </c>
      <c r="C306" s="12" t="s">
        <v>9</v>
      </c>
      <c r="D306" s="2">
        <v>1513</v>
      </c>
      <c r="E306" s="2">
        <f>FastenersPriceList[[#This Row],[1000 PCS/WT.]]/1000</f>
        <v>1.5129999999999999</v>
      </c>
      <c r="F306" s="2" t="s">
        <v>767</v>
      </c>
      <c r="G306" s="6" t="s">
        <v>11</v>
      </c>
      <c r="H306" s="70">
        <v>50</v>
      </c>
      <c r="I306" s="72">
        <f>FastenersPriceList[[#This Row],[Quantity (kg)]]/FastenersPriceList[[#This Row],[SINGLE PC. WT.]]</f>
        <v>33.046926635822871</v>
      </c>
      <c r="J306" s="3">
        <v>115</v>
      </c>
      <c r="K306" s="3">
        <f>FastenersPriceList[[#This Row],[1000 PCS/WT.]]*FastenersPriceList[[#This Row],[Rate / PER kg (₹)]]</f>
        <v>173995</v>
      </c>
      <c r="L306" s="4">
        <f>FastenersPriceList[[#This Row],[Rate / PER kg (₹)]]*FastenersPriceList[[#This Row],[Quantity (kg)]]</f>
        <v>5750</v>
      </c>
      <c r="M306" s="4"/>
    </row>
    <row r="307" spans="1:13" ht="22.05" customHeight="1" x14ac:dyDescent="0.3">
      <c r="A307" s="2" t="s">
        <v>1228</v>
      </c>
      <c r="B307" s="12" t="s">
        <v>8</v>
      </c>
      <c r="C307" s="12" t="s">
        <v>9</v>
      </c>
      <c r="D307" s="2">
        <v>1583</v>
      </c>
      <c r="E307" s="2">
        <f>FastenersPriceList[[#This Row],[1000 PCS/WT.]]/1000</f>
        <v>1.583</v>
      </c>
      <c r="F307" s="2" t="s">
        <v>768</v>
      </c>
      <c r="G307" s="6" t="s">
        <v>11</v>
      </c>
      <c r="H307" s="70">
        <v>50</v>
      </c>
      <c r="I307" s="72">
        <f>FastenersPriceList[[#This Row],[Quantity (kg)]]/FastenersPriceList[[#This Row],[SINGLE PC. WT.]]</f>
        <v>31.585596967782692</v>
      </c>
      <c r="J307" s="3">
        <v>115</v>
      </c>
      <c r="K307" s="3">
        <f>FastenersPriceList[[#This Row],[1000 PCS/WT.]]*FastenersPriceList[[#This Row],[Rate / PER kg (₹)]]</f>
        <v>182045</v>
      </c>
      <c r="L307" s="4">
        <f>FastenersPriceList[[#This Row],[Rate / PER kg (₹)]]*FastenersPriceList[[#This Row],[Quantity (kg)]]</f>
        <v>5750</v>
      </c>
      <c r="M307" s="4"/>
    </row>
    <row r="308" spans="1:13" ht="22.05" customHeight="1" x14ac:dyDescent="0.3">
      <c r="A308" s="2" t="s">
        <v>1229</v>
      </c>
      <c r="B308" s="12" t="s">
        <v>8</v>
      </c>
      <c r="C308" s="12" t="s">
        <v>9</v>
      </c>
      <c r="D308" s="2">
        <v>1653</v>
      </c>
      <c r="E308" s="2">
        <f>FastenersPriceList[[#This Row],[1000 PCS/WT.]]/1000</f>
        <v>1.653</v>
      </c>
      <c r="F308" s="2" t="s">
        <v>769</v>
      </c>
      <c r="G308" s="6" t="s">
        <v>11</v>
      </c>
      <c r="H308" s="70">
        <v>50</v>
      </c>
      <c r="I308" s="72">
        <f>FastenersPriceList[[#This Row],[Quantity (kg)]]/FastenersPriceList[[#This Row],[SINGLE PC. WT.]]</f>
        <v>30.248033877797944</v>
      </c>
      <c r="J308" s="3">
        <v>115</v>
      </c>
      <c r="K308" s="3">
        <f>FastenersPriceList[[#This Row],[1000 PCS/WT.]]*FastenersPriceList[[#This Row],[Rate / PER kg (₹)]]</f>
        <v>190095</v>
      </c>
      <c r="L308" s="4">
        <f>FastenersPriceList[[#This Row],[Rate / PER kg (₹)]]*FastenersPriceList[[#This Row],[Quantity (kg)]]</f>
        <v>5750</v>
      </c>
      <c r="M308" s="4"/>
    </row>
    <row r="309" spans="1:13" ht="22.05" customHeight="1" x14ac:dyDescent="0.3">
      <c r="A309" s="2" t="s">
        <v>1230</v>
      </c>
      <c r="B309" s="12" t="s">
        <v>8</v>
      </c>
      <c r="C309" s="12" t="s">
        <v>9</v>
      </c>
      <c r="D309" s="2">
        <v>1723</v>
      </c>
      <c r="E309" s="2">
        <f>FastenersPriceList[[#This Row],[1000 PCS/WT.]]/1000</f>
        <v>1.7230000000000001</v>
      </c>
      <c r="F309" s="2" t="s">
        <v>770</v>
      </c>
      <c r="G309" s="6" t="s">
        <v>11</v>
      </c>
      <c r="H309" s="70">
        <v>50</v>
      </c>
      <c r="I309" s="72">
        <f>FastenersPriceList[[#This Row],[Quantity (kg)]]/FastenersPriceList[[#This Row],[SINGLE PC. WT.]]</f>
        <v>29.019152640742888</v>
      </c>
      <c r="J309" s="3">
        <v>120</v>
      </c>
      <c r="K309" s="3">
        <f>FastenersPriceList[[#This Row],[1000 PCS/WT.]]*FastenersPriceList[[#This Row],[Rate / PER kg (₹)]]</f>
        <v>206760</v>
      </c>
      <c r="L309" s="4">
        <f>FastenersPriceList[[#This Row],[Rate / PER kg (₹)]]*FastenersPriceList[[#This Row],[Quantity (kg)]]</f>
        <v>6000</v>
      </c>
      <c r="M309" s="4"/>
    </row>
    <row r="310" spans="1:13" ht="22.05" customHeight="1" x14ac:dyDescent="0.3">
      <c r="A310" s="2" t="s">
        <v>1231</v>
      </c>
      <c r="B310" s="12" t="s">
        <v>8</v>
      </c>
      <c r="C310" s="12" t="s">
        <v>9</v>
      </c>
      <c r="D310" s="2">
        <v>1793</v>
      </c>
      <c r="E310" s="2">
        <f>FastenersPriceList[[#This Row],[1000 PCS/WT.]]/1000</f>
        <v>1.7929999999999999</v>
      </c>
      <c r="F310" s="2" t="s">
        <v>771</v>
      </c>
      <c r="G310" s="6" t="s">
        <v>11</v>
      </c>
      <c r="H310" s="70">
        <v>50</v>
      </c>
      <c r="I310" s="72">
        <f>FastenersPriceList[[#This Row],[Quantity (kg)]]/FastenersPriceList[[#This Row],[SINGLE PC. WT.]]</f>
        <v>27.886224205242613</v>
      </c>
      <c r="J310" s="3">
        <v>120</v>
      </c>
      <c r="K310" s="3">
        <f>FastenersPriceList[[#This Row],[1000 PCS/WT.]]*FastenersPriceList[[#This Row],[Rate / PER kg (₹)]]</f>
        <v>215160</v>
      </c>
      <c r="L310" s="4">
        <f>FastenersPriceList[[#This Row],[Rate / PER kg (₹)]]*FastenersPriceList[[#This Row],[Quantity (kg)]]</f>
        <v>6000</v>
      </c>
      <c r="M310" s="4"/>
    </row>
    <row r="311" spans="1:13" ht="22.05" customHeight="1" x14ac:dyDescent="0.3">
      <c r="A311" s="2" t="s">
        <v>1232</v>
      </c>
      <c r="B311" s="12" t="s">
        <v>8</v>
      </c>
      <c r="C311" s="12" t="s">
        <v>9</v>
      </c>
      <c r="D311" s="2">
        <v>1863</v>
      </c>
      <c r="E311" s="2">
        <f>FastenersPriceList[[#This Row],[1000 PCS/WT.]]/1000</f>
        <v>1.863</v>
      </c>
      <c r="F311" s="2" t="s">
        <v>772</v>
      </c>
      <c r="G311" s="6" t="s">
        <v>11</v>
      </c>
      <c r="H311" s="70">
        <v>50</v>
      </c>
      <c r="I311" s="72">
        <f>FastenersPriceList[[#This Row],[Quantity (kg)]]/FastenersPriceList[[#This Row],[SINGLE PC. WT.]]</f>
        <v>26.838432635534083</v>
      </c>
      <c r="J311" s="3">
        <v>120</v>
      </c>
      <c r="K311" s="3">
        <f>FastenersPriceList[[#This Row],[1000 PCS/WT.]]*FastenersPriceList[[#This Row],[Rate / PER kg (₹)]]</f>
        <v>223560</v>
      </c>
      <c r="L311" s="4">
        <f>FastenersPriceList[[#This Row],[Rate / PER kg (₹)]]*FastenersPriceList[[#This Row],[Quantity (kg)]]</f>
        <v>6000</v>
      </c>
      <c r="M311" s="4"/>
    </row>
    <row r="312" spans="1:13" ht="22.05" customHeight="1" x14ac:dyDescent="0.3">
      <c r="A312" s="2" t="s">
        <v>1233</v>
      </c>
      <c r="B312" s="12" t="s">
        <v>8</v>
      </c>
      <c r="C312" s="12" t="s">
        <v>9</v>
      </c>
      <c r="D312" s="2">
        <v>1933</v>
      </c>
      <c r="E312" s="2">
        <f>FastenersPriceList[[#This Row],[1000 PCS/WT.]]/1000</f>
        <v>1.9330000000000001</v>
      </c>
      <c r="F312" s="2" t="s">
        <v>773</v>
      </c>
      <c r="G312" s="6" t="s">
        <v>11</v>
      </c>
      <c r="H312" s="70">
        <v>50</v>
      </c>
      <c r="I312" s="72">
        <f>FastenersPriceList[[#This Row],[Quantity (kg)]]/FastenersPriceList[[#This Row],[SINGLE PC. WT.]]</f>
        <v>25.866528711846868</v>
      </c>
      <c r="J312" s="3">
        <v>120</v>
      </c>
      <c r="K312" s="3">
        <f>FastenersPriceList[[#This Row],[1000 PCS/WT.]]*FastenersPriceList[[#This Row],[Rate / PER kg (₹)]]</f>
        <v>231960</v>
      </c>
      <c r="L312" s="4">
        <f>FastenersPriceList[[#This Row],[Rate / PER kg (₹)]]*FastenersPriceList[[#This Row],[Quantity (kg)]]</f>
        <v>6000</v>
      </c>
      <c r="M312" s="4"/>
    </row>
    <row r="313" spans="1:13" ht="22.05" customHeight="1" x14ac:dyDescent="0.3">
      <c r="A313" s="2" t="s">
        <v>1234</v>
      </c>
      <c r="B313" s="12" t="s">
        <v>8</v>
      </c>
      <c r="C313" s="12" t="s">
        <v>9</v>
      </c>
      <c r="D313" s="2">
        <v>2003</v>
      </c>
      <c r="E313" s="2">
        <f>FastenersPriceList[[#This Row],[1000 PCS/WT.]]/1000</f>
        <v>2.0030000000000001</v>
      </c>
      <c r="F313" s="2" t="s">
        <v>774</v>
      </c>
      <c r="G313" s="6" t="s">
        <v>11</v>
      </c>
      <c r="H313" s="70">
        <v>50</v>
      </c>
      <c r="I313" s="72">
        <f>FastenersPriceList[[#This Row],[Quantity (kg)]]/FastenersPriceList[[#This Row],[SINGLE PC. WT.]]</f>
        <v>24.962556165751373</v>
      </c>
      <c r="J313" s="3">
        <v>120</v>
      </c>
      <c r="K313" s="3">
        <f>FastenersPriceList[[#This Row],[1000 PCS/WT.]]*FastenersPriceList[[#This Row],[Rate / PER kg (₹)]]</f>
        <v>240360</v>
      </c>
      <c r="L313" s="4">
        <f>FastenersPriceList[[#This Row],[Rate / PER kg (₹)]]*FastenersPriceList[[#This Row],[Quantity (kg)]]</f>
        <v>6000</v>
      </c>
      <c r="M313" s="4"/>
    </row>
    <row r="314" spans="1:13" ht="22.05" customHeight="1" x14ac:dyDescent="0.3">
      <c r="A314" s="2" t="s">
        <v>1235</v>
      </c>
      <c r="B314" s="12" t="s">
        <v>8</v>
      </c>
      <c r="C314" s="12" t="s">
        <v>9</v>
      </c>
      <c r="D314" s="2">
        <v>2073</v>
      </c>
      <c r="E314" s="2">
        <f>FastenersPriceList[[#This Row],[1000 PCS/WT.]]/1000</f>
        <v>2.073</v>
      </c>
      <c r="F314" s="2" t="s">
        <v>775</v>
      </c>
      <c r="G314" s="6" t="s">
        <v>11</v>
      </c>
      <c r="H314" s="70">
        <v>50</v>
      </c>
      <c r="I314" s="72">
        <f>FastenersPriceList[[#This Row],[Quantity (kg)]]/FastenersPriceList[[#This Row],[SINGLE PC. WT.]]</f>
        <v>24.119633381572601</v>
      </c>
      <c r="J314" s="3">
        <v>120</v>
      </c>
      <c r="K314" s="3">
        <f>FastenersPriceList[[#This Row],[1000 PCS/WT.]]*FastenersPriceList[[#This Row],[Rate / PER kg (₹)]]</f>
        <v>248760</v>
      </c>
      <c r="L314" s="4">
        <f>FastenersPriceList[[#This Row],[Rate / PER kg (₹)]]*FastenersPriceList[[#This Row],[Quantity (kg)]]</f>
        <v>6000</v>
      </c>
      <c r="M314" s="4"/>
    </row>
    <row r="315" spans="1:13" ht="22.05" customHeight="1" x14ac:dyDescent="0.3">
      <c r="A315" s="2" t="s">
        <v>1236</v>
      </c>
      <c r="B315" s="12" t="s">
        <v>8</v>
      </c>
      <c r="C315" s="12" t="s">
        <v>9</v>
      </c>
      <c r="D315" s="2">
        <v>2143</v>
      </c>
      <c r="E315" s="2">
        <f>FastenersPriceList[[#This Row],[1000 PCS/WT.]]/1000</f>
        <v>2.1429999999999998</v>
      </c>
      <c r="F315" s="2" t="s">
        <v>776</v>
      </c>
      <c r="G315" s="6" t="s">
        <v>11</v>
      </c>
      <c r="H315" s="70">
        <v>50</v>
      </c>
      <c r="I315" s="72">
        <f>FastenersPriceList[[#This Row],[Quantity (kg)]]/FastenersPriceList[[#This Row],[SINGLE PC. WT.]]</f>
        <v>23.331777881474572</v>
      </c>
      <c r="J315" s="3">
        <v>120</v>
      </c>
      <c r="K315" s="3">
        <f>FastenersPriceList[[#This Row],[1000 PCS/WT.]]*FastenersPriceList[[#This Row],[Rate / PER kg (₹)]]</f>
        <v>257160</v>
      </c>
      <c r="L315" s="4">
        <f>FastenersPriceList[[#This Row],[Rate / PER kg (₹)]]*FastenersPriceList[[#This Row],[Quantity (kg)]]</f>
        <v>6000</v>
      </c>
      <c r="M315" s="4"/>
    </row>
    <row r="316" spans="1:13" ht="22.05" customHeight="1" x14ac:dyDescent="0.3">
      <c r="A316" s="2" t="s">
        <v>1237</v>
      </c>
      <c r="B316" s="12" t="s">
        <v>8</v>
      </c>
      <c r="C316" s="12" t="s">
        <v>9</v>
      </c>
      <c r="D316" s="2">
        <v>2213</v>
      </c>
      <c r="E316" s="2">
        <f>FastenersPriceList[[#This Row],[1000 PCS/WT.]]/1000</f>
        <v>2.2130000000000001</v>
      </c>
      <c r="F316" s="2" t="s">
        <v>777</v>
      </c>
      <c r="G316" s="6" t="s">
        <v>11</v>
      </c>
      <c r="H316" s="70">
        <v>50</v>
      </c>
      <c r="I316" s="72">
        <f>FastenersPriceList[[#This Row],[Quantity (kg)]]/FastenersPriceList[[#This Row],[SINGLE PC. WT.]]</f>
        <v>22.593764121102573</v>
      </c>
      <c r="J316" s="3">
        <v>120</v>
      </c>
      <c r="K316" s="3">
        <f>FastenersPriceList[[#This Row],[1000 PCS/WT.]]*FastenersPriceList[[#This Row],[Rate / PER kg (₹)]]</f>
        <v>265560</v>
      </c>
      <c r="L316" s="4">
        <f>FastenersPriceList[[#This Row],[Rate / PER kg (₹)]]*FastenersPriceList[[#This Row],[Quantity (kg)]]</f>
        <v>6000</v>
      </c>
      <c r="M316" s="4"/>
    </row>
    <row r="317" spans="1:13" ht="22.05" customHeight="1" x14ac:dyDescent="0.3">
      <c r="A317" s="2" t="s">
        <v>1238</v>
      </c>
      <c r="B317" s="12" t="s">
        <v>8</v>
      </c>
      <c r="C317" s="12" t="s">
        <v>9</v>
      </c>
      <c r="D317" s="2">
        <v>2283</v>
      </c>
      <c r="E317" s="2">
        <f>FastenersPriceList[[#This Row],[1000 PCS/WT.]]/1000</f>
        <v>2.2829999999999999</v>
      </c>
      <c r="F317" s="2" t="s">
        <v>778</v>
      </c>
      <c r="G317" s="6" t="s">
        <v>11</v>
      </c>
      <c r="H317" s="70">
        <v>50</v>
      </c>
      <c r="I317" s="72">
        <f>FastenersPriceList[[#This Row],[Quantity (kg)]]/FastenersPriceList[[#This Row],[SINGLE PC. WT.]]</f>
        <v>21.901007446342533</v>
      </c>
      <c r="J317" s="3">
        <v>120</v>
      </c>
      <c r="K317" s="3">
        <f>FastenersPriceList[[#This Row],[1000 PCS/WT.]]*FastenersPriceList[[#This Row],[Rate / PER kg (₹)]]</f>
        <v>273960</v>
      </c>
      <c r="L317" s="4">
        <f>FastenersPriceList[[#This Row],[Rate / PER kg (₹)]]*FastenersPriceList[[#This Row],[Quantity (kg)]]</f>
        <v>6000</v>
      </c>
      <c r="M317" s="4"/>
    </row>
    <row r="318" spans="1:13" ht="22.05" customHeight="1" x14ac:dyDescent="0.3">
      <c r="A318" s="2" t="s">
        <v>1239</v>
      </c>
      <c r="B318" s="12" t="s">
        <v>8</v>
      </c>
      <c r="C318" s="12" t="s">
        <v>9</v>
      </c>
      <c r="D318" s="2">
        <v>2353</v>
      </c>
      <c r="E318" s="2">
        <f>FastenersPriceList[[#This Row],[1000 PCS/WT.]]/1000</f>
        <v>2.3530000000000002</v>
      </c>
      <c r="F318" s="2" t="s">
        <v>779</v>
      </c>
      <c r="G318" s="6" t="s">
        <v>11</v>
      </c>
      <c r="H318" s="70">
        <v>50</v>
      </c>
      <c r="I318" s="72">
        <f>FastenersPriceList[[#This Row],[Quantity (kg)]]/FastenersPriceList[[#This Row],[SINGLE PC. WT.]]</f>
        <v>21.249468763280916</v>
      </c>
      <c r="J318" s="3">
        <v>120</v>
      </c>
      <c r="K318" s="3">
        <f>FastenersPriceList[[#This Row],[1000 PCS/WT.]]*FastenersPriceList[[#This Row],[Rate / PER kg (₹)]]</f>
        <v>282360</v>
      </c>
      <c r="L318" s="4">
        <f>FastenersPriceList[[#This Row],[Rate / PER kg (₹)]]*FastenersPriceList[[#This Row],[Quantity (kg)]]</f>
        <v>6000</v>
      </c>
      <c r="M318" s="4"/>
    </row>
    <row r="319" spans="1:13" ht="22.05" customHeight="1" x14ac:dyDescent="0.3">
      <c r="A319" s="2" t="s">
        <v>1080</v>
      </c>
      <c r="B319" s="12" t="s">
        <v>8</v>
      </c>
      <c r="C319" s="12" t="s">
        <v>9</v>
      </c>
      <c r="D319" s="2">
        <v>795</v>
      </c>
      <c r="E319" s="2">
        <f>FastenersPriceList[[#This Row],[1000 PCS/WT.]]/1000</f>
        <v>0.79500000000000004</v>
      </c>
      <c r="F319" s="2" t="s">
        <v>780</v>
      </c>
      <c r="G319" s="6" t="s">
        <v>11</v>
      </c>
      <c r="H319" s="70">
        <v>50</v>
      </c>
      <c r="I319" s="72">
        <f>FastenersPriceList[[#This Row],[Quantity (kg)]]/FastenersPriceList[[#This Row],[SINGLE PC. WT.]]</f>
        <v>62.893081761006286</v>
      </c>
      <c r="J319" s="3">
        <v>110</v>
      </c>
      <c r="K319" s="3">
        <f>FastenersPriceList[[#This Row],[1000 PCS/WT.]]*FastenersPriceList[[#This Row],[Rate / PER kg (₹)]]</f>
        <v>87450</v>
      </c>
      <c r="L319" s="4">
        <f>FastenersPriceList[[#This Row],[Rate / PER kg (₹)]]*FastenersPriceList[[#This Row],[Quantity (kg)]]</f>
        <v>5500</v>
      </c>
      <c r="M319" s="4"/>
    </row>
    <row r="320" spans="1:13" ht="22.05" customHeight="1" x14ac:dyDescent="0.3">
      <c r="A320" s="2" t="s">
        <v>1081</v>
      </c>
      <c r="B320" s="12" t="s">
        <v>8</v>
      </c>
      <c r="C320" s="12" t="s">
        <v>9</v>
      </c>
      <c r="D320" s="2">
        <v>835</v>
      </c>
      <c r="E320" s="2">
        <f>FastenersPriceList[[#This Row],[1000 PCS/WT.]]/1000</f>
        <v>0.83499999999999996</v>
      </c>
      <c r="F320" s="2" t="s">
        <v>781</v>
      </c>
      <c r="G320" s="6" t="s">
        <v>11</v>
      </c>
      <c r="H320" s="70">
        <v>50</v>
      </c>
      <c r="I320" s="72">
        <f>FastenersPriceList[[#This Row],[Quantity (kg)]]/FastenersPriceList[[#This Row],[SINGLE PC. WT.]]</f>
        <v>59.880239520958085</v>
      </c>
      <c r="J320" s="3">
        <v>110</v>
      </c>
      <c r="K320" s="3">
        <f>FastenersPriceList[[#This Row],[1000 PCS/WT.]]*FastenersPriceList[[#This Row],[Rate / PER kg (₹)]]</f>
        <v>91850</v>
      </c>
      <c r="L320" s="4">
        <f>FastenersPriceList[[#This Row],[Rate / PER kg (₹)]]*FastenersPriceList[[#This Row],[Quantity (kg)]]</f>
        <v>5500</v>
      </c>
      <c r="M320" s="4"/>
    </row>
    <row r="321" spans="1:13" ht="22.05" customHeight="1" x14ac:dyDescent="0.3">
      <c r="A321" s="2" t="s">
        <v>1082</v>
      </c>
      <c r="B321" s="12" t="s">
        <v>8</v>
      </c>
      <c r="C321" s="12" t="s">
        <v>9</v>
      </c>
      <c r="D321" s="2">
        <v>875</v>
      </c>
      <c r="E321" s="2">
        <f>FastenersPriceList[[#This Row],[1000 PCS/WT.]]/1000</f>
        <v>0.875</v>
      </c>
      <c r="F321" s="2" t="s">
        <v>782</v>
      </c>
      <c r="G321" s="6" t="s">
        <v>11</v>
      </c>
      <c r="H321" s="70">
        <v>50</v>
      </c>
      <c r="I321" s="72">
        <f>FastenersPriceList[[#This Row],[Quantity (kg)]]/FastenersPriceList[[#This Row],[SINGLE PC. WT.]]</f>
        <v>57.142857142857146</v>
      </c>
      <c r="J321" s="3">
        <v>110</v>
      </c>
      <c r="K321" s="3">
        <f>FastenersPriceList[[#This Row],[1000 PCS/WT.]]*FastenersPriceList[[#This Row],[Rate / PER kg (₹)]]</f>
        <v>96250</v>
      </c>
      <c r="L321" s="4">
        <f>FastenersPriceList[[#This Row],[Rate / PER kg (₹)]]*FastenersPriceList[[#This Row],[Quantity (kg)]]</f>
        <v>5500</v>
      </c>
      <c r="M321" s="4"/>
    </row>
    <row r="322" spans="1:13" ht="22.05" customHeight="1" x14ac:dyDescent="0.3">
      <c r="A322" s="2" t="s">
        <v>1083</v>
      </c>
      <c r="B322" s="12" t="s">
        <v>8</v>
      </c>
      <c r="C322" s="12" t="s">
        <v>9</v>
      </c>
      <c r="D322" s="2">
        <v>915</v>
      </c>
      <c r="E322" s="2">
        <f>FastenersPriceList[[#This Row],[1000 PCS/WT.]]/1000</f>
        <v>0.91500000000000004</v>
      </c>
      <c r="F322" s="2" t="s">
        <v>783</v>
      </c>
      <c r="G322" s="6" t="s">
        <v>11</v>
      </c>
      <c r="H322" s="70">
        <v>50</v>
      </c>
      <c r="I322" s="72">
        <f>FastenersPriceList[[#This Row],[Quantity (kg)]]/FastenersPriceList[[#This Row],[SINGLE PC. WT.]]</f>
        <v>54.644808743169399</v>
      </c>
      <c r="J322" s="3">
        <v>110</v>
      </c>
      <c r="K322" s="3">
        <f>FastenersPriceList[[#This Row],[1000 PCS/WT.]]*FastenersPriceList[[#This Row],[Rate / PER kg (₹)]]</f>
        <v>100650</v>
      </c>
      <c r="L322" s="4">
        <f>FastenersPriceList[[#This Row],[Rate / PER kg (₹)]]*FastenersPriceList[[#This Row],[Quantity (kg)]]</f>
        <v>5500</v>
      </c>
      <c r="M322" s="4"/>
    </row>
    <row r="323" spans="1:13" ht="22.05" customHeight="1" x14ac:dyDescent="0.3">
      <c r="A323" s="2" t="s">
        <v>1084</v>
      </c>
      <c r="B323" s="12" t="s">
        <v>8</v>
      </c>
      <c r="C323" s="12" t="s">
        <v>9</v>
      </c>
      <c r="D323" s="2">
        <v>955</v>
      </c>
      <c r="E323" s="2">
        <f>FastenersPriceList[[#This Row],[1000 PCS/WT.]]/1000</f>
        <v>0.95499999999999996</v>
      </c>
      <c r="F323" s="2" t="s">
        <v>784</v>
      </c>
      <c r="G323" s="6" t="s">
        <v>11</v>
      </c>
      <c r="H323" s="70">
        <v>50</v>
      </c>
      <c r="I323" s="72">
        <f>FastenersPriceList[[#This Row],[Quantity (kg)]]/FastenersPriceList[[#This Row],[SINGLE PC. WT.]]</f>
        <v>52.356020942408378</v>
      </c>
      <c r="J323" s="3">
        <v>110</v>
      </c>
      <c r="K323" s="3">
        <f>FastenersPriceList[[#This Row],[1000 PCS/WT.]]*FastenersPriceList[[#This Row],[Rate / PER kg (₹)]]</f>
        <v>105050</v>
      </c>
      <c r="L323" s="4">
        <f>FastenersPriceList[[#This Row],[Rate / PER kg (₹)]]*FastenersPriceList[[#This Row],[Quantity (kg)]]</f>
        <v>5500</v>
      </c>
      <c r="M323" s="4"/>
    </row>
    <row r="324" spans="1:13" ht="22.05" customHeight="1" x14ac:dyDescent="0.3">
      <c r="A324" s="2" t="s">
        <v>1085</v>
      </c>
      <c r="B324" s="12" t="s">
        <v>8</v>
      </c>
      <c r="C324" s="12" t="s">
        <v>9</v>
      </c>
      <c r="D324" s="2">
        <v>995</v>
      </c>
      <c r="E324" s="2">
        <f>FastenersPriceList[[#This Row],[1000 PCS/WT.]]/1000</f>
        <v>0.995</v>
      </c>
      <c r="F324" s="2" t="s">
        <v>785</v>
      </c>
      <c r="G324" s="6" t="s">
        <v>11</v>
      </c>
      <c r="H324" s="70">
        <v>50</v>
      </c>
      <c r="I324" s="72">
        <f>FastenersPriceList[[#This Row],[Quantity (kg)]]/FastenersPriceList[[#This Row],[SINGLE PC. WT.]]</f>
        <v>50.251256281407038</v>
      </c>
      <c r="J324" s="3">
        <v>110</v>
      </c>
      <c r="K324" s="3">
        <f>FastenersPriceList[[#This Row],[1000 PCS/WT.]]*FastenersPriceList[[#This Row],[Rate / PER kg (₹)]]</f>
        <v>109450</v>
      </c>
      <c r="L324" s="4">
        <f>FastenersPriceList[[#This Row],[Rate / PER kg (₹)]]*FastenersPriceList[[#This Row],[Quantity (kg)]]</f>
        <v>5500</v>
      </c>
      <c r="M324" s="4"/>
    </row>
    <row r="325" spans="1:13" ht="22.05" customHeight="1" x14ac:dyDescent="0.3">
      <c r="A325" s="2" t="s">
        <v>1086</v>
      </c>
      <c r="B325" s="12" t="s">
        <v>8</v>
      </c>
      <c r="C325" s="12" t="s">
        <v>9</v>
      </c>
      <c r="D325" s="2">
        <v>1035</v>
      </c>
      <c r="E325" s="2">
        <f>FastenersPriceList[[#This Row],[1000 PCS/WT.]]/1000</f>
        <v>1.0349999999999999</v>
      </c>
      <c r="F325" s="2" t="s">
        <v>786</v>
      </c>
      <c r="G325" s="6" t="s">
        <v>11</v>
      </c>
      <c r="H325" s="70">
        <v>50</v>
      </c>
      <c r="I325" s="72">
        <f>FastenersPriceList[[#This Row],[Quantity (kg)]]/FastenersPriceList[[#This Row],[SINGLE PC. WT.]]</f>
        <v>48.309178743961354</v>
      </c>
      <c r="J325" s="3">
        <v>110</v>
      </c>
      <c r="K325" s="3">
        <f>FastenersPriceList[[#This Row],[1000 PCS/WT.]]*FastenersPriceList[[#This Row],[Rate / PER kg (₹)]]</f>
        <v>113850</v>
      </c>
      <c r="L325" s="4">
        <f>FastenersPriceList[[#This Row],[Rate / PER kg (₹)]]*FastenersPriceList[[#This Row],[Quantity (kg)]]</f>
        <v>5500</v>
      </c>
      <c r="M325" s="4"/>
    </row>
    <row r="326" spans="1:13" ht="22.05" customHeight="1" x14ac:dyDescent="0.3">
      <c r="A326" s="2" t="s">
        <v>1087</v>
      </c>
      <c r="B326" s="12" t="s">
        <v>8</v>
      </c>
      <c r="C326" s="12" t="s">
        <v>9</v>
      </c>
      <c r="D326" s="2">
        <v>1075</v>
      </c>
      <c r="E326" s="2">
        <f>FastenersPriceList[[#This Row],[1000 PCS/WT.]]/1000</f>
        <v>1.075</v>
      </c>
      <c r="F326" s="2" t="s">
        <v>787</v>
      </c>
      <c r="G326" s="6" t="s">
        <v>11</v>
      </c>
      <c r="H326" s="70">
        <v>50</v>
      </c>
      <c r="I326" s="72">
        <f>FastenersPriceList[[#This Row],[Quantity (kg)]]/FastenersPriceList[[#This Row],[SINGLE PC. WT.]]</f>
        <v>46.511627906976749</v>
      </c>
      <c r="J326" s="3">
        <v>110</v>
      </c>
      <c r="K326" s="3">
        <f>FastenersPriceList[[#This Row],[1000 PCS/WT.]]*FastenersPriceList[[#This Row],[Rate / PER kg (₹)]]</f>
        <v>118250</v>
      </c>
      <c r="L326" s="4">
        <f>FastenersPriceList[[#This Row],[Rate / PER kg (₹)]]*FastenersPriceList[[#This Row],[Quantity (kg)]]</f>
        <v>5500</v>
      </c>
      <c r="M326" s="4"/>
    </row>
    <row r="327" spans="1:13" ht="22.05" customHeight="1" x14ac:dyDescent="0.3">
      <c r="A327" s="2" t="s">
        <v>1088</v>
      </c>
      <c r="B327" s="12" t="s">
        <v>8</v>
      </c>
      <c r="C327" s="12" t="s">
        <v>9</v>
      </c>
      <c r="D327" s="2">
        <v>1115</v>
      </c>
      <c r="E327" s="2">
        <f>FastenersPriceList[[#This Row],[1000 PCS/WT.]]/1000</f>
        <v>1.115</v>
      </c>
      <c r="F327" s="2" t="s">
        <v>788</v>
      </c>
      <c r="G327" s="6" t="s">
        <v>11</v>
      </c>
      <c r="H327" s="70">
        <v>50</v>
      </c>
      <c r="I327" s="72">
        <f>FastenersPriceList[[#This Row],[Quantity (kg)]]/FastenersPriceList[[#This Row],[SINGLE PC. WT.]]</f>
        <v>44.843049327354258</v>
      </c>
      <c r="J327" s="3">
        <v>110</v>
      </c>
      <c r="K327" s="3">
        <f>FastenersPriceList[[#This Row],[1000 PCS/WT.]]*FastenersPriceList[[#This Row],[Rate / PER kg (₹)]]</f>
        <v>122650</v>
      </c>
      <c r="L327" s="4">
        <f>FastenersPriceList[[#This Row],[Rate / PER kg (₹)]]*FastenersPriceList[[#This Row],[Quantity (kg)]]</f>
        <v>5500</v>
      </c>
      <c r="M327" s="4"/>
    </row>
    <row r="328" spans="1:13" ht="22.05" customHeight="1" x14ac:dyDescent="0.3">
      <c r="A328" s="2" t="s">
        <v>1089</v>
      </c>
      <c r="B328" s="12" t="s">
        <v>8</v>
      </c>
      <c r="C328" s="12" t="s">
        <v>9</v>
      </c>
      <c r="D328" s="2">
        <v>1155</v>
      </c>
      <c r="E328" s="2">
        <f>FastenersPriceList[[#This Row],[1000 PCS/WT.]]/1000</f>
        <v>1.155</v>
      </c>
      <c r="F328" s="2" t="s">
        <v>789</v>
      </c>
      <c r="G328" s="6" t="s">
        <v>11</v>
      </c>
      <c r="H328" s="70">
        <v>50</v>
      </c>
      <c r="I328" s="72">
        <f>FastenersPriceList[[#This Row],[Quantity (kg)]]/FastenersPriceList[[#This Row],[SINGLE PC. WT.]]</f>
        <v>43.290043290043286</v>
      </c>
      <c r="J328" s="3">
        <v>110</v>
      </c>
      <c r="K328" s="3">
        <f>FastenersPriceList[[#This Row],[1000 PCS/WT.]]*FastenersPriceList[[#This Row],[Rate / PER kg (₹)]]</f>
        <v>127050</v>
      </c>
      <c r="L328" s="4">
        <f>FastenersPriceList[[#This Row],[Rate / PER kg (₹)]]*FastenersPriceList[[#This Row],[Quantity (kg)]]</f>
        <v>5500</v>
      </c>
      <c r="M328" s="4"/>
    </row>
    <row r="329" spans="1:13" ht="22.05" customHeight="1" x14ac:dyDescent="0.3">
      <c r="A329" s="2" t="s">
        <v>1240</v>
      </c>
      <c r="B329" s="12" t="s">
        <v>8</v>
      </c>
      <c r="C329" s="12" t="s">
        <v>9</v>
      </c>
      <c r="D329" s="2">
        <v>1195</v>
      </c>
      <c r="E329" s="2">
        <f>FastenersPriceList[[#This Row],[1000 PCS/WT.]]/1000</f>
        <v>1.1950000000000001</v>
      </c>
      <c r="F329" s="2" t="s">
        <v>790</v>
      </c>
      <c r="G329" s="6" t="s">
        <v>11</v>
      </c>
      <c r="H329" s="70">
        <v>50</v>
      </c>
      <c r="I329" s="72">
        <f>FastenersPriceList[[#This Row],[Quantity (kg)]]/FastenersPriceList[[#This Row],[SINGLE PC. WT.]]</f>
        <v>41.841004184100413</v>
      </c>
      <c r="J329" s="3">
        <v>110</v>
      </c>
      <c r="K329" s="3">
        <f>FastenersPriceList[[#This Row],[1000 PCS/WT.]]*FastenersPriceList[[#This Row],[Rate / PER kg (₹)]]</f>
        <v>131450</v>
      </c>
      <c r="L329" s="4">
        <f>FastenersPriceList[[#This Row],[Rate / PER kg (₹)]]*FastenersPriceList[[#This Row],[Quantity (kg)]]</f>
        <v>5500</v>
      </c>
      <c r="M329" s="4"/>
    </row>
    <row r="330" spans="1:13" ht="22.05" customHeight="1" x14ac:dyDescent="0.3">
      <c r="A330" s="2" t="s">
        <v>1241</v>
      </c>
      <c r="B330" s="12" t="s">
        <v>8</v>
      </c>
      <c r="C330" s="12" t="s">
        <v>9</v>
      </c>
      <c r="D330" s="2">
        <v>1250</v>
      </c>
      <c r="E330" s="2">
        <f>FastenersPriceList[[#This Row],[1000 PCS/WT.]]/1000</f>
        <v>1.25</v>
      </c>
      <c r="F330" s="2" t="s">
        <v>791</v>
      </c>
      <c r="G330" s="6" t="s">
        <v>11</v>
      </c>
      <c r="H330" s="70">
        <v>50</v>
      </c>
      <c r="I330" s="72">
        <f>FastenersPriceList[[#This Row],[Quantity (kg)]]/FastenersPriceList[[#This Row],[SINGLE PC. WT.]]</f>
        <v>40</v>
      </c>
      <c r="J330" s="3">
        <v>115</v>
      </c>
      <c r="K330" s="3">
        <f>FastenersPriceList[[#This Row],[1000 PCS/WT.]]*FastenersPriceList[[#This Row],[Rate / PER kg (₹)]]</f>
        <v>143750</v>
      </c>
      <c r="L330" s="4">
        <f>FastenersPriceList[[#This Row],[Rate / PER kg (₹)]]*FastenersPriceList[[#This Row],[Quantity (kg)]]</f>
        <v>5750</v>
      </c>
      <c r="M330" s="4"/>
    </row>
    <row r="331" spans="1:13" ht="22.05" customHeight="1" x14ac:dyDescent="0.3">
      <c r="A331" s="2" t="s">
        <v>1242</v>
      </c>
      <c r="B331" s="12" t="s">
        <v>8</v>
      </c>
      <c r="C331" s="12" t="s">
        <v>9</v>
      </c>
      <c r="D331" s="2">
        <v>1330</v>
      </c>
      <c r="E331" s="2">
        <f>FastenersPriceList[[#This Row],[1000 PCS/WT.]]/1000</f>
        <v>1.33</v>
      </c>
      <c r="F331" s="2" t="s">
        <v>792</v>
      </c>
      <c r="G331" s="6" t="s">
        <v>11</v>
      </c>
      <c r="H331" s="70">
        <v>50</v>
      </c>
      <c r="I331" s="72">
        <f>FastenersPriceList[[#This Row],[Quantity (kg)]]/FastenersPriceList[[#This Row],[SINGLE PC. WT.]]</f>
        <v>37.593984962406012</v>
      </c>
      <c r="J331" s="3">
        <v>115</v>
      </c>
      <c r="K331" s="3">
        <f>FastenersPriceList[[#This Row],[1000 PCS/WT.]]*FastenersPriceList[[#This Row],[Rate / PER kg (₹)]]</f>
        <v>152950</v>
      </c>
      <c r="L331" s="4">
        <f>FastenersPriceList[[#This Row],[Rate / PER kg (₹)]]*FastenersPriceList[[#This Row],[Quantity (kg)]]</f>
        <v>5750</v>
      </c>
      <c r="M331" s="4"/>
    </row>
    <row r="332" spans="1:13" ht="22.05" customHeight="1" x14ac:dyDescent="0.3">
      <c r="A332" s="2" t="s">
        <v>1243</v>
      </c>
      <c r="B332" s="12" t="s">
        <v>8</v>
      </c>
      <c r="C332" s="12" t="s">
        <v>9</v>
      </c>
      <c r="D332" s="2">
        <v>1410</v>
      </c>
      <c r="E332" s="2">
        <f>FastenersPriceList[[#This Row],[1000 PCS/WT.]]/1000</f>
        <v>1.41</v>
      </c>
      <c r="F332" s="2" t="s">
        <v>793</v>
      </c>
      <c r="G332" s="6" t="s">
        <v>11</v>
      </c>
      <c r="H332" s="70">
        <v>50</v>
      </c>
      <c r="I332" s="72">
        <f>FastenersPriceList[[#This Row],[Quantity (kg)]]/FastenersPriceList[[#This Row],[SINGLE PC. WT.]]</f>
        <v>35.460992907801419</v>
      </c>
      <c r="J332" s="3">
        <v>115</v>
      </c>
      <c r="K332" s="3">
        <f>FastenersPriceList[[#This Row],[1000 PCS/WT.]]*FastenersPriceList[[#This Row],[Rate / PER kg (₹)]]</f>
        <v>162150</v>
      </c>
      <c r="L332" s="4">
        <f>FastenersPriceList[[#This Row],[Rate / PER kg (₹)]]*FastenersPriceList[[#This Row],[Quantity (kg)]]</f>
        <v>5750</v>
      </c>
      <c r="M332" s="4"/>
    </row>
    <row r="333" spans="1:13" ht="22.05" customHeight="1" x14ac:dyDescent="0.3">
      <c r="A333" s="2" t="s">
        <v>1244</v>
      </c>
      <c r="B333" s="12" t="s">
        <v>8</v>
      </c>
      <c r="C333" s="12" t="s">
        <v>9</v>
      </c>
      <c r="D333" s="2">
        <v>1490</v>
      </c>
      <c r="E333" s="2">
        <f>FastenersPriceList[[#This Row],[1000 PCS/WT.]]/1000</f>
        <v>1.49</v>
      </c>
      <c r="F333" s="2" t="s">
        <v>794</v>
      </c>
      <c r="G333" s="6" t="s">
        <v>11</v>
      </c>
      <c r="H333" s="70">
        <v>50</v>
      </c>
      <c r="I333" s="72">
        <f>FastenersPriceList[[#This Row],[Quantity (kg)]]/FastenersPriceList[[#This Row],[SINGLE PC. WT.]]</f>
        <v>33.557046979865774</v>
      </c>
      <c r="J333" s="3">
        <v>115</v>
      </c>
      <c r="K333" s="3">
        <f>FastenersPriceList[[#This Row],[1000 PCS/WT.]]*FastenersPriceList[[#This Row],[Rate / PER kg (₹)]]</f>
        <v>171350</v>
      </c>
      <c r="L333" s="4">
        <f>FastenersPriceList[[#This Row],[Rate / PER kg (₹)]]*FastenersPriceList[[#This Row],[Quantity (kg)]]</f>
        <v>5750</v>
      </c>
      <c r="M333" s="4"/>
    </row>
    <row r="334" spans="1:13" ht="22.05" customHeight="1" x14ac:dyDescent="0.3">
      <c r="A334" s="2" t="s">
        <v>1245</v>
      </c>
      <c r="B334" s="12" t="s">
        <v>8</v>
      </c>
      <c r="C334" s="12" t="s">
        <v>9</v>
      </c>
      <c r="D334" s="2">
        <v>1570</v>
      </c>
      <c r="E334" s="2">
        <f>FastenersPriceList[[#This Row],[1000 PCS/WT.]]/1000</f>
        <v>1.57</v>
      </c>
      <c r="F334" s="2" t="s">
        <v>795</v>
      </c>
      <c r="G334" s="6" t="s">
        <v>11</v>
      </c>
      <c r="H334" s="70">
        <v>50</v>
      </c>
      <c r="I334" s="72">
        <f>FastenersPriceList[[#This Row],[Quantity (kg)]]/FastenersPriceList[[#This Row],[SINGLE PC. WT.]]</f>
        <v>31.847133757961782</v>
      </c>
      <c r="J334" s="3">
        <v>115</v>
      </c>
      <c r="K334" s="3">
        <f>FastenersPriceList[[#This Row],[1000 PCS/WT.]]*FastenersPriceList[[#This Row],[Rate / PER kg (₹)]]</f>
        <v>180550</v>
      </c>
      <c r="L334" s="4">
        <f>FastenersPriceList[[#This Row],[Rate / PER kg (₹)]]*FastenersPriceList[[#This Row],[Quantity (kg)]]</f>
        <v>5750</v>
      </c>
      <c r="M334" s="4"/>
    </row>
    <row r="335" spans="1:13" ht="22.05" customHeight="1" x14ac:dyDescent="0.3">
      <c r="A335" s="2" t="s">
        <v>1246</v>
      </c>
      <c r="B335" s="12" t="s">
        <v>8</v>
      </c>
      <c r="C335" s="12" t="s">
        <v>9</v>
      </c>
      <c r="D335" s="2">
        <v>1650</v>
      </c>
      <c r="E335" s="2">
        <f>FastenersPriceList[[#This Row],[1000 PCS/WT.]]/1000</f>
        <v>1.65</v>
      </c>
      <c r="F335" s="2" t="s">
        <v>796</v>
      </c>
      <c r="G335" s="6" t="s">
        <v>11</v>
      </c>
      <c r="H335" s="70">
        <v>50</v>
      </c>
      <c r="I335" s="72">
        <f>FastenersPriceList[[#This Row],[Quantity (kg)]]/FastenersPriceList[[#This Row],[SINGLE PC. WT.]]</f>
        <v>30.303030303030305</v>
      </c>
      <c r="J335" s="3">
        <v>115</v>
      </c>
      <c r="K335" s="3">
        <f>FastenersPriceList[[#This Row],[1000 PCS/WT.]]*FastenersPriceList[[#This Row],[Rate / PER kg (₹)]]</f>
        <v>189750</v>
      </c>
      <c r="L335" s="4">
        <f>FastenersPriceList[[#This Row],[Rate / PER kg (₹)]]*FastenersPriceList[[#This Row],[Quantity (kg)]]</f>
        <v>5750</v>
      </c>
      <c r="M335" s="4"/>
    </row>
    <row r="336" spans="1:13" ht="22.05" customHeight="1" x14ac:dyDescent="0.3">
      <c r="A336" s="2" t="s">
        <v>1247</v>
      </c>
      <c r="B336" s="12" t="s">
        <v>8</v>
      </c>
      <c r="C336" s="12" t="s">
        <v>9</v>
      </c>
      <c r="D336" s="2">
        <v>1730</v>
      </c>
      <c r="E336" s="2">
        <f>FastenersPriceList[[#This Row],[1000 PCS/WT.]]/1000</f>
        <v>1.73</v>
      </c>
      <c r="F336" s="2" t="s">
        <v>797</v>
      </c>
      <c r="G336" s="6" t="s">
        <v>11</v>
      </c>
      <c r="H336" s="70">
        <v>50</v>
      </c>
      <c r="I336" s="72">
        <f>FastenersPriceList[[#This Row],[Quantity (kg)]]/FastenersPriceList[[#This Row],[SINGLE PC. WT.]]</f>
        <v>28.901734104046245</v>
      </c>
      <c r="J336" s="3">
        <v>115</v>
      </c>
      <c r="K336" s="3">
        <f>FastenersPriceList[[#This Row],[1000 PCS/WT.]]*FastenersPriceList[[#This Row],[Rate / PER kg (₹)]]</f>
        <v>198950</v>
      </c>
      <c r="L336" s="4">
        <f>FastenersPriceList[[#This Row],[Rate / PER kg (₹)]]*FastenersPriceList[[#This Row],[Quantity (kg)]]</f>
        <v>5750</v>
      </c>
      <c r="M336" s="4"/>
    </row>
    <row r="337" spans="1:13" ht="22.05" customHeight="1" x14ac:dyDescent="0.3">
      <c r="A337" s="2" t="s">
        <v>1248</v>
      </c>
      <c r="B337" s="12" t="s">
        <v>8</v>
      </c>
      <c r="C337" s="12" t="s">
        <v>9</v>
      </c>
      <c r="D337" s="2">
        <v>1810</v>
      </c>
      <c r="E337" s="2">
        <f>FastenersPriceList[[#This Row],[1000 PCS/WT.]]/1000</f>
        <v>1.81</v>
      </c>
      <c r="F337" s="2" t="s">
        <v>798</v>
      </c>
      <c r="G337" s="6" t="s">
        <v>11</v>
      </c>
      <c r="H337" s="70">
        <v>50</v>
      </c>
      <c r="I337" s="72">
        <f>FastenersPriceList[[#This Row],[Quantity (kg)]]/FastenersPriceList[[#This Row],[SINGLE PC. WT.]]</f>
        <v>27.624309392265193</v>
      </c>
      <c r="J337" s="3">
        <v>115</v>
      </c>
      <c r="K337" s="3">
        <f>FastenersPriceList[[#This Row],[1000 PCS/WT.]]*FastenersPriceList[[#This Row],[Rate / PER kg (₹)]]</f>
        <v>208150</v>
      </c>
      <c r="L337" s="4">
        <f>FastenersPriceList[[#This Row],[Rate / PER kg (₹)]]*FastenersPriceList[[#This Row],[Quantity (kg)]]</f>
        <v>5750</v>
      </c>
      <c r="M337" s="4"/>
    </row>
    <row r="338" spans="1:13" ht="22.05" customHeight="1" x14ac:dyDescent="0.3">
      <c r="A338" s="2" t="s">
        <v>1249</v>
      </c>
      <c r="B338" s="12" t="s">
        <v>8</v>
      </c>
      <c r="C338" s="12" t="s">
        <v>9</v>
      </c>
      <c r="D338" s="2">
        <v>1890</v>
      </c>
      <c r="E338" s="2">
        <f>FastenersPriceList[[#This Row],[1000 PCS/WT.]]/1000</f>
        <v>1.89</v>
      </c>
      <c r="F338" s="2" t="s">
        <v>799</v>
      </c>
      <c r="G338" s="6" t="s">
        <v>11</v>
      </c>
      <c r="H338" s="70">
        <v>50</v>
      </c>
      <c r="I338" s="72">
        <f>FastenersPriceList[[#This Row],[Quantity (kg)]]/FastenersPriceList[[#This Row],[SINGLE PC. WT.]]</f>
        <v>26.455026455026456</v>
      </c>
      <c r="J338" s="3">
        <v>115</v>
      </c>
      <c r="K338" s="3">
        <f>FastenersPriceList[[#This Row],[1000 PCS/WT.]]*FastenersPriceList[[#This Row],[Rate / PER kg (₹)]]</f>
        <v>217350</v>
      </c>
      <c r="L338" s="4">
        <f>FastenersPriceList[[#This Row],[Rate / PER kg (₹)]]*FastenersPriceList[[#This Row],[Quantity (kg)]]</f>
        <v>5750</v>
      </c>
      <c r="M338" s="4"/>
    </row>
    <row r="339" spans="1:13" ht="22.05" customHeight="1" x14ac:dyDescent="0.3">
      <c r="A339" s="2" t="s">
        <v>1250</v>
      </c>
      <c r="B339" s="12" t="s">
        <v>8</v>
      </c>
      <c r="C339" s="12" t="s">
        <v>9</v>
      </c>
      <c r="D339" s="2">
        <v>1970</v>
      </c>
      <c r="E339" s="2">
        <f>FastenersPriceList[[#This Row],[1000 PCS/WT.]]/1000</f>
        <v>1.97</v>
      </c>
      <c r="F339" s="2" t="s">
        <v>800</v>
      </c>
      <c r="G339" s="6" t="s">
        <v>11</v>
      </c>
      <c r="H339" s="70">
        <v>50</v>
      </c>
      <c r="I339" s="72">
        <f>FastenersPriceList[[#This Row],[Quantity (kg)]]/FastenersPriceList[[#This Row],[SINGLE PC. WT.]]</f>
        <v>25.380710659898476</v>
      </c>
      <c r="J339" s="3">
        <v>115</v>
      </c>
      <c r="K339" s="3">
        <f>FastenersPriceList[[#This Row],[1000 PCS/WT.]]*FastenersPriceList[[#This Row],[Rate / PER kg (₹)]]</f>
        <v>226550</v>
      </c>
      <c r="L339" s="4">
        <f>FastenersPriceList[[#This Row],[Rate / PER kg (₹)]]*FastenersPriceList[[#This Row],[Quantity (kg)]]</f>
        <v>5750</v>
      </c>
      <c r="M339" s="4"/>
    </row>
    <row r="340" spans="1:13" ht="22.05" customHeight="1" x14ac:dyDescent="0.3">
      <c r="A340" s="2" t="s">
        <v>1251</v>
      </c>
      <c r="B340" s="12" t="s">
        <v>8</v>
      </c>
      <c r="C340" s="12" t="s">
        <v>9</v>
      </c>
      <c r="D340" s="2">
        <v>2050</v>
      </c>
      <c r="E340" s="2">
        <f>FastenersPriceList[[#This Row],[1000 PCS/WT.]]/1000</f>
        <v>2.0499999999999998</v>
      </c>
      <c r="F340" s="2" t="s">
        <v>801</v>
      </c>
      <c r="G340" s="6" t="s">
        <v>11</v>
      </c>
      <c r="H340" s="70">
        <v>50</v>
      </c>
      <c r="I340" s="72">
        <f>FastenersPriceList[[#This Row],[Quantity (kg)]]/FastenersPriceList[[#This Row],[SINGLE PC. WT.]]</f>
        <v>24.390243902439025</v>
      </c>
      <c r="J340" s="3">
        <v>120</v>
      </c>
      <c r="K340" s="3">
        <f>FastenersPriceList[[#This Row],[1000 PCS/WT.]]*FastenersPriceList[[#This Row],[Rate / PER kg (₹)]]</f>
        <v>246000</v>
      </c>
      <c r="L340" s="4">
        <f>FastenersPriceList[[#This Row],[Rate / PER kg (₹)]]*FastenersPriceList[[#This Row],[Quantity (kg)]]</f>
        <v>6000</v>
      </c>
      <c r="M340" s="4"/>
    </row>
    <row r="341" spans="1:13" ht="22.05" customHeight="1" x14ac:dyDescent="0.3">
      <c r="A341" s="2" t="s">
        <v>1252</v>
      </c>
      <c r="B341" s="12" t="s">
        <v>8</v>
      </c>
      <c r="C341" s="12" t="s">
        <v>9</v>
      </c>
      <c r="D341" s="2">
        <v>2130</v>
      </c>
      <c r="E341" s="2">
        <f>FastenersPriceList[[#This Row],[1000 PCS/WT.]]/1000</f>
        <v>2.13</v>
      </c>
      <c r="F341" s="2" t="s">
        <v>802</v>
      </c>
      <c r="G341" s="6" t="s">
        <v>11</v>
      </c>
      <c r="H341" s="70">
        <v>50</v>
      </c>
      <c r="I341" s="72">
        <f>FastenersPriceList[[#This Row],[Quantity (kg)]]/FastenersPriceList[[#This Row],[SINGLE PC. WT.]]</f>
        <v>23.474178403755868</v>
      </c>
      <c r="J341" s="3">
        <v>120</v>
      </c>
      <c r="K341" s="3">
        <f>FastenersPriceList[[#This Row],[1000 PCS/WT.]]*FastenersPriceList[[#This Row],[Rate / PER kg (₹)]]</f>
        <v>255600</v>
      </c>
      <c r="L341" s="4">
        <f>FastenersPriceList[[#This Row],[Rate / PER kg (₹)]]*FastenersPriceList[[#This Row],[Quantity (kg)]]</f>
        <v>6000</v>
      </c>
      <c r="M341" s="4"/>
    </row>
    <row r="342" spans="1:13" ht="22.05" customHeight="1" x14ac:dyDescent="0.3">
      <c r="A342" s="2" t="s">
        <v>1253</v>
      </c>
      <c r="B342" s="12" t="s">
        <v>8</v>
      </c>
      <c r="C342" s="12" t="s">
        <v>9</v>
      </c>
      <c r="D342" s="2">
        <v>2210</v>
      </c>
      <c r="E342" s="2">
        <f>FastenersPriceList[[#This Row],[1000 PCS/WT.]]/1000</f>
        <v>2.21</v>
      </c>
      <c r="F342" s="2" t="s">
        <v>803</v>
      </c>
      <c r="G342" s="6" t="s">
        <v>11</v>
      </c>
      <c r="H342" s="70">
        <v>50</v>
      </c>
      <c r="I342" s="72">
        <f>FastenersPriceList[[#This Row],[Quantity (kg)]]/FastenersPriceList[[#This Row],[SINGLE PC. WT.]]</f>
        <v>22.624434389140273</v>
      </c>
      <c r="J342" s="3">
        <v>120</v>
      </c>
      <c r="K342" s="3">
        <f>FastenersPriceList[[#This Row],[1000 PCS/WT.]]*FastenersPriceList[[#This Row],[Rate / PER kg (₹)]]</f>
        <v>265200</v>
      </c>
      <c r="L342" s="4">
        <f>FastenersPriceList[[#This Row],[Rate / PER kg (₹)]]*FastenersPriceList[[#This Row],[Quantity (kg)]]</f>
        <v>6000</v>
      </c>
      <c r="M342" s="4"/>
    </row>
    <row r="343" spans="1:13" ht="22.05" customHeight="1" x14ac:dyDescent="0.3">
      <c r="A343" s="2" t="s">
        <v>1254</v>
      </c>
      <c r="B343" s="12" t="s">
        <v>8</v>
      </c>
      <c r="C343" s="12" t="s">
        <v>9</v>
      </c>
      <c r="D343" s="2">
        <v>2290</v>
      </c>
      <c r="E343" s="2">
        <f>FastenersPriceList[[#This Row],[1000 PCS/WT.]]/1000</f>
        <v>2.29</v>
      </c>
      <c r="F343" s="2" t="s">
        <v>804</v>
      </c>
      <c r="G343" s="6" t="s">
        <v>11</v>
      </c>
      <c r="H343" s="70">
        <v>50</v>
      </c>
      <c r="I343" s="72">
        <f>FastenersPriceList[[#This Row],[Quantity (kg)]]/FastenersPriceList[[#This Row],[SINGLE PC. WT.]]</f>
        <v>21.834061135371179</v>
      </c>
      <c r="J343" s="3">
        <v>120</v>
      </c>
      <c r="K343" s="3">
        <f>FastenersPriceList[[#This Row],[1000 PCS/WT.]]*FastenersPriceList[[#This Row],[Rate / PER kg (₹)]]</f>
        <v>274800</v>
      </c>
      <c r="L343" s="4">
        <f>FastenersPriceList[[#This Row],[Rate / PER kg (₹)]]*FastenersPriceList[[#This Row],[Quantity (kg)]]</f>
        <v>6000</v>
      </c>
      <c r="M343" s="4"/>
    </row>
    <row r="344" spans="1:13" ht="22.05" customHeight="1" x14ac:dyDescent="0.3">
      <c r="A344" s="2" t="s">
        <v>1255</v>
      </c>
      <c r="B344" s="12" t="s">
        <v>8</v>
      </c>
      <c r="C344" s="12" t="s">
        <v>9</v>
      </c>
      <c r="D344" s="2">
        <v>2370</v>
      </c>
      <c r="E344" s="2">
        <f>FastenersPriceList[[#This Row],[1000 PCS/WT.]]/1000</f>
        <v>2.37</v>
      </c>
      <c r="F344" s="2" t="s">
        <v>805</v>
      </c>
      <c r="G344" s="6" t="s">
        <v>11</v>
      </c>
      <c r="H344" s="70">
        <v>50</v>
      </c>
      <c r="I344" s="72">
        <f>FastenersPriceList[[#This Row],[Quantity (kg)]]/FastenersPriceList[[#This Row],[SINGLE PC. WT.]]</f>
        <v>21.09704641350211</v>
      </c>
      <c r="J344" s="3">
        <v>120</v>
      </c>
      <c r="K344" s="3">
        <f>FastenersPriceList[[#This Row],[1000 PCS/WT.]]*FastenersPriceList[[#This Row],[Rate / PER kg (₹)]]</f>
        <v>284400</v>
      </c>
      <c r="L344" s="4">
        <f>FastenersPriceList[[#This Row],[Rate / PER kg (₹)]]*FastenersPriceList[[#This Row],[Quantity (kg)]]</f>
        <v>6000</v>
      </c>
      <c r="M344" s="4"/>
    </row>
    <row r="345" spans="1:13" ht="22.05" customHeight="1" x14ac:dyDescent="0.3">
      <c r="A345" s="2" t="s">
        <v>1256</v>
      </c>
      <c r="B345" s="12" t="s">
        <v>8</v>
      </c>
      <c r="C345" s="12" t="s">
        <v>9</v>
      </c>
      <c r="D345" s="2">
        <v>2450</v>
      </c>
      <c r="E345" s="2">
        <f>FastenersPriceList[[#This Row],[1000 PCS/WT.]]/1000</f>
        <v>2.4500000000000002</v>
      </c>
      <c r="F345" s="2" t="s">
        <v>806</v>
      </c>
      <c r="G345" s="6" t="s">
        <v>11</v>
      </c>
      <c r="H345" s="70">
        <v>50</v>
      </c>
      <c r="I345" s="72">
        <f>FastenersPriceList[[#This Row],[Quantity (kg)]]/FastenersPriceList[[#This Row],[SINGLE PC. WT.]]</f>
        <v>20.408163265306122</v>
      </c>
      <c r="J345" s="3">
        <v>120</v>
      </c>
      <c r="K345" s="3">
        <f>FastenersPriceList[[#This Row],[1000 PCS/WT.]]*FastenersPriceList[[#This Row],[Rate / PER kg (₹)]]</f>
        <v>294000</v>
      </c>
      <c r="L345" s="4">
        <f>FastenersPriceList[[#This Row],[Rate / PER kg (₹)]]*FastenersPriceList[[#This Row],[Quantity (kg)]]</f>
        <v>6000</v>
      </c>
      <c r="M345" s="4"/>
    </row>
    <row r="346" spans="1:13" ht="22.05" customHeight="1" x14ac:dyDescent="0.3">
      <c r="A346" s="2" t="s">
        <v>1257</v>
      </c>
      <c r="B346" s="12" t="s">
        <v>8</v>
      </c>
      <c r="C346" s="12" t="s">
        <v>9</v>
      </c>
      <c r="D346" s="2">
        <v>2530</v>
      </c>
      <c r="E346" s="2">
        <f>FastenersPriceList[[#This Row],[1000 PCS/WT.]]/1000</f>
        <v>2.5299999999999998</v>
      </c>
      <c r="F346" s="2" t="s">
        <v>807</v>
      </c>
      <c r="G346" s="6" t="s">
        <v>11</v>
      </c>
      <c r="H346" s="70">
        <v>50</v>
      </c>
      <c r="I346" s="72">
        <f>FastenersPriceList[[#This Row],[Quantity (kg)]]/FastenersPriceList[[#This Row],[SINGLE PC. WT.]]</f>
        <v>19.762845849802375</v>
      </c>
      <c r="J346" s="3">
        <v>120</v>
      </c>
      <c r="K346" s="3">
        <f>FastenersPriceList[[#This Row],[1000 PCS/WT.]]*FastenersPriceList[[#This Row],[Rate / PER kg (₹)]]</f>
        <v>303600</v>
      </c>
      <c r="L346" s="4">
        <f>FastenersPriceList[[#This Row],[Rate / PER kg (₹)]]*FastenersPriceList[[#This Row],[Quantity (kg)]]</f>
        <v>6000</v>
      </c>
      <c r="M346" s="4"/>
    </row>
    <row r="347" spans="1:13" ht="22.05" customHeight="1" x14ac:dyDescent="0.3">
      <c r="A347" s="2" t="s">
        <v>1258</v>
      </c>
      <c r="B347" s="12" t="s">
        <v>8</v>
      </c>
      <c r="C347" s="12" t="s">
        <v>9</v>
      </c>
      <c r="D347" s="2">
        <v>2610</v>
      </c>
      <c r="E347" s="2">
        <f>FastenersPriceList[[#This Row],[1000 PCS/WT.]]/1000</f>
        <v>2.61</v>
      </c>
      <c r="F347" s="2" t="s">
        <v>808</v>
      </c>
      <c r="G347" s="6" t="s">
        <v>11</v>
      </c>
      <c r="H347" s="70">
        <v>50</v>
      </c>
      <c r="I347" s="72">
        <f>FastenersPriceList[[#This Row],[Quantity (kg)]]/FastenersPriceList[[#This Row],[SINGLE PC. WT.]]</f>
        <v>19.157088122605366</v>
      </c>
      <c r="J347" s="3">
        <v>120</v>
      </c>
      <c r="K347" s="3">
        <f>FastenersPriceList[[#This Row],[1000 PCS/WT.]]*FastenersPriceList[[#This Row],[Rate / PER kg (₹)]]</f>
        <v>313200</v>
      </c>
      <c r="L347" s="4">
        <f>FastenersPriceList[[#This Row],[Rate / PER kg (₹)]]*FastenersPriceList[[#This Row],[Quantity (kg)]]</f>
        <v>6000</v>
      </c>
      <c r="M347" s="4"/>
    </row>
    <row r="348" spans="1:13" ht="22.05" customHeight="1" x14ac:dyDescent="0.3">
      <c r="A348" s="2" t="s">
        <v>1259</v>
      </c>
      <c r="B348" s="12" t="s">
        <v>8</v>
      </c>
      <c r="C348" s="12" t="s">
        <v>9</v>
      </c>
      <c r="D348" s="2">
        <v>2690</v>
      </c>
      <c r="E348" s="2">
        <f>FastenersPriceList[[#This Row],[1000 PCS/WT.]]/1000</f>
        <v>2.69</v>
      </c>
      <c r="F348" s="2" t="s">
        <v>809</v>
      </c>
      <c r="G348" s="6" t="s">
        <v>11</v>
      </c>
      <c r="H348" s="70">
        <v>50</v>
      </c>
      <c r="I348" s="72">
        <f>FastenersPriceList[[#This Row],[Quantity (kg)]]/FastenersPriceList[[#This Row],[SINGLE PC. WT.]]</f>
        <v>18.587360594795541</v>
      </c>
      <c r="J348" s="3">
        <v>120</v>
      </c>
      <c r="K348" s="3">
        <f>FastenersPriceList[[#This Row],[1000 PCS/WT.]]*FastenersPriceList[[#This Row],[Rate / PER kg (₹)]]</f>
        <v>322800</v>
      </c>
      <c r="L348" s="4">
        <f>FastenersPriceList[[#This Row],[Rate / PER kg (₹)]]*FastenersPriceList[[#This Row],[Quantity (kg)]]</f>
        <v>6000</v>
      </c>
      <c r="M348" s="4"/>
    </row>
    <row r="349" spans="1:13" ht="22.05" customHeight="1" x14ac:dyDescent="0.3">
      <c r="A349" s="2" t="s">
        <v>1260</v>
      </c>
      <c r="B349" s="12" t="s">
        <v>8</v>
      </c>
      <c r="C349" s="12" t="s">
        <v>9</v>
      </c>
      <c r="D349" s="2">
        <v>2770</v>
      </c>
      <c r="E349" s="2">
        <f>FastenersPriceList[[#This Row],[1000 PCS/WT.]]/1000</f>
        <v>2.77</v>
      </c>
      <c r="F349" s="2" t="s">
        <v>810</v>
      </c>
      <c r="G349" s="6" t="s">
        <v>11</v>
      </c>
      <c r="H349" s="70">
        <v>50</v>
      </c>
      <c r="I349" s="72">
        <f>FastenersPriceList[[#This Row],[Quantity (kg)]]/FastenersPriceList[[#This Row],[SINGLE PC. WT.]]</f>
        <v>18.050541516245488</v>
      </c>
      <c r="J349" s="3">
        <v>120</v>
      </c>
      <c r="K349" s="3">
        <f>FastenersPriceList[[#This Row],[1000 PCS/WT.]]*FastenersPriceList[[#This Row],[Rate / PER kg (₹)]]</f>
        <v>332400</v>
      </c>
      <c r="L349" s="4">
        <f>FastenersPriceList[[#This Row],[Rate / PER kg (₹)]]*FastenersPriceList[[#This Row],[Quantity (kg)]]</f>
        <v>6000</v>
      </c>
      <c r="M349" s="4"/>
    </row>
    <row r="350" spans="1:13" ht="22.05" customHeight="1" x14ac:dyDescent="0.3">
      <c r="A350" s="2" t="s">
        <v>1090</v>
      </c>
      <c r="B350" s="12" t="s">
        <v>8</v>
      </c>
      <c r="C350" s="12" t="s">
        <v>9</v>
      </c>
      <c r="D350" s="2">
        <v>1087</v>
      </c>
      <c r="E350" s="2">
        <f>FastenersPriceList[[#This Row],[1000 PCS/WT.]]/1000</f>
        <v>1.087</v>
      </c>
      <c r="F350" s="2" t="s">
        <v>811</v>
      </c>
      <c r="G350" s="6" t="s">
        <v>11</v>
      </c>
      <c r="H350" s="70">
        <v>50</v>
      </c>
      <c r="I350" s="72">
        <f>FastenersPriceList[[#This Row],[Quantity (kg)]]/FastenersPriceList[[#This Row],[SINGLE PC. WT.]]</f>
        <v>45.998160073597056</v>
      </c>
      <c r="J350" s="3">
        <v>110</v>
      </c>
      <c r="K350" s="3">
        <f>FastenersPriceList[[#This Row],[1000 PCS/WT.]]*FastenersPriceList[[#This Row],[Rate / PER kg (₹)]]</f>
        <v>119570</v>
      </c>
      <c r="L350" s="4">
        <f>FastenersPriceList[[#This Row],[Rate / PER kg (₹)]]*FastenersPriceList[[#This Row],[Quantity (kg)]]</f>
        <v>5500</v>
      </c>
      <c r="M350" s="4"/>
    </row>
    <row r="351" spans="1:13" ht="22.05" customHeight="1" x14ac:dyDescent="0.3">
      <c r="A351" s="2" t="s">
        <v>1091</v>
      </c>
      <c r="B351" s="12" t="s">
        <v>8</v>
      </c>
      <c r="C351" s="12" t="s">
        <v>9</v>
      </c>
      <c r="D351" s="2">
        <v>1134</v>
      </c>
      <c r="E351" s="2">
        <f>FastenersPriceList[[#This Row],[1000 PCS/WT.]]/1000</f>
        <v>1.1339999999999999</v>
      </c>
      <c r="F351" s="2" t="s">
        <v>812</v>
      </c>
      <c r="G351" s="6" t="s">
        <v>11</v>
      </c>
      <c r="H351" s="70">
        <v>50</v>
      </c>
      <c r="I351" s="72">
        <f>FastenersPriceList[[#This Row],[Quantity (kg)]]/FastenersPriceList[[#This Row],[SINGLE PC. WT.]]</f>
        <v>44.091710758377431</v>
      </c>
      <c r="J351" s="3">
        <v>110</v>
      </c>
      <c r="K351" s="3">
        <f>FastenersPriceList[[#This Row],[1000 PCS/WT.]]*FastenersPriceList[[#This Row],[Rate / PER kg (₹)]]</f>
        <v>124740</v>
      </c>
      <c r="L351" s="4">
        <f>FastenersPriceList[[#This Row],[Rate / PER kg (₹)]]*FastenersPriceList[[#This Row],[Quantity (kg)]]</f>
        <v>5500</v>
      </c>
      <c r="M351" s="4"/>
    </row>
    <row r="352" spans="1:13" ht="22.05" customHeight="1" x14ac:dyDescent="0.3">
      <c r="A352" s="2" t="s">
        <v>1092</v>
      </c>
      <c r="B352" s="12" t="s">
        <v>8</v>
      </c>
      <c r="C352" s="12" t="s">
        <v>9</v>
      </c>
      <c r="D352" s="2">
        <v>1181</v>
      </c>
      <c r="E352" s="2">
        <f>FastenersPriceList[[#This Row],[1000 PCS/WT.]]/1000</f>
        <v>1.181</v>
      </c>
      <c r="F352" s="2" t="s">
        <v>813</v>
      </c>
      <c r="G352" s="6" t="s">
        <v>11</v>
      </c>
      <c r="H352" s="70">
        <v>50</v>
      </c>
      <c r="I352" s="72">
        <f>FastenersPriceList[[#This Row],[Quantity (kg)]]/FastenersPriceList[[#This Row],[SINGLE PC. WT.]]</f>
        <v>42.337002540220148</v>
      </c>
      <c r="J352" s="3">
        <v>110</v>
      </c>
      <c r="K352" s="3">
        <f>FastenersPriceList[[#This Row],[1000 PCS/WT.]]*FastenersPriceList[[#This Row],[Rate / PER kg (₹)]]</f>
        <v>129910</v>
      </c>
      <c r="L352" s="4">
        <f>FastenersPriceList[[#This Row],[Rate / PER kg (₹)]]*FastenersPriceList[[#This Row],[Quantity (kg)]]</f>
        <v>5500</v>
      </c>
      <c r="M352" s="4"/>
    </row>
    <row r="353" spans="1:13" ht="22.05" customHeight="1" x14ac:dyDescent="0.3">
      <c r="A353" s="2" t="s">
        <v>1093</v>
      </c>
      <c r="B353" s="12" t="s">
        <v>8</v>
      </c>
      <c r="C353" s="12" t="s">
        <v>9</v>
      </c>
      <c r="D353" s="2">
        <v>1228</v>
      </c>
      <c r="E353" s="2">
        <f>FastenersPriceList[[#This Row],[1000 PCS/WT.]]/1000</f>
        <v>1.228</v>
      </c>
      <c r="F353" s="2" t="s">
        <v>814</v>
      </c>
      <c r="G353" s="6" t="s">
        <v>11</v>
      </c>
      <c r="H353" s="70">
        <v>50</v>
      </c>
      <c r="I353" s="72">
        <f>FastenersPriceList[[#This Row],[Quantity (kg)]]/FastenersPriceList[[#This Row],[SINGLE PC. WT.]]</f>
        <v>40.716612377850161</v>
      </c>
      <c r="J353" s="3">
        <v>110</v>
      </c>
      <c r="K353" s="3">
        <f>FastenersPriceList[[#This Row],[1000 PCS/WT.]]*FastenersPriceList[[#This Row],[Rate / PER kg (₹)]]</f>
        <v>135080</v>
      </c>
      <c r="L353" s="4">
        <f>FastenersPriceList[[#This Row],[Rate / PER kg (₹)]]*FastenersPriceList[[#This Row],[Quantity (kg)]]</f>
        <v>5500</v>
      </c>
      <c r="M353" s="4"/>
    </row>
    <row r="354" spans="1:13" ht="22.05" customHeight="1" x14ac:dyDescent="0.3">
      <c r="A354" s="2" t="s">
        <v>1094</v>
      </c>
      <c r="B354" s="12" t="s">
        <v>8</v>
      </c>
      <c r="C354" s="12" t="s">
        <v>9</v>
      </c>
      <c r="D354" s="2">
        <v>1275</v>
      </c>
      <c r="E354" s="2">
        <f>FastenersPriceList[[#This Row],[1000 PCS/WT.]]/1000</f>
        <v>1.2749999999999999</v>
      </c>
      <c r="F354" s="2" t="s">
        <v>815</v>
      </c>
      <c r="G354" s="6" t="s">
        <v>11</v>
      </c>
      <c r="H354" s="70">
        <v>50</v>
      </c>
      <c r="I354" s="72">
        <f>FastenersPriceList[[#This Row],[Quantity (kg)]]/FastenersPriceList[[#This Row],[SINGLE PC. WT.]]</f>
        <v>39.215686274509807</v>
      </c>
      <c r="J354" s="3">
        <v>110</v>
      </c>
      <c r="K354" s="3">
        <f>FastenersPriceList[[#This Row],[1000 PCS/WT.]]*FastenersPriceList[[#This Row],[Rate / PER kg (₹)]]</f>
        <v>140250</v>
      </c>
      <c r="L354" s="4">
        <f>FastenersPriceList[[#This Row],[Rate / PER kg (₹)]]*FastenersPriceList[[#This Row],[Quantity (kg)]]</f>
        <v>5500</v>
      </c>
      <c r="M354" s="4"/>
    </row>
    <row r="355" spans="1:13" ht="22.05" customHeight="1" x14ac:dyDescent="0.3">
      <c r="A355" s="2" t="s">
        <v>1095</v>
      </c>
      <c r="B355" s="12" t="s">
        <v>8</v>
      </c>
      <c r="C355" s="12" t="s">
        <v>9</v>
      </c>
      <c r="D355" s="2">
        <v>1322</v>
      </c>
      <c r="E355" s="2">
        <f>FastenersPriceList[[#This Row],[1000 PCS/WT.]]/1000</f>
        <v>1.3220000000000001</v>
      </c>
      <c r="F355" s="2" t="s">
        <v>816</v>
      </c>
      <c r="G355" s="6" t="s">
        <v>11</v>
      </c>
      <c r="H355" s="70">
        <v>50</v>
      </c>
      <c r="I355" s="72">
        <f>FastenersPriceList[[#This Row],[Quantity (kg)]]/FastenersPriceList[[#This Row],[SINGLE PC. WT.]]</f>
        <v>37.821482602118003</v>
      </c>
      <c r="J355" s="3">
        <v>110</v>
      </c>
      <c r="K355" s="3">
        <f>FastenersPriceList[[#This Row],[1000 PCS/WT.]]*FastenersPriceList[[#This Row],[Rate / PER kg (₹)]]</f>
        <v>145420</v>
      </c>
      <c r="L355" s="4">
        <f>FastenersPriceList[[#This Row],[Rate / PER kg (₹)]]*FastenersPriceList[[#This Row],[Quantity (kg)]]</f>
        <v>5500</v>
      </c>
      <c r="M355" s="4"/>
    </row>
    <row r="356" spans="1:13" ht="22.05" customHeight="1" x14ac:dyDescent="0.3">
      <c r="A356" s="2" t="s">
        <v>1096</v>
      </c>
      <c r="B356" s="12" t="s">
        <v>8</v>
      </c>
      <c r="C356" s="12" t="s">
        <v>9</v>
      </c>
      <c r="D356" s="2">
        <v>1369</v>
      </c>
      <c r="E356" s="2">
        <f>FastenersPriceList[[#This Row],[1000 PCS/WT.]]/1000</f>
        <v>1.369</v>
      </c>
      <c r="F356" s="2" t="s">
        <v>817</v>
      </c>
      <c r="G356" s="6" t="s">
        <v>11</v>
      </c>
      <c r="H356" s="70">
        <v>50</v>
      </c>
      <c r="I356" s="72">
        <f>FastenersPriceList[[#This Row],[Quantity (kg)]]/FastenersPriceList[[#This Row],[SINGLE PC. WT.]]</f>
        <v>36.523009495982471</v>
      </c>
      <c r="J356" s="3">
        <v>110</v>
      </c>
      <c r="K356" s="3">
        <f>FastenersPriceList[[#This Row],[1000 PCS/WT.]]*FastenersPriceList[[#This Row],[Rate / PER kg (₹)]]</f>
        <v>150590</v>
      </c>
      <c r="L356" s="4">
        <f>FastenersPriceList[[#This Row],[Rate / PER kg (₹)]]*FastenersPriceList[[#This Row],[Quantity (kg)]]</f>
        <v>5500</v>
      </c>
      <c r="M356" s="4"/>
    </row>
    <row r="357" spans="1:13" ht="22.05" customHeight="1" x14ac:dyDescent="0.3">
      <c r="A357" s="2" t="s">
        <v>1097</v>
      </c>
      <c r="B357" s="12" t="s">
        <v>8</v>
      </c>
      <c r="C357" s="12" t="s">
        <v>9</v>
      </c>
      <c r="D357" s="2">
        <v>1416</v>
      </c>
      <c r="E357" s="2">
        <f>FastenersPriceList[[#This Row],[1000 PCS/WT.]]/1000</f>
        <v>1.4159999999999999</v>
      </c>
      <c r="F357" s="2" t="s">
        <v>818</v>
      </c>
      <c r="G357" s="6" t="s">
        <v>11</v>
      </c>
      <c r="H357" s="70">
        <v>50</v>
      </c>
      <c r="I357" s="72">
        <f>FastenersPriceList[[#This Row],[Quantity (kg)]]/FastenersPriceList[[#This Row],[SINGLE PC. WT.]]</f>
        <v>35.310734463276837</v>
      </c>
      <c r="J357" s="3">
        <v>110</v>
      </c>
      <c r="K357" s="3">
        <f>FastenersPriceList[[#This Row],[1000 PCS/WT.]]*FastenersPriceList[[#This Row],[Rate / PER kg (₹)]]</f>
        <v>155760</v>
      </c>
      <c r="L357" s="4">
        <f>FastenersPriceList[[#This Row],[Rate / PER kg (₹)]]*FastenersPriceList[[#This Row],[Quantity (kg)]]</f>
        <v>5500</v>
      </c>
      <c r="M357" s="4"/>
    </row>
    <row r="358" spans="1:13" ht="22.05" customHeight="1" x14ac:dyDescent="0.3">
      <c r="A358" s="2" t="s">
        <v>1261</v>
      </c>
      <c r="B358" s="12" t="s">
        <v>8</v>
      </c>
      <c r="C358" s="12" t="s">
        <v>9</v>
      </c>
      <c r="D358" s="2">
        <v>1463</v>
      </c>
      <c r="E358" s="2">
        <f>FastenersPriceList[[#This Row],[1000 PCS/WT.]]/1000</f>
        <v>1.4630000000000001</v>
      </c>
      <c r="F358" s="2" t="s">
        <v>819</v>
      </c>
      <c r="G358" s="6" t="s">
        <v>11</v>
      </c>
      <c r="H358" s="70">
        <v>50</v>
      </c>
      <c r="I358" s="72">
        <f>FastenersPriceList[[#This Row],[Quantity (kg)]]/FastenersPriceList[[#This Row],[SINGLE PC. WT.]]</f>
        <v>34.176349965823647</v>
      </c>
      <c r="J358" s="3">
        <v>110</v>
      </c>
      <c r="K358" s="3">
        <f>FastenersPriceList[[#This Row],[1000 PCS/WT.]]*FastenersPriceList[[#This Row],[Rate / PER kg (₹)]]</f>
        <v>160930</v>
      </c>
      <c r="L358" s="4">
        <f>FastenersPriceList[[#This Row],[Rate / PER kg (₹)]]*FastenersPriceList[[#This Row],[Quantity (kg)]]</f>
        <v>5500</v>
      </c>
      <c r="M358" s="4"/>
    </row>
    <row r="359" spans="1:13" ht="22.05" customHeight="1" x14ac:dyDescent="0.3">
      <c r="A359" s="2" t="s">
        <v>1262</v>
      </c>
      <c r="B359" s="12" t="s">
        <v>8</v>
      </c>
      <c r="C359" s="12" t="s">
        <v>9</v>
      </c>
      <c r="D359" s="2">
        <v>1530</v>
      </c>
      <c r="E359" s="2">
        <f>FastenersPriceList[[#This Row],[1000 PCS/WT.]]/1000</f>
        <v>1.53</v>
      </c>
      <c r="F359" s="2" t="s">
        <v>820</v>
      </c>
      <c r="G359" s="6" t="s">
        <v>11</v>
      </c>
      <c r="H359" s="70">
        <v>50</v>
      </c>
      <c r="I359" s="72">
        <f>FastenersPriceList[[#This Row],[Quantity (kg)]]/FastenersPriceList[[#This Row],[SINGLE PC. WT.]]</f>
        <v>32.679738562091501</v>
      </c>
      <c r="J359" s="3">
        <v>115</v>
      </c>
      <c r="K359" s="3">
        <f>FastenersPriceList[[#This Row],[1000 PCS/WT.]]*FastenersPriceList[[#This Row],[Rate / PER kg (₹)]]</f>
        <v>175950</v>
      </c>
      <c r="L359" s="4">
        <f>FastenersPriceList[[#This Row],[Rate / PER kg (₹)]]*FastenersPriceList[[#This Row],[Quantity (kg)]]</f>
        <v>5750</v>
      </c>
      <c r="M359" s="4"/>
    </row>
    <row r="360" spans="1:13" ht="22.05" customHeight="1" x14ac:dyDescent="0.3">
      <c r="A360" s="2" t="s">
        <v>1263</v>
      </c>
      <c r="B360" s="12" t="s">
        <v>8</v>
      </c>
      <c r="C360" s="12" t="s">
        <v>9</v>
      </c>
      <c r="D360" s="2">
        <v>1620</v>
      </c>
      <c r="E360" s="2">
        <f>FastenersPriceList[[#This Row],[1000 PCS/WT.]]/1000</f>
        <v>1.62</v>
      </c>
      <c r="F360" s="2" t="s">
        <v>821</v>
      </c>
      <c r="G360" s="6" t="s">
        <v>11</v>
      </c>
      <c r="H360" s="70">
        <v>50</v>
      </c>
      <c r="I360" s="72">
        <f>FastenersPriceList[[#This Row],[Quantity (kg)]]/FastenersPriceList[[#This Row],[SINGLE PC. WT.]]</f>
        <v>30.864197530864196</v>
      </c>
      <c r="J360" s="3">
        <v>115</v>
      </c>
      <c r="K360" s="3">
        <f>FastenersPriceList[[#This Row],[1000 PCS/WT.]]*FastenersPriceList[[#This Row],[Rate / PER kg (₹)]]</f>
        <v>186300</v>
      </c>
      <c r="L360" s="4">
        <f>FastenersPriceList[[#This Row],[Rate / PER kg (₹)]]*FastenersPriceList[[#This Row],[Quantity (kg)]]</f>
        <v>5750</v>
      </c>
      <c r="M360" s="4"/>
    </row>
    <row r="361" spans="1:13" ht="22.05" customHeight="1" x14ac:dyDescent="0.3">
      <c r="A361" s="2" t="s">
        <v>1264</v>
      </c>
      <c r="B361" s="12" t="s">
        <v>8</v>
      </c>
      <c r="C361" s="12" t="s">
        <v>9</v>
      </c>
      <c r="D361" s="2">
        <v>1710</v>
      </c>
      <c r="E361" s="2">
        <f>FastenersPriceList[[#This Row],[1000 PCS/WT.]]/1000</f>
        <v>1.71</v>
      </c>
      <c r="F361" s="2" t="s">
        <v>822</v>
      </c>
      <c r="G361" s="6" t="s">
        <v>11</v>
      </c>
      <c r="H361" s="70">
        <v>50</v>
      </c>
      <c r="I361" s="72">
        <f>FastenersPriceList[[#This Row],[Quantity (kg)]]/FastenersPriceList[[#This Row],[SINGLE PC. WT.]]</f>
        <v>29.239766081871345</v>
      </c>
      <c r="J361" s="3">
        <v>115</v>
      </c>
      <c r="K361" s="3">
        <f>FastenersPriceList[[#This Row],[1000 PCS/WT.]]*FastenersPriceList[[#This Row],[Rate / PER kg (₹)]]</f>
        <v>196650</v>
      </c>
      <c r="L361" s="4">
        <f>FastenersPriceList[[#This Row],[Rate / PER kg (₹)]]*FastenersPriceList[[#This Row],[Quantity (kg)]]</f>
        <v>5750</v>
      </c>
      <c r="M361" s="4"/>
    </row>
    <row r="362" spans="1:13" ht="22.05" customHeight="1" x14ac:dyDescent="0.3">
      <c r="A362" s="2" t="s">
        <v>1265</v>
      </c>
      <c r="B362" s="12" t="s">
        <v>8</v>
      </c>
      <c r="C362" s="12" t="s">
        <v>9</v>
      </c>
      <c r="D362" s="2">
        <v>1800</v>
      </c>
      <c r="E362" s="2">
        <f>FastenersPriceList[[#This Row],[1000 PCS/WT.]]/1000</f>
        <v>1.8</v>
      </c>
      <c r="F362" s="2" t="s">
        <v>823</v>
      </c>
      <c r="G362" s="6" t="s">
        <v>11</v>
      </c>
      <c r="H362" s="70">
        <v>50</v>
      </c>
      <c r="I362" s="72">
        <f>FastenersPriceList[[#This Row],[Quantity (kg)]]/FastenersPriceList[[#This Row],[SINGLE PC. WT.]]</f>
        <v>27.777777777777779</v>
      </c>
      <c r="J362" s="3">
        <v>115</v>
      </c>
      <c r="K362" s="3">
        <f>FastenersPriceList[[#This Row],[1000 PCS/WT.]]*FastenersPriceList[[#This Row],[Rate / PER kg (₹)]]</f>
        <v>207000</v>
      </c>
      <c r="L362" s="4">
        <f>FastenersPriceList[[#This Row],[Rate / PER kg (₹)]]*FastenersPriceList[[#This Row],[Quantity (kg)]]</f>
        <v>5750</v>
      </c>
      <c r="M362" s="4"/>
    </row>
    <row r="363" spans="1:13" ht="22.05" customHeight="1" x14ac:dyDescent="0.3">
      <c r="A363" s="2" t="s">
        <v>1266</v>
      </c>
      <c r="B363" s="12" t="s">
        <v>8</v>
      </c>
      <c r="C363" s="12" t="s">
        <v>9</v>
      </c>
      <c r="D363" s="2">
        <v>1890</v>
      </c>
      <c r="E363" s="2">
        <f>FastenersPriceList[[#This Row],[1000 PCS/WT.]]/1000</f>
        <v>1.89</v>
      </c>
      <c r="F363" s="2" t="s">
        <v>824</v>
      </c>
      <c r="G363" s="6" t="s">
        <v>11</v>
      </c>
      <c r="H363" s="70">
        <v>50</v>
      </c>
      <c r="I363" s="72">
        <f>FastenersPriceList[[#This Row],[Quantity (kg)]]/FastenersPriceList[[#This Row],[SINGLE PC. WT.]]</f>
        <v>26.455026455026456</v>
      </c>
      <c r="J363" s="3">
        <v>115</v>
      </c>
      <c r="K363" s="3">
        <f>FastenersPriceList[[#This Row],[1000 PCS/WT.]]*FastenersPriceList[[#This Row],[Rate / PER kg (₹)]]</f>
        <v>217350</v>
      </c>
      <c r="L363" s="4">
        <f>FastenersPriceList[[#This Row],[Rate / PER kg (₹)]]*FastenersPriceList[[#This Row],[Quantity (kg)]]</f>
        <v>5750</v>
      </c>
      <c r="M363" s="4"/>
    </row>
    <row r="364" spans="1:13" ht="22.05" customHeight="1" x14ac:dyDescent="0.3">
      <c r="A364" s="2" t="s">
        <v>1267</v>
      </c>
      <c r="B364" s="12" t="s">
        <v>8</v>
      </c>
      <c r="C364" s="12" t="s">
        <v>9</v>
      </c>
      <c r="D364" s="2">
        <v>1980</v>
      </c>
      <c r="E364" s="2">
        <f>FastenersPriceList[[#This Row],[1000 PCS/WT.]]/1000</f>
        <v>1.98</v>
      </c>
      <c r="F364" s="2" t="s">
        <v>825</v>
      </c>
      <c r="G364" s="6" t="s">
        <v>11</v>
      </c>
      <c r="H364" s="70">
        <v>50</v>
      </c>
      <c r="I364" s="72">
        <f>FastenersPriceList[[#This Row],[Quantity (kg)]]/FastenersPriceList[[#This Row],[SINGLE PC. WT.]]</f>
        <v>25.252525252525253</v>
      </c>
      <c r="J364" s="3">
        <v>115</v>
      </c>
      <c r="K364" s="3">
        <f>FastenersPriceList[[#This Row],[1000 PCS/WT.]]*FastenersPriceList[[#This Row],[Rate / PER kg (₹)]]</f>
        <v>227700</v>
      </c>
      <c r="L364" s="4">
        <f>FastenersPriceList[[#This Row],[Rate / PER kg (₹)]]*FastenersPriceList[[#This Row],[Quantity (kg)]]</f>
        <v>5750</v>
      </c>
      <c r="M364" s="4"/>
    </row>
    <row r="365" spans="1:13" ht="22.05" customHeight="1" x14ac:dyDescent="0.3">
      <c r="A365" s="2" t="s">
        <v>1268</v>
      </c>
      <c r="B365" s="12" t="s">
        <v>8</v>
      </c>
      <c r="C365" s="12" t="s">
        <v>9</v>
      </c>
      <c r="D365" s="2">
        <v>2070</v>
      </c>
      <c r="E365" s="2">
        <f>FastenersPriceList[[#This Row],[1000 PCS/WT.]]/1000</f>
        <v>2.0699999999999998</v>
      </c>
      <c r="F365" s="2" t="s">
        <v>826</v>
      </c>
      <c r="G365" s="6" t="s">
        <v>11</v>
      </c>
      <c r="H365" s="70">
        <v>50</v>
      </c>
      <c r="I365" s="72">
        <f>FastenersPriceList[[#This Row],[Quantity (kg)]]/FastenersPriceList[[#This Row],[SINGLE PC. WT.]]</f>
        <v>24.154589371980677</v>
      </c>
      <c r="J365" s="3">
        <v>115</v>
      </c>
      <c r="K365" s="3">
        <f>FastenersPriceList[[#This Row],[1000 PCS/WT.]]*FastenersPriceList[[#This Row],[Rate / PER kg (₹)]]</f>
        <v>238050</v>
      </c>
      <c r="L365" s="4">
        <f>FastenersPriceList[[#This Row],[Rate / PER kg (₹)]]*FastenersPriceList[[#This Row],[Quantity (kg)]]</f>
        <v>5750</v>
      </c>
      <c r="M365" s="4"/>
    </row>
    <row r="366" spans="1:13" ht="22.05" customHeight="1" x14ac:dyDescent="0.3">
      <c r="A366" s="2" t="s">
        <v>1269</v>
      </c>
      <c r="B366" s="12" t="s">
        <v>8</v>
      </c>
      <c r="C366" s="12" t="s">
        <v>9</v>
      </c>
      <c r="D366" s="2">
        <v>2160</v>
      </c>
      <c r="E366" s="2">
        <f>FastenersPriceList[[#This Row],[1000 PCS/WT.]]/1000</f>
        <v>2.16</v>
      </c>
      <c r="F366" s="2" t="s">
        <v>827</v>
      </c>
      <c r="G366" s="6" t="s">
        <v>11</v>
      </c>
      <c r="H366" s="70">
        <v>50</v>
      </c>
      <c r="I366" s="72">
        <f>FastenersPriceList[[#This Row],[Quantity (kg)]]/FastenersPriceList[[#This Row],[SINGLE PC. WT.]]</f>
        <v>23.148148148148145</v>
      </c>
      <c r="J366" s="3">
        <v>115</v>
      </c>
      <c r="K366" s="3">
        <f>FastenersPriceList[[#This Row],[1000 PCS/WT.]]*FastenersPriceList[[#This Row],[Rate / PER kg (₹)]]</f>
        <v>248400</v>
      </c>
      <c r="L366" s="4">
        <f>FastenersPriceList[[#This Row],[Rate / PER kg (₹)]]*FastenersPriceList[[#This Row],[Quantity (kg)]]</f>
        <v>5750</v>
      </c>
      <c r="M366" s="4"/>
    </row>
    <row r="367" spans="1:13" ht="22.05" customHeight="1" x14ac:dyDescent="0.3">
      <c r="A367" s="2" t="s">
        <v>1270</v>
      </c>
      <c r="B367" s="12" t="s">
        <v>8</v>
      </c>
      <c r="C367" s="12" t="s">
        <v>9</v>
      </c>
      <c r="D367" s="2">
        <v>2250</v>
      </c>
      <c r="E367" s="2">
        <f>FastenersPriceList[[#This Row],[1000 PCS/WT.]]/1000</f>
        <v>2.25</v>
      </c>
      <c r="F367" s="2" t="s">
        <v>828</v>
      </c>
      <c r="G367" s="6" t="s">
        <v>11</v>
      </c>
      <c r="H367" s="70">
        <v>50</v>
      </c>
      <c r="I367" s="72">
        <f>FastenersPriceList[[#This Row],[Quantity (kg)]]/FastenersPriceList[[#This Row],[SINGLE PC. WT.]]</f>
        <v>22.222222222222221</v>
      </c>
      <c r="J367" s="3">
        <v>115</v>
      </c>
      <c r="K367" s="3">
        <f>FastenersPriceList[[#This Row],[1000 PCS/WT.]]*FastenersPriceList[[#This Row],[Rate / PER kg (₹)]]</f>
        <v>258750</v>
      </c>
      <c r="L367" s="4">
        <f>FastenersPriceList[[#This Row],[Rate / PER kg (₹)]]*FastenersPriceList[[#This Row],[Quantity (kg)]]</f>
        <v>5750</v>
      </c>
      <c r="M367" s="4"/>
    </row>
    <row r="368" spans="1:13" ht="22.05" customHeight="1" x14ac:dyDescent="0.3">
      <c r="A368" s="2" t="s">
        <v>1271</v>
      </c>
      <c r="B368" s="12" t="s">
        <v>8</v>
      </c>
      <c r="C368" s="12" t="s">
        <v>9</v>
      </c>
      <c r="D368" s="2">
        <v>2340</v>
      </c>
      <c r="E368" s="2">
        <f>FastenersPriceList[[#This Row],[1000 PCS/WT.]]/1000</f>
        <v>2.34</v>
      </c>
      <c r="F368" s="2" t="s">
        <v>829</v>
      </c>
      <c r="G368" s="6" t="s">
        <v>11</v>
      </c>
      <c r="H368" s="70">
        <v>50</v>
      </c>
      <c r="I368" s="72">
        <f>FastenersPriceList[[#This Row],[Quantity (kg)]]/FastenersPriceList[[#This Row],[SINGLE PC. WT.]]</f>
        <v>21.36752136752137</v>
      </c>
      <c r="J368" s="3">
        <v>115</v>
      </c>
      <c r="K368" s="3">
        <f>FastenersPriceList[[#This Row],[1000 PCS/WT.]]*FastenersPriceList[[#This Row],[Rate / PER kg (₹)]]</f>
        <v>269100</v>
      </c>
      <c r="L368" s="4">
        <f>FastenersPriceList[[#This Row],[Rate / PER kg (₹)]]*FastenersPriceList[[#This Row],[Quantity (kg)]]</f>
        <v>5750</v>
      </c>
      <c r="M368" s="4"/>
    </row>
    <row r="369" spans="1:13" ht="22.05" customHeight="1" x14ac:dyDescent="0.3">
      <c r="A369" s="2" t="s">
        <v>1272</v>
      </c>
      <c r="B369" s="12" t="s">
        <v>8</v>
      </c>
      <c r="C369" s="12" t="s">
        <v>9</v>
      </c>
      <c r="D369" s="2">
        <v>2430</v>
      </c>
      <c r="E369" s="2">
        <f>FastenersPriceList[[#This Row],[1000 PCS/WT.]]/1000</f>
        <v>2.4300000000000002</v>
      </c>
      <c r="F369" s="2" t="s">
        <v>830</v>
      </c>
      <c r="G369" s="6" t="s">
        <v>11</v>
      </c>
      <c r="H369" s="70">
        <v>50</v>
      </c>
      <c r="I369" s="72">
        <f>FastenersPriceList[[#This Row],[Quantity (kg)]]/FastenersPriceList[[#This Row],[SINGLE PC. WT.]]</f>
        <v>20.576131687242796</v>
      </c>
      <c r="J369" s="3">
        <v>120</v>
      </c>
      <c r="K369" s="3">
        <f>FastenersPriceList[[#This Row],[1000 PCS/WT.]]*FastenersPriceList[[#This Row],[Rate / PER kg (₹)]]</f>
        <v>291600</v>
      </c>
      <c r="L369" s="4">
        <f>FastenersPriceList[[#This Row],[Rate / PER kg (₹)]]*FastenersPriceList[[#This Row],[Quantity (kg)]]</f>
        <v>6000</v>
      </c>
      <c r="M369" s="4"/>
    </row>
    <row r="370" spans="1:13" ht="22.05" customHeight="1" x14ac:dyDescent="0.3">
      <c r="A370" s="2" t="s">
        <v>1273</v>
      </c>
      <c r="B370" s="12" t="s">
        <v>8</v>
      </c>
      <c r="C370" s="12" t="s">
        <v>9</v>
      </c>
      <c r="D370" s="2">
        <v>2520</v>
      </c>
      <c r="E370" s="2">
        <f>FastenersPriceList[[#This Row],[1000 PCS/WT.]]/1000</f>
        <v>2.52</v>
      </c>
      <c r="F370" s="2" t="s">
        <v>831</v>
      </c>
      <c r="G370" s="6" t="s">
        <v>11</v>
      </c>
      <c r="H370" s="70">
        <v>50</v>
      </c>
      <c r="I370" s="72">
        <f>FastenersPriceList[[#This Row],[Quantity (kg)]]/FastenersPriceList[[#This Row],[SINGLE PC. WT.]]</f>
        <v>19.841269841269842</v>
      </c>
      <c r="J370" s="3">
        <v>120</v>
      </c>
      <c r="K370" s="3">
        <f>FastenersPriceList[[#This Row],[1000 PCS/WT.]]*FastenersPriceList[[#This Row],[Rate / PER kg (₹)]]</f>
        <v>302400</v>
      </c>
      <c r="L370" s="4">
        <f>FastenersPriceList[[#This Row],[Rate / PER kg (₹)]]*FastenersPriceList[[#This Row],[Quantity (kg)]]</f>
        <v>6000</v>
      </c>
      <c r="M370" s="4"/>
    </row>
    <row r="371" spans="1:13" ht="22.05" customHeight="1" x14ac:dyDescent="0.3">
      <c r="A371" s="2" t="s">
        <v>1274</v>
      </c>
      <c r="B371" s="12" t="s">
        <v>8</v>
      </c>
      <c r="C371" s="12" t="s">
        <v>9</v>
      </c>
      <c r="D371" s="2">
        <v>2610</v>
      </c>
      <c r="E371" s="2">
        <f>FastenersPriceList[[#This Row],[1000 PCS/WT.]]/1000</f>
        <v>2.61</v>
      </c>
      <c r="F371" s="2" t="s">
        <v>832</v>
      </c>
      <c r="G371" s="6" t="s">
        <v>11</v>
      </c>
      <c r="H371" s="70">
        <v>50</v>
      </c>
      <c r="I371" s="72">
        <f>FastenersPriceList[[#This Row],[Quantity (kg)]]/FastenersPriceList[[#This Row],[SINGLE PC. WT.]]</f>
        <v>19.157088122605366</v>
      </c>
      <c r="J371" s="3">
        <v>120</v>
      </c>
      <c r="K371" s="3">
        <f>FastenersPriceList[[#This Row],[1000 PCS/WT.]]*FastenersPriceList[[#This Row],[Rate / PER kg (₹)]]</f>
        <v>313200</v>
      </c>
      <c r="L371" s="4">
        <f>FastenersPriceList[[#This Row],[Rate / PER kg (₹)]]*FastenersPriceList[[#This Row],[Quantity (kg)]]</f>
        <v>6000</v>
      </c>
      <c r="M371" s="4"/>
    </row>
    <row r="372" spans="1:13" ht="22.05" customHeight="1" x14ac:dyDescent="0.3">
      <c r="A372" s="2" t="s">
        <v>1275</v>
      </c>
      <c r="B372" s="12" t="s">
        <v>8</v>
      </c>
      <c r="C372" s="12" t="s">
        <v>9</v>
      </c>
      <c r="D372" s="2">
        <v>2700</v>
      </c>
      <c r="E372" s="2">
        <f>FastenersPriceList[[#This Row],[1000 PCS/WT.]]/1000</f>
        <v>2.7</v>
      </c>
      <c r="F372" s="2" t="s">
        <v>833</v>
      </c>
      <c r="G372" s="6" t="s">
        <v>11</v>
      </c>
      <c r="H372" s="70">
        <v>50</v>
      </c>
      <c r="I372" s="72">
        <f>FastenersPriceList[[#This Row],[Quantity (kg)]]/FastenersPriceList[[#This Row],[SINGLE PC. WT.]]</f>
        <v>18.518518518518519</v>
      </c>
      <c r="J372" s="3">
        <v>120</v>
      </c>
      <c r="K372" s="3">
        <f>FastenersPriceList[[#This Row],[1000 PCS/WT.]]*FastenersPriceList[[#This Row],[Rate / PER kg (₹)]]</f>
        <v>324000</v>
      </c>
      <c r="L372" s="4">
        <f>FastenersPriceList[[#This Row],[Rate / PER kg (₹)]]*FastenersPriceList[[#This Row],[Quantity (kg)]]</f>
        <v>6000</v>
      </c>
      <c r="M372" s="4"/>
    </row>
    <row r="373" spans="1:13" ht="22.05" customHeight="1" x14ac:dyDescent="0.3">
      <c r="A373" s="2" t="s">
        <v>1276</v>
      </c>
      <c r="B373" s="12" t="s">
        <v>8</v>
      </c>
      <c r="C373" s="12" t="s">
        <v>9</v>
      </c>
      <c r="D373" s="2">
        <v>2790</v>
      </c>
      <c r="E373" s="2">
        <f>FastenersPriceList[[#This Row],[1000 PCS/WT.]]/1000</f>
        <v>2.79</v>
      </c>
      <c r="F373" s="2" t="s">
        <v>834</v>
      </c>
      <c r="G373" s="6" t="s">
        <v>11</v>
      </c>
      <c r="H373" s="70">
        <v>50</v>
      </c>
      <c r="I373" s="72">
        <f>FastenersPriceList[[#This Row],[Quantity (kg)]]/FastenersPriceList[[#This Row],[SINGLE PC. WT.]]</f>
        <v>17.921146953405017</v>
      </c>
      <c r="J373" s="3">
        <v>120</v>
      </c>
      <c r="K373" s="3">
        <f>FastenersPriceList[[#This Row],[1000 PCS/WT.]]*FastenersPriceList[[#This Row],[Rate / PER kg (₹)]]</f>
        <v>334800</v>
      </c>
      <c r="L373" s="4">
        <f>FastenersPriceList[[#This Row],[Rate / PER kg (₹)]]*FastenersPriceList[[#This Row],[Quantity (kg)]]</f>
        <v>6000</v>
      </c>
      <c r="M373" s="4"/>
    </row>
    <row r="374" spans="1:13" ht="22.05" customHeight="1" x14ac:dyDescent="0.3">
      <c r="A374" s="2" t="s">
        <v>1277</v>
      </c>
      <c r="B374" s="12" t="s">
        <v>8</v>
      </c>
      <c r="C374" s="12" t="s">
        <v>9</v>
      </c>
      <c r="D374" s="2">
        <v>2880</v>
      </c>
      <c r="E374" s="2">
        <f>FastenersPriceList[[#This Row],[1000 PCS/WT.]]/1000</f>
        <v>2.88</v>
      </c>
      <c r="F374" s="2" t="s">
        <v>835</v>
      </c>
      <c r="G374" s="6" t="s">
        <v>11</v>
      </c>
      <c r="H374" s="70">
        <v>50</v>
      </c>
      <c r="I374" s="72">
        <f>FastenersPriceList[[#This Row],[Quantity (kg)]]/FastenersPriceList[[#This Row],[SINGLE PC. WT.]]</f>
        <v>17.361111111111111</v>
      </c>
      <c r="J374" s="3">
        <v>120</v>
      </c>
      <c r="K374" s="3">
        <f>FastenersPriceList[[#This Row],[1000 PCS/WT.]]*FastenersPriceList[[#This Row],[Rate / PER kg (₹)]]</f>
        <v>345600</v>
      </c>
      <c r="L374" s="4">
        <f>FastenersPriceList[[#This Row],[Rate / PER kg (₹)]]*FastenersPriceList[[#This Row],[Quantity (kg)]]</f>
        <v>6000</v>
      </c>
      <c r="M374" s="4"/>
    </row>
    <row r="375" spans="1:13" ht="22.05" customHeight="1" x14ac:dyDescent="0.3">
      <c r="A375" s="2" t="s">
        <v>1278</v>
      </c>
      <c r="B375" s="12" t="s">
        <v>8</v>
      </c>
      <c r="C375" s="12" t="s">
        <v>9</v>
      </c>
      <c r="D375" s="2">
        <v>2970</v>
      </c>
      <c r="E375" s="2">
        <f>FastenersPriceList[[#This Row],[1000 PCS/WT.]]/1000</f>
        <v>2.97</v>
      </c>
      <c r="F375" s="2" t="s">
        <v>836</v>
      </c>
      <c r="G375" s="6" t="s">
        <v>11</v>
      </c>
      <c r="H375" s="70">
        <v>50</v>
      </c>
      <c r="I375" s="72">
        <f>FastenersPriceList[[#This Row],[Quantity (kg)]]/FastenersPriceList[[#This Row],[SINGLE PC. WT.]]</f>
        <v>16.835016835016834</v>
      </c>
      <c r="J375" s="3">
        <v>120</v>
      </c>
      <c r="K375" s="3">
        <f>FastenersPriceList[[#This Row],[1000 PCS/WT.]]*FastenersPriceList[[#This Row],[Rate / PER kg (₹)]]</f>
        <v>356400</v>
      </c>
      <c r="L375" s="4">
        <f>FastenersPriceList[[#This Row],[Rate / PER kg (₹)]]*FastenersPriceList[[#This Row],[Quantity (kg)]]</f>
        <v>6000</v>
      </c>
      <c r="M375" s="4"/>
    </row>
    <row r="376" spans="1:13" ht="22.05" customHeight="1" x14ac:dyDescent="0.3">
      <c r="A376" s="2" t="s">
        <v>1279</v>
      </c>
      <c r="B376" s="12" t="s">
        <v>8</v>
      </c>
      <c r="C376" s="12" t="s">
        <v>9</v>
      </c>
      <c r="D376" s="2">
        <v>3060</v>
      </c>
      <c r="E376" s="2">
        <f>FastenersPriceList[[#This Row],[1000 PCS/WT.]]/1000</f>
        <v>3.06</v>
      </c>
      <c r="F376" s="2" t="s">
        <v>837</v>
      </c>
      <c r="G376" s="6" t="s">
        <v>11</v>
      </c>
      <c r="H376" s="70">
        <v>50</v>
      </c>
      <c r="I376" s="72">
        <f>FastenersPriceList[[#This Row],[Quantity (kg)]]/FastenersPriceList[[#This Row],[SINGLE PC. WT.]]</f>
        <v>16.33986928104575</v>
      </c>
      <c r="J376" s="3">
        <v>120</v>
      </c>
      <c r="K376" s="3">
        <f>FastenersPriceList[[#This Row],[1000 PCS/WT.]]*FastenersPriceList[[#This Row],[Rate / PER kg (₹)]]</f>
        <v>367200</v>
      </c>
      <c r="L376" s="4">
        <f>FastenersPriceList[[#This Row],[Rate / PER kg (₹)]]*FastenersPriceList[[#This Row],[Quantity (kg)]]</f>
        <v>6000</v>
      </c>
      <c r="M376" s="4"/>
    </row>
    <row r="377" spans="1:13" ht="22.05" customHeight="1" x14ac:dyDescent="0.3">
      <c r="A377" s="2" t="s">
        <v>1280</v>
      </c>
      <c r="B377" s="12" t="s">
        <v>8</v>
      </c>
      <c r="C377" s="12" t="s">
        <v>9</v>
      </c>
      <c r="D377" s="2">
        <v>3150</v>
      </c>
      <c r="E377" s="2">
        <f>FastenersPriceList[[#This Row],[1000 PCS/WT.]]/1000</f>
        <v>3.15</v>
      </c>
      <c r="F377" s="2" t="s">
        <v>838</v>
      </c>
      <c r="G377" s="6" t="s">
        <v>11</v>
      </c>
      <c r="H377" s="70">
        <v>50</v>
      </c>
      <c r="I377" s="72">
        <f>FastenersPriceList[[#This Row],[Quantity (kg)]]/FastenersPriceList[[#This Row],[SINGLE PC. WT.]]</f>
        <v>15.873015873015873</v>
      </c>
      <c r="J377" s="3">
        <v>120</v>
      </c>
      <c r="K377" s="3">
        <f>FastenersPriceList[[#This Row],[1000 PCS/WT.]]*FastenersPriceList[[#This Row],[Rate / PER kg (₹)]]</f>
        <v>378000</v>
      </c>
      <c r="L377" s="4">
        <f>FastenersPriceList[[#This Row],[Rate / PER kg (₹)]]*FastenersPriceList[[#This Row],[Quantity (kg)]]</f>
        <v>6000</v>
      </c>
      <c r="M377" s="4"/>
    </row>
    <row r="378" spans="1:13" ht="22.05" customHeight="1" x14ac:dyDescent="0.3">
      <c r="A378" s="2" t="s">
        <v>1281</v>
      </c>
      <c r="B378" s="12" t="s">
        <v>8</v>
      </c>
      <c r="C378" s="12" t="s">
        <v>9</v>
      </c>
      <c r="D378" s="2">
        <v>3240</v>
      </c>
      <c r="E378" s="2">
        <f>FastenersPriceList[[#This Row],[1000 PCS/WT.]]/1000</f>
        <v>3.24</v>
      </c>
      <c r="F378" s="2" t="s">
        <v>839</v>
      </c>
      <c r="G378" s="6" t="s">
        <v>11</v>
      </c>
      <c r="H378" s="70">
        <v>50</v>
      </c>
      <c r="I378" s="72">
        <f>FastenersPriceList[[#This Row],[Quantity (kg)]]/FastenersPriceList[[#This Row],[SINGLE PC. WT.]]</f>
        <v>15.432098765432098</v>
      </c>
      <c r="J378" s="3">
        <v>120</v>
      </c>
      <c r="K378" s="3">
        <f>FastenersPriceList[[#This Row],[1000 PCS/WT.]]*FastenersPriceList[[#This Row],[Rate / PER kg (₹)]]</f>
        <v>388800</v>
      </c>
      <c r="L378" s="4">
        <f>FastenersPriceList[[#This Row],[Rate / PER kg (₹)]]*FastenersPriceList[[#This Row],[Quantity (kg)]]</f>
        <v>6000</v>
      </c>
      <c r="M378" s="4"/>
    </row>
    <row r="379" spans="1:13" ht="22.05" customHeight="1" x14ac:dyDescent="0.3">
      <c r="A379" s="2" t="s">
        <v>1098</v>
      </c>
      <c r="B379" s="12" t="s">
        <v>8</v>
      </c>
      <c r="C379" s="12" t="s">
        <v>9</v>
      </c>
      <c r="D379" s="2">
        <v>1390</v>
      </c>
      <c r="E379" s="2">
        <f>FastenersPriceList[[#This Row],[1000 PCS/WT.]]/1000</f>
        <v>1.39</v>
      </c>
      <c r="F379" s="2" t="s">
        <v>840</v>
      </c>
      <c r="G379" s="6" t="s">
        <v>11</v>
      </c>
      <c r="H379" s="70">
        <v>50</v>
      </c>
      <c r="I379" s="72">
        <f>FastenersPriceList[[#This Row],[Quantity (kg)]]/FastenersPriceList[[#This Row],[SINGLE PC. WT.]]</f>
        <v>35.971223021582738</v>
      </c>
      <c r="J379" s="3">
        <v>115</v>
      </c>
      <c r="K379" s="3">
        <f>FastenersPriceList[[#This Row],[1000 PCS/WT.]]*FastenersPriceList[[#This Row],[Rate / PER kg (₹)]]</f>
        <v>159850</v>
      </c>
      <c r="L379" s="4">
        <f>FastenersPriceList[[#This Row],[Rate / PER kg (₹)]]*FastenersPriceList[[#This Row],[Quantity (kg)]]</f>
        <v>5750</v>
      </c>
      <c r="M379" s="4"/>
    </row>
    <row r="380" spans="1:13" ht="22.05" customHeight="1" x14ac:dyDescent="0.3">
      <c r="A380" s="2" t="s">
        <v>1099</v>
      </c>
      <c r="B380" s="12" t="s">
        <v>8</v>
      </c>
      <c r="C380" s="12" t="s">
        <v>9</v>
      </c>
      <c r="D380" s="2">
        <v>1445</v>
      </c>
      <c r="E380" s="2">
        <f>FastenersPriceList[[#This Row],[1000 PCS/WT.]]/1000</f>
        <v>1.4450000000000001</v>
      </c>
      <c r="F380" s="2" t="s">
        <v>841</v>
      </c>
      <c r="G380" s="6" t="s">
        <v>11</v>
      </c>
      <c r="H380" s="70">
        <v>50</v>
      </c>
      <c r="I380" s="72">
        <f>FastenersPriceList[[#This Row],[Quantity (kg)]]/FastenersPriceList[[#This Row],[SINGLE PC. WT.]]</f>
        <v>34.602076124567475</v>
      </c>
      <c r="J380" s="3">
        <v>115</v>
      </c>
      <c r="K380" s="3">
        <f>FastenersPriceList[[#This Row],[1000 PCS/WT.]]*FastenersPriceList[[#This Row],[Rate / PER kg (₹)]]</f>
        <v>166175</v>
      </c>
      <c r="L380" s="4">
        <f>FastenersPriceList[[#This Row],[Rate / PER kg (₹)]]*FastenersPriceList[[#This Row],[Quantity (kg)]]</f>
        <v>5750</v>
      </c>
      <c r="M380" s="4"/>
    </row>
    <row r="381" spans="1:13" ht="22.05" customHeight="1" x14ac:dyDescent="0.3">
      <c r="A381" s="2" t="s">
        <v>1100</v>
      </c>
      <c r="B381" s="12" t="s">
        <v>8</v>
      </c>
      <c r="C381" s="12" t="s">
        <v>9</v>
      </c>
      <c r="D381" s="2">
        <v>1500</v>
      </c>
      <c r="E381" s="2">
        <f>FastenersPriceList[[#This Row],[1000 PCS/WT.]]/1000</f>
        <v>1.5</v>
      </c>
      <c r="F381" s="2" t="s">
        <v>842</v>
      </c>
      <c r="G381" s="6" t="s">
        <v>11</v>
      </c>
      <c r="H381" s="70">
        <v>50</v>
      </c>
      <c r="I381" s="72">
        <f>FastenersPriceList[[#This Row],[Quantity (kg)]]/FastenersPriceList[[#This Row],[SINGLE PC. WT.]]</f>
        <v>33.333333333333336</v>
      </c>
      <c r="J381" s="3">
        <v>115</v>
      </c>
      <c r="K381" s="3">
        <f>FastenersPriceList[[#This Row],[1000 PCS/WT.]]*FastenersPriceList[[#This Row],[Rate / PER kg (₹)]]</f>
        <v>172500</v>
      </c>
      <c r="L381" s="4">
        <f>FastenersPriceList[[#This Row],[Rate / PER kg (₹)]]*FastenersPriceList[[#This Row],[Quantity (kg)]]</f>
        <v>5750</v>
      </c>
      <c r="M381" s="4"/>
    </row>
    <row r="382" spans="1:13" ht="22.05" customHeight="1" x14ac:dyDescent="0.3">
      <c r="A382" s="2" t="s">
        <v>1101</v>
      </c>
      <c r="B382" s="12" t="s">
        <v>8</v>
      </c>
      <c r="C382" s="12" t="s">
        <v>9</v>
      </c>
      <c r="D382" s="2">
        <v>1555</v>
      </c>
      <c r="E382" s="2">
        <f>FastenersPriceList[[#This Row],[1000 PCS/WT.]]/1000</f>
        <v>1.5549999999999999</v>
      </c>
      <c r="F382" s="2" t="s">
        <v>843</v>
      </c>
      <c r="G382" s="6" t="s">
        <v>11</v>
      </c>
      <c r="H382" s="70">
        <v>50</v>
      </c>
      <c r="I382" s="72">
        <f>FastenersPriceList[[#This Row],[Quantity (kg)]]/FastenersPriceList[[#This Row],[SINGLE PC. WT.]]</f>
        <v>32.154340836012864</v>
      </c>
      <c r="J382" s="3">
        <v>115</v>
      </c>
      <c r="K382" s="3">
        <f>FastenersPriceList[[#This Row],[1000 PCS/WT.]]*FastenersPriceList[[#This Row],[Rate / PER kg (₹)]]</f>
        <v>178825</v>
      </c>
      <c r="L382" s="4">
        <f>FastenersPriceList[[#This Row],[Rate / PER kg (₹)]]*FastenersPriceList[[#This Row],[Quantity (kg)]]</f>
        <v>5750</v>
      </c>
      <c r="M382" s="4"/>
    </row>
    <row r="383" spans="1:13" ht="22.05" customHeight="1" x14ac:dyDescent="0.3">
      <c r="A383" s="2" t="s">
        <v>1102</v>
      </c>
      <c r="B383" s="12" t="s">
        <v>8</v>
      </c>
      <c r="C383" s="12" t="s">
        <v>9</v>
      </c>
      <c r="D383" s="2">
        <v>1610</v>
      </c>
      <c r="E383" s="2">
        <f>FastenersPriceList[[#This Row],[1000 PCS/WT.]]/1000</f>
        <v>1.61</v>
      </c>
      <c r="F383" s="2" t="s">
        <v>844</v>
      </c>
      <c r="G383" s="6" t="s">
        <v>11</v>
      </c>
      <c r="H383" s="70">
        <v>50</v>
      </c>
      <c r="I383" s="72">
        <f>FastenersPriceList[[#This Row],[Quantity (kg)]]/FastenersPriceList[[#This Row],[SINGLE PC. WT.]]</f>
        <v>31.05590062111801</v>
      </c>
      <c r="J383" s="3">
        <v>115</v>
      </c>
      <c r="K383" s="3">
        <f>FastenersPriceList[[#This Row],[1000 PCS/WT.]]*FastenersPriceList[[#This Row],[Rate / PER kg (₹)]]</f>
        <v>185150</v>
      </c>
      <c r="L383" s="4">
        <f>FastenersPriceList[[#This Row],[Rate / PER kg (₹)]]*FastenersPriceList[[#This Row],[Quantity (kg)]]</f>
        <v>5750</v>
      </c>
      <c r="M383" s="4"/>
    </row>
    <row r="384" spans="1:13" ht="22.05" customHeight="1" x14ac:dyDescent="0.3">
      <c r="A384" s="2" t="s">
        <v>1103</v>
      </c>
      <c r="B384" s="12" t="s">
        <v>8</v>
      </c>
      <c r="C384" s="12" t="s">
        <v>9</v>
      </c>
      <c r="D384" s="2">
        <v>1665</v>
      </c>
      <c r="E384" s="2">
        <f>FastenersPriceList[[#This Row],[1000 PCS/WT.]]/1000</f>
        <v>1.665</v>
      </c>
      <c r="F384" s="2" t="s">
        <v>845</v>
      </c>
      <c r="G384" s="6" t="s">
        <v>11</v>
      </c>
      <c r="H384" s="70">
        <v>50</v>
      </c>
      <c r="I384" s="72">
        <f>FastenersPriceList[[#This Row],[Quantity (kg)]]/FastenersPriceList[[#This Row],[SINGLE PC. WT.]]</f>
        <v>30.03003003003003</v>
      </c>
      <c r="J384" s="3">
        <v>115</v>
      </c>
      <c r="K384" s="3">
        <f>FastenersPriceList[[#This Row],[1000 PCS/WT.]]*FastenersPriceList[[#This Row],[Rate / PER kg (₹)]]</f>
        <v>191475</v>
      </c>
      <c r="L384" s="4">
        <f>FastenersPriceList[[#This Row],[Rate / PER kg (₹)]]*FastenersPriceList[[#This Row],[Quantity (kg)]]</f>
        <v>5750</v>
      </c>
      <c r="M384" s="4"/>
    </row>
    <row r="385" spans="1:13" ht="22.05" customHeight="1" x14ac:dyDescent="0.3">
      <c r="A385" s="2" t="s">
        <v>1282</v>
      </c>
      <c r="B385" s="12" t="s">
        <v>8</v>
      </c>
      <c r="C385" s="12" t="s">
        <v>9</v>
      </c>
      <c r="D385" s="2">
        <v>1720</v>
      </c>
      <c r="E385" s="2">
        <f>FastenersPriceList[[#This Row],[1000 PCS/WT.]]/1000</f>
        <v>1.72</v>
      </c>
      <c r="F385" s="2" t="s">
        <v>846</v>
      </c>
      <c r="G385" s="6" t="s">
        <v>11</v>
      </c>
      <c r="H385" s="70">
        <v>50</v>
      </c>
      <c r="I385" s="72">
        <f>FastenersPriceList[[#This Row],[Quantity (kg)]]/FastenersPriceList[[#This Row],[SINGLE PC. WT.]]</f>
        <v>29.069767441860467</v>
      </c>
      <c r="J385" s="3">
        <v>115</v>
      </c>
      <c r="K385" s="3">
        <f>FastenersPriceList[[#This Row],[1000 PCS/WT.]]*FastenersPriceList[[#This Row],[Rate / PER kg (₹)]]</f>
        <v>197800</v>
      </c>
      <c r="L385" s="4">
        <f>FastenersPriceList[[#This Row],[Rate / PER kg (₹)]]*FastenersPriceList[[#This Row],[Quantity (kg)]]</f>
        <v>5750</v>
      </c>
      <c r="M385" s="4"/>
    </row>
    <row r="386" spans="1:13" ht="22.05" customHeight="1" x14ac:dyDescent="0.3">
      <c r="A386" s="2" t="s">
        <v>1283</v>
      </c>
      <c r="B386" s="12" t="s">
        <v>8</v>
      </c>
      <c r="C386" s="12" t="s">
        <v>9</v>
      </c>
      <c r="D386" s="2">
        <v>1824</v>
      </c>
      <c r="E386" s="2">
        <f>FastenersPriceList[[#This Row],[1000 PCS/WT.]]/1000</f>
        <v>1.8240000000000001</v>
      </c>
      <c r="F386" s="2" t="s">
        <v>847</v>
      </c>
      <c r="G386" s="6" t="s">
        <v>11</v>
      </c>
      <c r="H386" s="70">
        <v>50</v>
      </c>
      <c r="I386" s="72">
        <f>FastenersPriceList[[#This Row],[Quantity (kg)]]/FastenersPriceList[[#This Row],[SINGLE PC. WT.]]</f>
        <v>27.412280701754383</v>
      </c>
      <c r="J386" s="3">
        <v>120</v>
      </c>
      <c r="K386" s="3">
        <f>FastenersPriceList[[#This Row],[1000 PCS/WT.]]*FastenersPriceList[[#This Row],[Rate / PER kg (₹)]]</f>
        <v>218880</v>
      </c>
      <c r="L386" s="4">
        <f>FastenersPriceList[[#This Row],[Rate / PER kg (₹)]]*FastenersPriceList[[#This Row],[Quantity (kg)]]</f>
        <v>6000</v>
      </c>
      <c r="M386" s="4"/>
    </row>
    <row r="387" spans="1:13" ht="22.05" customHeight="1" x14ac:dyDescent="0.3">
      <c r="A387" s="2" t="s">
        <v>1284</v>
      </c>
      <c r="B387" s="12" t="s">
        <v>8</v>
      </c>
      <c r="C387" s="12" t="s">
        <v>9</v>
      </c>
      <c r="D387" s="2">
        <v>1928</v>
      </c>
      <c r="E387" s="2">
        <f>FastenersPriceList[[#This Row],[1000 PCS/WT.]]/1000</f>
        <v>1.9279999999999999</v>
      </c>
      <c r="F387" s="2" t="s">
        <v>848</v>
      </c>
      <c r="G387" s="6" t="s">
        <v>11</v>
      </c>
      <c r="H387" s="70">
        <v>50</v>
      </c>
      <c r="I387" s="72">
        <f>FastenersPriceList[[#This Row],[Quantity (kg)]]/FastenersPriceList[[#This Row],[SINGLE PC. WT.]]</f>
        <v>25.933609958506224</v>
      </c>
      <c r="J387" s="3">
        <v>120</v>
      </c>
      <c r="K387" s="3">
        <f>FastenersPriceList[[#This Row],[1000 PCS/WT.]]*FastenersPriceList[[#This Row],[Rate / PER kg (₹)]]</f>
        <v>231360</v>
      </c>
      <c r="L387" s="4">
        <f>FastenersPriceList[[#This Row],[Rate / PER kg (₹)]]*FastenersPriceList[[#This Row],[Quantity (kg)]]</f>
        <v>6000</v>
      </c>
      <c r="M387" s="4"/>
    </row>
    <row r="388" spans="1:13" ht="22.05" customHeight="1" x14ac:dyDescent="0.3">
      <c r="A388" s="2" t="s">
        <v>1285</v>
      </c>
      <c r="B388" s="12" t="s">
        <v>8</v>
      </c>
      <c r="C388" s="12" t="s">
        <v>9</v>
      </c>
      <c r="D388" s="2">
        <v>2032</v>
      </c>
      <c r="E388" s="2">
        <f>FastenersPriceList[[#This Row],[1000 PCS/WT.]]/1000</f>
        <v>2.032</v>
      </c>
      <c r="F388" s="2" t="s">
        <v>849</v>
      </c>
      <c r="G388" s="6" t="s">
        <v>11</v>
      </c>
      <c r="H388" s="70">
        <v>50</v>
      </c>
      <c r="I388" s="72">
        <f>FastenersPriceList[[#This Row],[Quantity (kg)]]/FastenersPriceList[[#This Row],[SINGLE PC. WT.]]</f>
        <v>24.606299212598426</v>
      </c>
      <c r="J388" s="3">
        <v>120</v>
      </c>
      <c r="K388" s="3">
        <f>FastenersPriceList[[#This Row],[1000 PCS/WT.]]*FastenersPriceList[[#This Row],[Rate / PER kg (₹)]]</f>
        <v>243840</v>
      </c>
      <c r="L388" s="4">
        <f>FastenersPriceList[[#This Row],[Rate / PER kg (₹)]]*FastenersPriceList[[#This Row],[Quantity (kg)]]</f>
        <v>6000</v>
      </c>
      <c r="M388" s="4"/>
    </row>
    <row r="389" spans="1:13" ht="22.05" customHeight="1" x14ac:dyDescent="0.3">
      <c r="A389" s="2" t="s">
        <v>1286</v>
      </c>
      <c r="B389" s="12" t="s">
        <v>8</v>
      </c>
      <c r="C389" s="12" t="s">
        <v>9</v>
      </c>
      <c r="D389" s="2">
        <v>2136</v>
      </c>
      <c r="E389" s="2">
        <f>FastenersPriceList[[#This Row],[1000 PCS/WT.]]/1000</f>
        <v>2.1360000000000001</v>
      </c>
      <c r="F389" s="2" t="s">
        <v>850</v>
      </c>
      <c r="G389" s="6" t="s">
        <v>11</v>
      </c>
      <c r="H389" s="70">
        <v>50</v>
      </c>
      <c r="I389" s="72">
        <f>FastenersPriceList[[#This Row],[Quantity (kg)]]/FastenersPriceList[[#This Row],[SINGLE PC. WT.]]</f>
        <v>23.40823970037453</v>
      </c>
      <c r="J389" s="3">
        <v>120</v>
      </c>
      <c r="K389" s="3">
        <f>FastenersPriceList[[#This Row],[1000 PCS/WT.]]*FastenersPriceList[[#This Row],[Rate / PER kg (₹)]]</f>
        <v>256320</v>
      </c>
      <c r="L389" s="4">
        <f>FastenersPriceList[[#This Row],[Rate / PER kg (₹)]]*FastenersPriceList[[#This Row],[Quantity (kg)]]</f>
        <v>6000</v>
      </c>
      <c r="M389" s="4"/>
    </row>
    <row r="390" spans="1:13" ht="22.05" customHeight="1" x14ac:dyDescent="0.3">
      <c r="A390" s="2" t="s">
        <v>1287</v>
      </c>
      <c r="B390" s="12" t="s">
        <v>8</v>
      </c>
      <c r="C390" s="12" t="s">
        <v>9</v>
      </c>
      <c r="D390" s="2">
        <v>2240</v>
      </c>
      <c r="E390" s="2">
        <f>FastenersPriceList[[#This Row],[1000 PCS/WT.]]/1000</f>
        <v>2.2400000000000002</v>
      </c>
      <c r="F390" s="2" t="s">
        <v>851</v>
      </c>
      <c r="G390" s="6" t="s">
        <v>11</v>
      </c>
      <c r="H390" s="70">
        <v>50</v>
      </c>
      <c r="I390" s="72">
        <f>FastenersPriceList[[#This Row],[Quantity (kg)]]/FastenersPriceList[[#This Row],[SINGLE PC. WT.]]</f>
        <v>22.321428571428569</v>
      </c>
      <c r="J390" s="3">
        <v>120</v>
      </c>
      <c r="K390" s="3">
        <f>FastenersPriceList[[#This Row],[1000 PCS/WT.]]*FastenersPriceList[[#This Row],[Rate / PER kg (₹)]]</f>
        <v>268800</v>
      </c>
      <c r="L390" s="4">
        <f>FastenersPriceList[[#This Row],[Rate / PER kg (₹)]]*FastenersPriceList[[#This Row],[Quantity (kg)]]</f>
        <v>6000</v>
      </c>
      <c r="M390" s="4"/>
    </row>
    <row r="391" spans="1:13" ht="22.05" customHeight="1" x14ac:dyDescent="0.3">
      <c r="A391" s="2" t="s">
        <v>1288</v>
      </c>
      <c r="B391" s="12" t="s">
        <v>8</v>
      </c>
      <c r="C391" s="12" t="s">
        <v>9</v>
      </c>
      <c r="D391" s="2">
        <v>2344</v>
      </c>
      <c r="E391" s="2">
        <f>FastenersPriceList[[#This Row],[1000 PCS/WT.]]/1000</f>
        <v>2.3439999999999999</v>
      </c>
      <c r="F391" s="2" t="s">
        <v>852</v>
      </c>
      <c r="G391" s="6" t="s">
        <v>11</v>
      </c>
      <c r="H391" s="70">
        <v>50</v>
      </c>
      <c r="I391" s="72">
        <f>FastenersPriceList[[#This Row],[Quantity (kg)]]/FastenersPriceList[[#This Row],[SINGLE PC. WT.]]</f>
        <v>21.331058020477816</v>
      </c>
      <c r="J391" s="3">
        <v>120</v>
      </c>
      <c r="K391" s="3">
        <f>FastenersPriceList[[#This Row],[1000 PCS/WT.]]*FastenersPriceList[[#This Row],[Rate / PER kg (₹)]]</f>
        <v>281280</v>
      </c>
      <c r="L391" s="4">
        <f>FastenersPriceList[[#This Row],[Rate / PER kg (₹)]]*FastenersPriceList[[#This Row],[Quantity (kg)]]</f>
        <v>6000</v>
      </c>
      <c r="M391" s="4"/>
    </row>
    <row r="392" spans="1:13" ht="22.05" customHeight="1" x14ac:dyDescent="0.3">
      <c r="A392" s="2" t="s">
        <v>1289</v>
      </c>
      <c r="B392" s="12" t="s">
        <v>8</v>
      </c>
      <c r="C392" s="12" t="s">
        <v>9</v>
      </c>
      <c r="D392" s="2">
        <v>2448</v>
      </c>
      <c r="E392" s="2">
        <f>FastenersPriceList[[#This Row],[1000 PCS/WT.]]/1000</f>
        <v>2.448</v>
      </c>
      <c r="F392" s="2" t="s">
        <v>853</v>
      </c>
      <c r="G392" s="6" t="s">
        <v>11</v>
      </c>
      <c r="H392" s="70">
        <v>50</v>
      </c>
      <c r="I392" s="72">
        <f>FastenersPriceList[[#This Row],[Quantity (kg)]]/FastenersPriceList[[#This Row],[SINGLE PC. WT.]]</f>
        <v>20.424836601307192</v>
      </c>
      <c r="J392" s="3">
        <v>120</v>
      </c>
      <c r="K392" s="3">
        <f>FastenersPriceList[[#This Row],[1000 PCS/WT.]]*FastenersPriceList[[#This Row],[Rate / PER kg (₹)]]</f>
        <v>293760</v>
      </c>
      <c r="L392" s="4">
        <f>FastenersPriceList[[#This Row],[Rate / PER kg (₹)]]*FastenersPriceList[[#This Row],[Quantity (kg)]]</f>
        <v>6000</v>
      </c>
      <c r="M392" s="4"/>
    </row>
    <row r="393" spans="1:13" ht="22.05" customHeight="1" x14ac:dyDescent="0.3">
      <c r="A393" s="2" t="s">
        <v>1290</v>
      </c>
      <c r="B393" s="12" t="s">
        <v>8</v>
      </c>
      <c r="C393" s="12" t="s">
        <v>9</v>
      </c>
      <c r="D393" s="2">
        <v>2552</v>
      </c>
      <c r="E393" s="2">
        <f>FastenersPriceList[[#This Row],[1000 PCS/WT.]]/1000</f>
        <v>2.552</v>
      </c>
      <c r="F393" s="2" t="s">
        <v>854</v>
      </c>
      <c r="G393" s="6" t="s">
        <v>11</v>
      </c>
      <c r="H393" s="70">
        <v>50</v>
      </c>
      <c r="I393" s="72">
        <f>FastenersPriceList[[#This Row],[Quantity (kg)]]/FastenersPriceList[[#This Row],[SINGLE PC. WT.]]</f>
        <v>19.592476489028211</v>
      </c>
      <c r="J393" s="3">
        <v>120</v>
      </c>
      <c r="K393" s="3">
        <f>FastenersPriceList[[#This Row],[1000 PCS/WT.]]*FastenersPriceList[[#This Row],[Rate / PER kg (₹)]]</f>
        <v>306240</v>
      </c>
      <c r="L393" s="4">
        <f>FastenersPriceList[[#This Row],[Rate / PER kg (₹)]]*FastenersPriceList[[#This Row],[Quantity (kg)]]</f>
        <v>6000</v>
      </c>
      <c r="M393" s="4"/>
    </row>
    <row r="394" spans="1:13" ht="22.05" customHeight="1" x14ac:dyDescent="0.3">
      <c r="A394" s="2" t="s">
        <v>1291</v>
      </c>
      <c r="B394" s="12" t="s">
        <v>8</v>
      </c>
      <c r="C394" s="12" t="s">
        <v>9</v>
      </c>
      <c r="D394" s="2">
        <v>2656</v>
      </c>
      <c r="E394" s="2">
        <f>FastenersPriceList[[#This Row],[1000 PCS/WT.]]/1000</f>
        <v>2.6560000000000001</v>
      </c>
      <c r="F394" s="2" t="s">
        <v>855</v>
      </c>
      <c r="G394" s="6" t="s">
        <v>11</v>
      </c>
      <c r="H394" s="70">
        <v>50</v>
      </c>
      <c r="I394" s="72">
        <f>FastenersPriceList[[#This Row],[Quantity (kg)]]/FastenersPriceList[[#This Row],[SINGLE PC. WT.]]</f>
        <v>18.825301204819276</v>
      </c>
      <c r="J394" s="3">
        <v>120</v>
      </c>
      <c r="K394" s="3">
        <f>FastenersPriceList[[#This Row],[1000 PCS/WT.]]*FastenersPriceList[[#This Row],[Rate / PER kg (₹)]]</f>
        <v>318720</v>
      </c>
      <c r="L394" s="4">
        <f>FastenersPriceList[[#This Row],[Rate / PER kg (₹)]]*FastenersPriceList[[#This Row],[Quantity (kg)]]</f>
        <v>6000</v>
      </c>
      <c r="M394" s="4"/>
    </row>
    <row r="395" spans="1:13" ht="22.05" customHeight="1" x14ac:dyDescent="0.3">
      <c r="A395" s="2" t="s">
        <v>1292</v>
      </c>
      <c r="B395" s="12" t="s">
        <v>8</v>
      </c>
      <c r="C395" s="12" t="s">
        <v>9</v>
      </c>
      <c r="D395" s="2">
        <v>2760</v>
      </c>
      <c r="E395" s="2">
        <f>FastenersPriceList[[#This Row],[1000 PCS/WT.]]/1000</f>
        <v>2.76</v>
      </c>
      <c r="F395" s="2" t="s">
        <v>856</v>
      </c>
      <c r="G395" s="6" t="s">
        <v>11</v>
      </c>
      <c r="H395" s="70">
        <v>50</v>
      </c>
      <c r="I395" s="72">
        <f>FastenersPriceList[[#This Row],[Quantity (kg)]]/FastenersPriceList[[#This Row],[SINGLE PC. WT.]]</f>
        <v>18.115942028985508</v>
      </c>
      <c r="J395" s="3">
        <v>120</v>
      </c>
      <c r="K395" s="3">
        <f>FastenersPriceList[[#This Row],[1000 PCS/WT.]]*FastenersPriceList[[#This Row],[Rate / PER kg (₹)]]</f>
        <v>331200</v>
      </c>
      <c r="L395" s="4">
        <f>FastenersPriceList[[#This Row],[Rate / PER kg (₹)]]*FastenersPriceList[[#This Row],[Quantity (kg)]]</f>
        <v>6000</v>
      </c>
      <c r="M395" s="4"/>
    </row>
    <row r="396" spans="1:13" ht="22.05" customHeight="1" x14ac:dyDescent="0.3">
      <c r="A396" s="2" t="s">
        <v>1293</v>
      </c>
      <c r="B396" s="12" t="s">
        <v>8</v>
      </c>
      <c r="C396" s="12" t="s">
        <v>9</v>
      </c>
      <c r="D396" s="2">
        <v>2864</v>
      </c>
      <c r="E396" s="2">
        <f>FastenersPriceList[[#This Row],[1000 PCS/WT.]]/1000</f>
        <v>2.8639999999999999</v>
      </c>
      <c r="F396" s="2" t="s">
        <v>857</v>
      </c>
      <c r="G396" s="6" t="s">
        <v>11</v>
      </c>
      <c r="H396" s="70">
        <v>50</v>
      </c>
      <c r="I396" s="72">
        <f>FastenersPriceList[[#This Row],[Quantity (kg)]]/FastenersPriceList[[#This Row],[SINGLE PC. WT.]]</f>
        <v>17.458100558659218</v>
      </c>
      <c r="J396" s="3">
        <v>122</v>
      </c>
      <c r="K396" s="3">
        <f>FastenersPriceList[[#This Row],[1000 PCS/WT.]]*FastenersPriceList[[#This Row],[Rate / PER kg (₹)]]</f>
        <v>349408</v>
      </c>
      <c r="L396" s="4">
        <f>FastenersPriceList[[#This Row],[Rate / PER kg (₹)]]*FastenersPriceList[[#This Row],[Quantity (kg)]]</f>
        <v>6100</v>
      </c>
      <c r="M396" s="4"/>
    </row>
    <row r="397" spans="1:13" ht="22.05" customHeight="1" x14ac:dyDescent="0.3">
      <c r="A397" s="2" t="s">
        <v>1294</v>
      </c>
      <c r="B397" s="12" t="s">
        <v>8</v>
      </c>
      <c r="C397" s="12" t="s">
        <v>9</v>
      </c>
      <c r="D397" s="2">
        <v>2968</v>
      </c>
      <c r="E397" s="2">
        <f>FastenersPriceList[[#This Row],[1000 PCS/WT.]]/1000</f>
        <v>2.968</v>
      </c>
      <c r="F397" s="2" t="s">
        <v>858</v>
      </c>
      <c r="G397" s="6" t="s">
        <v>11</v>
      </c>
      <c r="H397" s="70">
        <v>50</v>
      </c>
      <c r="I397" s="72">
        <f>FastenersPriceList[[#This Row],[Quantity (kg)]]/FastenersPriceList[[#This Row],[SINGLE PC. WT.]]</f>
        <v>16.846361185983827</v>
      </c>
      <c r="J397" s="3">
        <v>122</v>
      </c>
      <c r="K397" s="3">
        <f>FastenersPriceList[[#This Row],[1000 PCS/WT.]]*FastenersPriceList[[#This Row],[Rate / PER kg (₹)]]</f>
        <v>362096</v>
      </c>
      <c r="L397" s="4">
        <f>FastenersPriceList[[#This Row],[Rate / PER kg (₹)]]*FastenersPriceList[[#This Row],[Quantity (kg)]]</f>
        <v>6100</v>
      </c>
      <c r="M397" s="4"/>
    </row>
    <row r="398" spans="1:13" ht="22.05" customHeight="1" x14ac:dyDescent="0.3">
      <c r="A398" s="2" t="s">
        <v>1295</v>
      </c>
      <c r="B398" s="12" t="s">
        <v>8</v>
      </c>
      <c r="C398" s="12" t="s">
        <v>9</v>
      </c>
      <c r="D398" s="2">
        <v>3072</v>
      </c>
      <c r="E398" s="2">
        <f>FastenersPriceList[[#This Row],[1000 PCS/WT.]]/1000</f>
        <v>3.0720000000000001</v>
      </c>
      <c r="F398" s="2" t="s">
        <v>859</v>
      </c>
      <c r="G398" s="6" t="s">
        <v>11</v>
      </c>
      <c r="H398" s="70">
        <v>50</v>
      </c>
      <c r="I398" s="72">
        <f>FastenersPriceList[[#This Row],[Quantity (kg)]]/FastenersPriceList[[#This Row],[SINGLE PC. WT.]]</f>
        <v>16.276041666666668</v>
      </c>
      <c r="J398" s="3">
        <v>122</v>
      </c>
      <c r="K398" s="3">
        <f>FastenersPriceList[[#This Row],[1000 PCS/WT.]]*FastenersPriceList[[#This Row],[Rate / PER kg (₹)]]</f>
        <v>374784</v>
      </c>
      <c r="L398" s="4">
        <f>FastenersPriceList[[#This Row],[Rate / PER kg (₹)]]*FastenersPriceList[[#This Row],[Quantity (kg)]]</f>
        <v>6100</v>
      </c>
      <c r="M398" s="4"/>
    </row>
    <row r="399" spans="1:13" ht="22.05" customHeight="1" x14ac:dyDescent="0.3">
      <c r="A399" s="2" t="s">
        <v>1296</v>
      </c>
      <c r="B399" s="12" t="s">
        <v>8</v>
      </c>
      <c r="C399" s="12" t="s">
        <v>9</v>
      </c>
      <c r="D399" s="2">
        <v>3176</v>
      </c>
      <c r="E399" s="2">
        <f>FastenersPriceList[[#This Row],[1000 PCS/WT.]]/1000</f>
        <v>3.1760000000000002</v>
      </c>
      <c r="F399" s="2" t="s">
        <v>860</v>
      </c>
      <c r="G399" s="6" t="s">
        <v>11</v>
      </c>
      <c r="H399" s="70">
        <v>50</v>
      </c>
      <c r="I399" s="72">
        <f>FastenersPriceList[[#This Row],[Quantity (kg)]]/FastenersPriceList[[#This Row],[SINGLE PC. WT.]]</f>
        <v>15.743073047858941</v>
      </c>
      <c r="J399" s="3">
        <v>122</v>
      </c>
      <c r="K399" s="3">
        <f>FastenersPriceList[[#This Row],[1000 PCS/WT.]]*FastenersPriceList[[#This Row],[Rate / PER kg (₹)]]</f>
        <v>387472</v>
      </c>
      <c r="L399" s="4">
        <f>FastenersPriceList[[#This Row],[Rate / PER kg (₹)]]*FastenersPriceList[[#This Row],[Quantity (kg)]]</f>
        <v>6100</v>
      </c>
      <c r="M399" s="4"/>
    </row>
    <row r="400" spans="1:13" ht="22.05" customHeight="1" x14ac:dyDescent="0.3">
      <c r="A400" s="2" t="s">
        <v>1297</v>
      </c>
      <c r="B400" s="12" t="s">
        <v>8</v>
      </c>
      <c r="C400" s="12" t="s">
        <v>9</v>
      </c>
      <c r="D400" s="2">
        <v>3280</v>
      </c>
      <c r="E400" s="2">
        <f>FastenersPriceList[[#This Row],[1000 PCS/WT.]]/1000</f>
        <v>3.28</v>
      </c>
      <c r="F400" s="2" t="s">
        <v>861</v>
      </c>
      <c r="G400" s="6" t="s">
        <v>11</v>
      </c>
      <c r="H400" s="70">
        <v>50</v>
      </c>
      <c r="I400" s="72">
        <f>FastenersPriceList[[#This Row],[Quantity (kg)]]/FastenersPriceList[[#This Row],[SINGLE PC. WT.]]</f>
        <v>15.24390243902439</v>
      </c>
      <c r="J400" s="3">
        <v>122</v>
      </c>
      <c r="K400" s="3">
        <f>FastenersPriceList[[#This Row],[1000 PCS/WT.]]*FastenersPriceList[[#This Row],[Rate / PER kg (₹)]]</f>
        <v>400160</v>
      </c>
      <c r="L400" s="4">
        <f>FastenersPriceList[[#This Row],[Rate / PER kg (₹)]]*FastenersPriceList[[#This Row],[Quantity (kg)]]</f>
        <v>6100</v>
      </c>
      <c r="M400" s="4"/>
    </row>
    <row r="401" spans="1:13" ht="22.05" customHeight="1" x14ac:dyDescent="0.3">
      <c r="A401" s="2" t="s">
        <v>1298</v>
      </c>
      <c r="B401" s="12" t="s">
        <v>8</v>
      </c>
      <c r="C401" s="12" t="s">
        <v>9</v>
      </c>
      <c r="D401" s="2">
        <v>3384</v>
      </c>
      <c r="E401" s="2">
        <f>FastenersPriceList[[#This Row],[1000 PCS/WT.]]/1000</f>
        <v>3.3839999999999999</v>
      </c>
      <c r="F401" s="2" t="s">
        <v>862</v>
      </c>
      <c r="G401" s="6" t="s">
        <v>11</v>
      </c>
      <c r="H401" s="70">
        <v>50</v>
      </c>
      <c r="I401" s="72">
        <f>FastenersPriceList[[#This Row],[Quantity (kg)]]/FastenersPriceList[[#This Row],[SINGLE PC. WT.]]</f>
        <v>14.775413711583925</v>
      </c>
      <c r="J401" s="3">
        <v>122</v>
      </c>
      <c r="K401" s="3">
        <f>FastenersPriceList[[#This Row],[1000 PCS/WT.]]*FastenersPriceList[[#This Row],[Rate / PER kg (₹)]]</f>
        <v>412848</v>
      </c>
      <c r="L401" s="4">
        <f>FastenersPriceList[[#This Row],[Rate / PER kg (₹)]]*FastenersPriceList[[#This Row],[Quantity (kg)]]</f>
        <v>6100</v>
      </c>
      <c r="M401" s="4"/>
    </row>
    <row r="402" spans="1:13" ht="22.05" customHeight="1" x14ac:dyDescent="0.3">
      <c r="A402" s="2" t="s">
        <v>1299</v>
      </c>
      <c r="B402" s="12" t="s">
        <v>8</v>
      </c>
      <c r="C402" s="12" t="s">
        <v>9</v>
      </c>
      <c r="D402" s="2">
        <v>3488</v>
      </c>
      <c r="E402" s="2">
        <f>FastenersPriceList[[#This Row],[1000 PCS/WT.]]/1000</f>
        <v>3.488</v>
      </c>
      <c r="F402" s="2" t="s">
        <v>863</v>
      </c>
      <c r="G402" s="6" t="s">
        <v>11</v>
      </c>
      <c r="H402" s="70">
        <v>50</v>
      </c>
      <c r="I402" s="72">
        <f>FastenersPriceList[[#This Row],[Quantity (kg)]]/FastenersPriceList[[#This Row],[SINGLE PC. WT.]]</f>
        <v>14.334862385321101</v>
      </c>
      <c r="J402" s="3">
        <v>122</v>
      </c>
      <c r="K402" s="3">
        <f>FastenersPriceList[[#This Row],[1000 PCS/WT.]]*FastenersPriceList[[#This Row],[Rate / PER kg (₹)]]</f>
        <v>425536</v>
      </c>
      <c r="L402" s="4">
        <f>FastenersPriceList[[#This Row],[Rate / PER kg (₹)]]*FastenersPriceList[[#This Row],[Quantity (kg)]]</f>
        <v>6100</v>
      </c>
      <c r="M402" s="4"/>
    </row>
    <row r="403" spans="1:13" ht="22.05" customHeight="1" x14ac:dyDescent="0.3">
      <c r="A403" s="2" t="s">
        <v>1300</v>
      </c>
      <c r="B403" s="12" t="s">
        <v>8</v>
      </c>
      <c r="C403" s="12" t="s">
        <v>9</v>
      </c>
      <c r="D403" s="2">
        <v>3592</v>
      </c>
      <c r="E403" s="2">
        <f>FastenersPriceList[[#This Row],[1000 PCS/WT.]]/1000</f>
        <v>3.5920000000000001</v>
      </c>
      <c r="F403" s="2" t="s">
        <v>864</v>
      </c>
      <c r="G403" s="6" t="s">
        <v>11</v>
      </c>
      <c r="H403" s="70">
        <v>50</v>
      </c>
      <c r="I403" s="72">
        <f>FastenersPriceList[[#This Row],[Quantity (kg)]]/FastenersPriceList[[#This Row],[SINGLE PC. WT.]]</f>
        <v>13.919821826280623</v>
      </c>
      <c r="J403" s="3">
        <v>122</v>
      </c>
      <c r="K403" s="3">
        <f>FastenersPriceList[[#This Row],[1000 PCS/WT.]]*FastenersPriceList[[#This Row],[Rate / PER kg (₹)]]</f>
        <v>438224</v>
      </c>
      <c r="L403" s="4">
        <f>FastenersPriceList[[#This Row],[Rate / PER kg (₹)]]*FastenersPriceList[[#This Row],[Quantity (kg)]]</f>
        <v>6100</v>
      </c>
      <c r="M403" s="4"/>
    </row>
    <row r="404" spans="1:13" ht="22.05" customHeight="1" x14ac:dyDescent="0.3">
      <c r="A404" s="2" t="s">
        <v>1301</v>
      </c>
      <c r="B404" s="12" t="s">
        <v>8</v>
      </c>
      <c r="C404" s="12" t="s">
        <v>9</v>
      </c>
      <c r="D404" s="2">
        <v>3696</v>
      </c>
      <c r="E404" s="2">
        <f>FastenersPriceList[[#This Row],[1000 PCS/WT.]]/1000</f>
        <v>3.6960000000000002</v>
      </c>
      <c r="F404" s="2" t="s">
        <v>865</v>
      </c>
      <c r="G404" s="6" t="s">
        <v>11</v>
      </c>
      <c r="H404" s="70">
        <v>50</v>
      </c>
      <c r="I404" s="72">
        <f>FastenersPriceList[[#This Row],[Quantity (kg)]]/FastenersPriceList[[#This Row],[SINGLE PC. WT.]]</f>
        <v>13.528138528138527</v>
      </c>
      <c r="J404" s="3">
        <v>122</v>
      </c>
      <c r="K404" s="3">
        <f>FastenersPriceList[[#This Row],[1000 PCS/WT.]]*FastenersPriceList[[#This Row],[Rate / PER kg (₹)]]</f>
        <v>450912</v>
      </c>
      <c r="L404" s="4">
        <f>FastenersPriceList[[#This Row],[Rate / PER kg (₹)]]*FastenersPriceList[[#This Row],[Quantity (kg)]]</f>
        <v>6100</v>
      </c>
      <c r="M404" s="4"/>
    </row>
    <row r="405" spans="1:13" ht="22.05" customHeight="1" x14ac:dyDescent="0.3">
      <c r="A405" s="2" t="s">
        <v>1302</v>
      </c>
      <c r="B405" s="12" t="s">
        <v>8</v>
      </c>
      <c r="C405" s="12" t="s">
        <v>9</v>
      </c>
      <c r="D405" s="2">
        <v>3800</v>
      </c>
      <c r="E405" s="2">
        <f>FastenersPriceList[[#This Row],[1000 PCS/WT.]]/1000</f>
        <v>3.8</v>
      </c>
      <c r="F405" s="2" t="s">
        <v>866</v>
      </c>
      <c r="G405" s="6" t="s">
        <v>11</v>
      </c>
      <c r="H405" s="70">
        <v>50</v>
      </c>
      <c r="I405" s="72">
        <f>FastenersPriceList[[#This Row],[Quantity (kg)]]/FastenersPriceList[[#This Row],[SINGLE PC. WT.]]</f>
        <v>13.157894736842106</v>
      </c>
      <c r="J405" s="3">
        <v>122</v>
      </c>
      <c r="K405" s="3">
        <f>FastenersPriceList[[#This Row],[1000 PCS/WT.]]*FastenersPriceList[[#This Row],[Rate / PER kg (₹)]]</f>
        <v>463600</v>
      </c>
      <c r="L405" s="4">
        <f>FastenersPriceList[[#This Row],[Rate / PER kg (₹)]]*FastenersPriceList[[#This Row],[Quantity (kg)]]</f>
        <v>6100</v>
      </c>
      <c r="M405" s="4"/>
    </row>
    <row r="406" spans="1:13" ht="22.05" customHeight="1" x14ac:dyDescent="0.3">
      <c r="A406" s="2" t="s">
        <v>1104</v>
      </c>
      <c r="B406" s="12" t="s">
        <v>8</v>
      </c>
      <c r="C406" s="12" t="s">
        <v>9</v>
      </c>
      <c r="D406" s="2">
        <v>1900</v>
      </c>
      <c r="E406" s="2">
        <f>FastenersPriceList[[#This Row],[1000 PCS/WT.]]/1000</f>
        <v>1.9</v>
      </c>
      <c r="F406" s="2" t="s">
        <v>867</v>
      </c>
      <c r="G406" s="6" t="s">
        <v>11</v>
      </c>
      <c r="H406" s="70">
        <v>50</v>
      </c>
      <c r="I406" s="72">
        <f>FastenersPriceList[[#This Row],[Quantity (kg)]]/FastenersPriceList[[#This Row],[SINGLE PC. WT.]]</f>
        <v>26.315789473684212</v>
      </c>
      <c r="J406" s="3">
        <v>115</v>
      </c>
      <c r="K406" s="3">
        <f>FastenersPriceList[[#This Row],[1000 PCS/WT.]]*FastenersPriceList[[#This Row],[Rate / PER kg (₹)]]</f>
        <v>218500</v>
      </c>
      <c r="L406" s="4">
        <f>FastenersPriceList[[#This Row],[Rate / PER kg (₹)]]*FastenersPriceList[[#This Row],[Quantity (kg)]]</f>
        <v>5750</v>
      </c>
      <c r="M406" s="4"/>
    </row>
    <row r="407" spans="1:13" ht="22.05" customHeight="1" x14ac:dyDescent="0.3">
      <c r="A407" s="2" t="s">
        <v>1105</v>
      </c>
      <c r="B407" s="12" t="s">
        <v>8</v>
      </c>
      <c r="C407" s="12" t="s">
        <v>9</v>
      </c>
      <c r="D407" s="2">
        <v>1945</v>
      </c>
      <c r="E407" s="2">
        <f>FastenersPriceList[[#This Row],[1000 PCS/WT.]]/1000</f>
        <v>1.9450000000000001</v>
      </c>
      <c r="F407" s="2" t="s">
        <v>868</v>
      </c>
      <c r="G407" s="6" t="s">
        <v>11</v>
      </c>
      <c r="H407" s="70">
        <v>50</v>
      </c>
      <c r="I407" s="72">
        <f>FastenersPriceList[[#This Row],[Quantity (kg)]]/FastenersPriceList[[#This Row],[SINGLE PC. WT.]]</f>
        <v>25.70694087403599</v>
      </c>
      <c r="J407" s="3">
        <v>115</v>
      </c>
      <c r="K407" s="3">
        <f>FastenersPriceList[[#This Row],[1000 PCS/WT.]]*FastenersPriceList[[#This Row],[Rate / PER kg (₹)]]</f>
        <v>223675</v>
      </c>
      <c r="L407" s="4">
        <f>FastenersPriceList[[#This Row],[Rate / PER kg (₹)]]*FastenersPriceList[[#This Row],[Quantity (kg)]]</f>
        <v>5750</v>
      </c>
      <c r="M407" s="4"/>
    </row>
    <row r="408" spans="1:13" ht="22.05" customHeight="1" x14ac:dyDescent="0.3">
      <c r="A408" s="2" t="s">
        <v>1106</v>
      </c>
      <c r="B408" s="12" t="s">
        <v>8</v>
      </c>
      <c r="C408" s="12" t="s">
        <v>9</v>
      </c>
      <c r="D408" s="2">
        <v>1990</v>
      </c>
      <c r="E408" s="2">
        <f>FastenersPriceList[[#This Row],[1000 PCS/WT.]]/1000</f>
        <v>1.99</v>
      </c>
      <c r="F408" s="2" t="s">
        <v>869</v>
      </c>
      <c r="G408" s="6" t="s">
        <v>11</v>
      </c>
      <c r="H408" s="70">
        <v>50</v>
      </c>
      <c r="I408" s="72">
        <f>FastenersPriceList[[#This Row],[Quantity (kg)]]/FastenersPriceList[[#This Row],[SINGLE PC. WT.]]</f>
        <v>25.125628140703519</v>
      </c>
      <c r="J408" s="3">
        <v>115</v>
      </c>
      <c r="K408" s="3">
        <f>FastenersPriceList[[#This Row],[1000 PCS/WT.]]*FastenersPriceList[[#This Row],[Rate / PER kg (₹)]]</f>
        <v>228850</v>
      </c>
      <c r="L408" s="4">
        <f>FastenersPriceList[[#This Row],[Rate / PER kg (₹)]]*FastenersPriceList[[#This Row],[Quantity (kg)]]</f>
        <v>5750</v>
      </c>
      <c r="M408" s="4"/>
    </row>
    <row r="409" spans="1:13" ht="22.05" customHeight="1" x14ac:dyDescent="0.3">
      <c r="A409" s="2" t="s">
        <v>1303</v>
      </c>
      <c r="B409" s="12" t="s">
        <v>8</v>
      </c>
      <c r="C409" s="12" t="s">
        <v>9</v>
      </c>
      <c r="D409" s="2">
        <v>2080</v>
      </c>
      <c r="E409" s="2">
        <f>FastenersPriceList[[#This Row],[1000 PCS/WT.]]/1000</f>
        <v>2.08</v>
      </c>
      <c r="F409" s="2" t="s">
        <v>870</v>
      </c>
      <c r="G409" s="6" t="s">
        <v>11</v>
      </c>
      <c r="H409" s="70">
        <v>50</v>
      </c>
      <c r="I409" s="72">
        <f>FastenersPriceList[[#This Row],[Quantity (kg)]]/FastenersPriceList[[#This Row],[SINGLE PC. WT.]]</f>
        <v>24.038461538461537</v>
      </c>
      <c r="J409" s="3">
        <v>115</v>
      </c>
      <c r="K409" s="3">
        <f>FastenersPriceList[[#This Row],[1000 PCS/WT.]]*FastenersPriceList[[#This Row],[Rate / PER kg (₹)]]</f>
        <v>239200</v>
      </c>
      <c r="L409" s="4">
        <f>FastenersPriceList[[#This Row],[Rate / PER kg (₹)]]*FastenersPriceList[[#This Row],[Quantity (kg)]]</f>
        <v>5750</v>
      </c>
      <c r="M409" s="4"/>
    </row>
    <row r="410" spans="1:13" ht="22.05" customHeight="1" x14ac:dyDescent="0.3">
      <c r="A410" s="2" t="s">
        <v>1304</v>
      </c>
      <c r="B410" s="12" t="s">
        <v>8</v>
      </c>
      <c r="C410" s="12" t="s">
        <v>9</v>
      </c>
      <c r="D410" s="2">
        <v>2170</v>
      </c>
      <c r="E410" s="2">
        <f>FastenersPriceList[[#This Row],[1000 PCS/WT.]]/1000</f>
        <v>2.17</v>
      </c>
      <c r="F410" s="2" t="s">
        <v>871</v>
      </c>
      <c r="G410" s="6" t="s">
        <v>11</v>
      </c>
      <c r="H410" s="70">
        <v>50</v>
      </c>
      <c r="I410" s="72">
        <f>FastenersPriceList[[#This Row],[Quantity (kg)]]/FastenersPriceList[[#This Row],[SINGLE PC. WT.]]</f>
        <v>23.041474654377883</v>
      </c>
      <c r="J410" s="3">
        <v>120</v>
      </c>
      <c r="K410" s="3">
        <f>FastenersPriceList[[#This Row],[1000 PCS/WT.]]*FastenersPriceList[[#This Row],[Rate / PER kg (₹)]]</f>
        <v>260400</v>
      </c>
      <c r="L410" s="4">
        <f>FastenersPriceList[[#This Row],[Rate / PER kg (₹)]]*FastenersPriceList[[#This Row],[Quantity (kg)]]</f>
        <v>6000</v>
      </c>
      <c r="M410" s="4"/>
    </row>
    <row r="411" spans="1:13" ht="22.05" customHeight="1" x14ac:dyDescent="0.3">
      <c r="A411" s="2" t="s">
        <v>1305</v>
      </c>
      <c r="B411" s="12" t="s">
        <v>8</v>
      </c>
      <c r="C411" s="12" t="s">
        <v>9</v>
      </c>
      <c r="D411" s="2">
        <v>2260</v>
      </c>
      <c r="E411" s="2">
        <f>FastenersPriceList[[#This Row],[1000 PCS/WT.]]/1000</f>
        <v>2.2599999999999998</v>
      </c>
      <c r="F411" s="2" t="s">
        <v>872</v>
      </c>
      <c r="G411" s="6" t="s">
        <v>11</v>
      </c>
      <c r="H411" s="70">
        <v>50</v>
      </c>
      <c r="I411" s="72">
        <f>FastenersPriceList[[#This Row],[Quantity (kg)]]/FastenersPriceList[[#This Row],[SINGLE PC. WT.]]</f>
        <v>22.123893805309738</v>
      </c>
      <c r="J411" s="3">
        <v>120</v>
      </c>
      <c r="K411" s="3">
        <f>FastenersPriceList[[#This Row],[1000 PCS/WT.]]*FastenersPriceList[[#This Row],[Rate / PER kg (₹)]]</f>
        <v>271200</v>
      </c>
      <c r="L411" s="4">
        <f>FastenersPriceList[[#This Row],[Rate / PER kg (₹)]]*FastenersPriceList[[#This Row],[Quantity (kg)]]</f>
        <v>6000</v>
      </c>
      <c r="M411" s="4"/>
    </row>
    <row r="412" spans="1:13" ht="22.05" customHeight="1" x14ac:dyDescent="0.3">
      <c r="A412" s="2" t="s">
        <v>1306</v>
      </c>
      <c r="B412" s="12" t="s">
        <v>8</v>
      </c>
      <c r="C412" s="12" t="s">
        <v>9</v>
      </c>
      <c r="D412" s="2">
        <v>2350</v>
      </c>
      <c r="E412" s="2">
        <f>FastenersPriceList[[#This Row],[1000 PCS/WT.]]/1000</f>
        <v>2.35</v>
      </c>
      <c r="F412" s="2" t="s">
        <v>873</v>
      </c>
      <c r="G412" s="6" t="s">
        <v>11</v>
      </c>
      <c r="H412" s="70">
        <v>50</v>
      </c>
      <c r="I412" s="72">
        <f>FastenersPriceList[[#This Row],[Quantity (kg)]]/FastenersPriceList[[#This Row],[SINGLE PC. WT.]]</f>
        <v>21.276595744680851</v>
      </c>
      <c r="J412" s="3">
        <v>120</v>
      </c>
      <c r="K412" s="3">
        <f>FastenersPriceList[[#This Row],[1000 PCS/WT.]]*FastenersPriceList[[#This Row],[Rate / PER kg (₹)]]</f>
        <v>282000</v>
      </c>
      <c r="L412" s="4">
        <f>FastenersPriceList[[#This Row],[Rate / PER kg (₹)]]*FastenersPriceList[[#This Row],[Quantity (kg)]]</f>
        <v>6000</v>
      </c>
      <c r="M412" s="4"/>
    </row>
    <row r="413" spans="1:13" ht="22.05" customHeight="1" x14ac:dyDescent="0.3">
      <c r="A413" s="2" t="s">
        <v>1307</v>
      </c>
      <c r="B413" s="12" t="s">
        <v>8</v>
      </c>
      <c r="C413" s="12" t="s">
        <v>9</v>
      </c>
      <c r="D413" s="2">
        <v>2440</v>
      </c>
      <c r="E413" s="2">
        <f>FastenersPriceList[[#This Row],[1000 PCS/WT.]]/1000</f>
        <v>2.44</v>
      </c>
      <c r="F413" s="2" t="s">
        <v>874</v>
      </c>
      <c r="G413" s="6" t="s">
        <v>11</v>
      </c>
      <c r="H413" s="70">
        <v>50</v>
      </c>
      <c r="I413" s="72">
        <f>FastenersPriceList[[#This Row],[Quantity (kg)]]/FastenersPriceList[[#This Row],[SINGLE PC. WT.]]</f>
        <v>20.491803278688526</v>
      </c>
      <c r="J413" s="3">
        <v>120</v>
      </c>
      <c r="K413" s="3">
        <f>FastenersPriceList[[#This Row],[1000 PCS/WT.]]*FastenersPriceList[[#This Row],[Rate / PER kg (₹)]]</f>
        <v>292800</v>
      </c>
      <c r="L413" s="4">
        <f>FastenersPriceList[[#This Row],[Rate / PER kg (₹)]]*FastenersPriceList[[#This Row],[Quantity (kg)]]</f>
        <v>6000</v>
      </c>
      <c r="M413" s="4"/>
    </row>
    <row r="414" spans="1:13" ht="22.05" customHeight="1" x14ac:dyDescent="0.3">
      <c r="A414" s="2" t="s">
        <v>1308</v>
      </c>
      <c r="B414" s="12" t="s">
        <v>8</v>
      </c>
      <c r="C414" s="12" t="s">
        <v>9</v>
      </c>
      <c r="D414" s="2">
        <v>2530</v>
      </c>
      <c r="E414" s="2">
        <f>FastenersPriceList[[#This Row],[1000 PCS/WT.]]/1000</f>
        <v>2.5299999999999998</v>
      </c>
      <c r="F414" s="2" t="s">
        <v>875</v>
      </c>
      <c r="G414" s="6" t="s">
        <v>11</v>
      </c>
      <c r="H414" s="70">
        <v>50</v>
      </c>
      <c r="I414" s="72">
        <f>FastenersPriceList[[#This Row],[Quantity (kg)]]/FastenersPriceList[[#This Row],[SINGLE PC. WT.]]</f>
        <v>19.762845849802375</v>
      </c>
      <c r="J414" s="3">
        <v>120</v>
      </c>
      <c r="K414" s="3">
        <f>FastenersPriceList[[#This Row],[1000 PCS/WT.]]*FastenersPriceList[[#This Row],[Rate / PER kg (₹)]]</f>
        <v>303600</v>
      </c>
      <c r="L414" s="4">
        <f>FastenersPriceList[[#This Row],[Rate / PER kg (₹)]]*FastenersPriceList[[#This Row],[Quantity (kg)]]</f>
        <v>6000</v>
      </c>
      <c r="M414" s="4"/>
    </row>
    <row r="415" spans="1:13" ht="22.05" customHeight="1" x14ac:dyDescent="0.3">
      <c r="A415" s="2" t="s">
        <v>1309</v>
      </c>
      <c r="B415" s="12" t="s">
        <v>8</v>
      </c>
      <c r="C415" s="12" t="s">
        <v>9</v>
      </c>
      <c r="D415" s="2">
        <v>2620</v>
      </c>
      <c r="E415" s="2">
        <f>FastenersPriceList[[#This Row],[1000 PCS/WT.]]/1000</f>
        <v>2.62</v>
      </c>
      <c r="F415" s="2" t="s">
        <v>876</v>
      </c>
      <c r="G415" s="6" t="s">
        <v>11</v>
      </c>
      <c r="H415" s="70">
        <v>50</v>
      </c>
      <c r="I415" s="72">
        <f>FastenersPriceList[[#This Row],[Quantity (kg)]]/FastenersPriceList[[#This Row],[SINGLE PC. WT.]]</f>
        <v>19.083969465648853</v>
      </c>
      <c r="J415" s="3">
        <v>120</v>
      </c>
      <c r="K415" s="3">
        <f>FastenersPriceList[[#This Row],[1000 PCS/WT.]]*FastenersPriceList[[#This Row],[Rate / PER kg (₹)]]</f>
        <v>314400</v>
      </c>
      <c r="L415" s="4">
        <f>FastenersPriceList[[#This Row],[Rate / PER kg (₹)]]*FastenersPriceList[[#This Row],[Quantity (kg)]]</f>
        <v>6000</v>
      </c>
      <c r="M415" s="4"/>
    </row>
    <row r="416" spans="1:13" ht="22.05" customHeight="1" x14ac:dyDescent="0.3">
      <c r="A416" s="2" t="s">
        <v>1310</v>
      </c>
      <c r="B416" s="12" t="s">
        <v>8</v>
      </c>
      <c r="C416" s="12" t="s">
        <v>9</v>
      </c>
      <c r="D416" s="2">
        <v>2710</v>
      </c>
      <c r="E416" s="2">
        <f>FastenersPriceList[[#This Row],[1000 PCS/WT.]]/1000</f>
        <v>2.71</v>
      </c>
      <c r="F416" s="2" t="s">
        <v>877</v>
      </c>
      <c r="G416" s="6" t="s">
        <v>11</v>
      </c>
      <c r="H416" s="70">
        <v>50</v>
      </c>
      <c r="I416" s="72">
        <f>FastenersPriceList[[#This Row],[Quantity (kg)]]/FastenersPriceList[[#This Row],[SINGLE PC. WT.]]</f>
        <v>18.450184501845019</v>
      </c>
      <c r="J416" s="3">
        <v>120</v>
      </c>
      <c r="K416" s="3">
        <f>FastenersPriceList[[#This Row],[1000 PCS/WT.]]*FastenersPriceList[[#This Row],[Rate / PER kg (₹)]]</f>
        <v>325200</v>
      </c>
      <c r="L416" s="4">
        <f>FastenersPriceList[[#This Row],[Rate / PER kg (₹)]]*FastenersPriceList[[#This Row],[Quantity (kg)]]</f>
        <v>6000</v>
      </c>
      <c r="M416" s="4"/>
    </row>
    <row r="417" spans="1:13" ht="22.05" customHeight="1" x14ac:dyDescent="0.3">
      <c r="A417" s="2" t="s">
        <v>1311</v>
      </c>
      <c r="B417" s="12" t="s">
        <v>8</v>
      </c>
      <c r="C417" s="12" t="s">
        <v>9</v>
      </c>
      <c r="D417" s="2">
        <v>2800</v>
      </c>
      <c r="E417" s="2">
        <f>FastenersPriceList[[#This Row],[1000 PCS/WT.]]/1000</f>
        <v>2.8</v>
      </c>
      <c r="F417" s="2" t="s">
        <v>878</v>
      </c>
      <c r="G417" s="6" t="s">
        <v>11</v>
      </c>
      <c r="H417" s="70">
        <v>50</v>
      </c>
      <c r="I417" s="72">
        <f>FastenersPriceList[[#This Row],[Quantity (kg)]]/FastenersPriceList[[#This Row],[SINGLE PC. WT.]]</f>
        <v>17.857142857142858</v>
      </c>
      <c r="J417" s="3">
        <v>120</v>
      </c>
      <c r="K417" s="3">
        <f>FastenersPriceList[[#This Row],[1000 PCS/WT.]]*FastenersPriceList[[#This Row],[Rate / PER kg (₹)]]</f>
        <v>336000</v>
      </c>
      <c r="L417" s="4">
        <f>FastenersPriceList[[#This Row],[Rate / PER kg (₹)]]*FastenersPriceList[[#This Row],[Quantity (kg)]]</f>
        <v>6000</v>
      </c>
      <c r="M417" s="4"/>
    </row>
    <row r="418" spans="1:13" ht="22.05" customHeight="1" x14ac:dyDescent="0.3">
      <c r="A418" s="2" t="s">
        <v>1312</v>
      </c>
      <c r="B418" s="12" t="s">
        <v>8</v>
      </c>
      <c r="C418" s="12" t="s">
        <v>9</v>
      </c>
      <c r="D418" s="2">
        <v>2890</v>
      </c>
      <c r="E418" s="2">
        <f>FastenersPriceList[[#This Row],[1000 PCS/WT.]]/1000</f>
        <v>2.89</v>
      </c>
      <c r="F418" s="2" t="s">
        <v>879</v>
      </c>
      <c r="G418" s="6" t="s">
        <v>11</v>
      </c>
      <c r="H418" s="70">
        <v>50</v>
      </c>
      <c r="I418" s="72">
        <f>FastenersPriceList[[#This Row],[Quantity (kg)]]/FastenersPriceList[[#This Row],[SINGLE PC. WT.]]</f>
        <v>17.301038062283737</v>
      </c>
      <c r="J418" s="3">
        <v>120</v>
      </c>
      <c r="K418" s="3">
        <f>FastenersPriceList[[#This Row],[1000 PCS/WT.]]*FastenersPriceList[[#This Row],[Rate / PER kg (₹)]]</f>
        <v>346800</v>
      </c>
      <c r="L418" s="4">
        <f>FastenersPriceList[[#This Row],[Rate / PER kg (₹)]]*FastenersPriceList[[#This Row],[Quantity (kg)]]</f>
        <v>6000</v>
      </c>
      <c r="M418" s="4"/>
    </row>
    <row r="419" spans="1:13" ht="22.05" customHeight="1" x14ac:dyDescent="0.3">
      <c r="A419" s="2" t="s">
        <v>1313</v>
      </c>
      <c r="B419" s="12" t="s">
        <v>8</v>
      </c>
      <c r="C419" s="12" t="s">
        <v>9</v>
      </c>
      <c r="D419" s="2">
        <v>2980</v>
      </c>
      <c r="E419" s="2">
        <f>FastenersPriceList[[#This Row],[1000 PCS/WT.]]/1000</f>
        <v>2.98</v>
      </c>
      <c r="F419" s="2" t="s">
        <v>880</v>
      </c>
      <c r="G419" s="6" t="s">
        <v>11</v>
      </c>
      <c r="H419" s="70">
        <v>50</v>
      </c>
      <c r="I419" s="72">
        <f>FastenersPriceList[[#This Row],[Quantity (kg)]]/FastenersPriceList[[#This Row],[SINGLE PC. WT.]]</f>
        <v>16.778523489932887</v>
      </c>
      <c r="J419" s="3">
        <v>120</v>
      </c>
      <c r="K419" s="3">
        <f>FastenersPriceList[[#This Row],[1000 PCS/WT.]]*FastenersPriceList[[#This Row],[Rate / PER kg (₹)]]</f>
        <v>357600</v>
      </c>
      <c r="L419" s="4">
        <f>FastenersPriceList[[#This Row],[Rate / PER kg (₹)]]*FastenersPriceList[[#This Row],[Quantity (kg)]]</f>
        <v>6000</v>
      </c>
      <c r="M419" s="4"/>
    </row>
    <row r="420" spans="1:13" ht="22.05" customHeight="1" x14ac:dyDescent="0.3">
      <c r="A420" s="2" t="s">
        <v>1314</v>
      </c>
      <c r="B420" s="12" t="s">
        <v>8</v>
      </c>
      <c r="C420" s="12" t="s">
        <v>9</v>
      </c>
      <c r="D420" s="2">
        <v>3070</v>
      </c>
      <c r="E420" s="2">
        <f>FastenersPriceList[[#This Row],[1000 PCS/WT.]]/1000</f>
        <v>3.07</v>
      </c>
      <c r="F420" s="2" t="s">
        <v>881</v>
      </c>
      <c r="G420" s="6" t="s">
        <v>11</v>
      </c>
      <c r="H420" s="70">
        <v>50</v>
      </c>
      <c r="I420" s="72">
        <f>FastenersPriceList[[#This Row],[Quantity (kg)]]/FastenersPriceList[[#This Row],[SINGLE PC. WT.]]</f>
        <v>16.286644951140065</v>
      </c>
      <c r="J420" s="3">
        <v>122</v>
      </c>
      <c r="K420" s="3">
        <f>FastenersPriceList[[#This Row],[1000 PCS/WT.]]*FastenersPriceList[[#This Row],[Rate / PER kg (₹)]]</f>
        <v>374540</v>
      </c>
      <c r="L420" s="4">
        <f>FastenersPriceList[[#This Row],[Rate / PER kg (₹)]]*FastenersPriceList[[#This Row],[Quantity (kg)]]</f>
        <v>6100</v>
      </c>
      <c r="M420" s="4"/>
    </row>
    <row r="421" spans="1:13" ht="22.05" customHeight="1" x14ac:dyDescent="0.3">
      <c r="A421" s="2" t="s">
        <v>1315</v>
      </c>
      <c r="B421" s="12" t="s">
        <v>8</v>
      </c>
      <c r="C421" s="12" t="s">
        <v>9</v>
      </c>
      <c r="D421" s="2">
        <v>3160</v>
      </c>
      <c r="E421" s="2">
        <f>FastenersPriceList[[#This Row],[1000 PCS/WT.]]/1000</f>
        <v>3.16</v>
      </c>
      <c r="F421" s="2" t="s">
        <v>882</v>
      </c>
      <c r="G421" s="6" t="s">
        <v>11</v>
      </c>
      <c r="H421" s="70">
        <v>50</v>
      </c>
      <c r="I421" s="72">
        <f>FastenersPriceList[[#This Row],[Quantity (kg)]]/FastenersPriceList[[#This Row],[SINGLE PC. WT.]]</f>
        <v>15.822784810126581</v>
      </c>
      <c r="J421" s="3">
        <v>122</v>
      </c>
      <c r="K421" s="3">
        <f>FastenersPriceList[[#This Row],[1000 PCS/WT.]]*FastenersPriceList[[#This Row],[Rate / PER kg (₹)]]</f>
        <v>385520</v>
      </c>
      <c r="L421" s="4">
        <f>FastenersPriceList[[#This Row],[Rate / PER kg (₹)]]*FastenersPriceList[[#This Row],[Quantity (kg)]]</f>
        <v>6100</v>
      </c>
      <c r="M421" s="4"/>
    </row>
    <row r="422" spans="1:13" ht="22.05" customHeight="1" x14ac:dyDescent="0.3">
      <c r="A422" s="2" t="s">
        <v>1316</v>
      </c>
      <c r="B422" s="12" t="s">
        <v>8</v>
      </c>
      <c r="C422" s="12" t="s">
        <v>9</v>
      </c>
      <c r="D422" s="2">
        <v>3250</v>
      </c>
      <c r="E422" s="2">
        <f>FastenersPriceList[[#This Row],[1000 PCS/WT.]]/1000</f>
        <v>3.25</v>
      </c>
      <c r="F422" s="2" t="s">
        <v>883</v>
      </c>
      <c r="G422" s="6" t="s">
        <v>11</v>
      </c>
      <c r="H422" s="70">
        <v>50</v>
      </c>
      <c r="I422" s="72">
        <f>FastenersPriceList[[#This Row],[Quantity (kg)]]/FastenersPriceList[[#This Row],[SINGLE PC. WT.]]</f>
        <v>15.384615384615385</v>
      </c>
      <c r="J422" s="3">
        <v>122</v>
      </c>
      <c r="K422" s="3">
        <f>FastenersPriceList[[#This Row],[1000 PCS/WT.]]*FastenersPriceList[[#This Row],[Rate / PER kg (₹)]]</f>
        <v>396500</v>
      </c>
      <c r="L422" s="4">
        <f>FastenersPriceList[[#This Row],[Rate / PER kg (₹)]]*FastenersPriceList[[#This Row],[Quantity (kg)]]</f>
        <v>6100</v>
      </c>
      <c r="M422" s="4"/>
    </row>
    <row r="423" spans="1:13" ht="22.05" customHeight="1" x14ac:dyDescent="0.3">
      <c r="A423" s="2" t="s">
        <v>1317</v>
      </c>
      <c r="B423" s="12" t="s">
        <v>8</v>
      </c>
      <c r="C423" s="12" t="s">
        <v>9</v>
      </c>
      <c r="D423" s="2">
        <v>3340</v>
      </c>
      <c r="E423" s="2">
        <f>FastenersPriceList[[#This Row],[1000 PCS/WT.]]/1000</f>
        <v>3.34</v>
      </c>
      <c r="F423" s="2" t="s">
        <v>884</v>
      </c>
      <c r="G423" s="6" t="s">
        <v>11</v>
      </c>
      <c r="H423" s="70">
        <v>50</v>
      </c>
      <c r="I423" s="72">
        <f>FastenersPriceList[[#This Row],[Quantity (kg)]]/FastenersPriceList[[#This Row],[SINGLE PC. WT.]]</f>
        <v>14.970059880239521</v>
      </c>
      <c r="J423" s="3">
        <v>122</v>
      </c>
      <c r="K423" s="3">
        <f>FastenersPriceList[[#This Row],[1000 PCS/WT.]]*FastenersPriceList[[#This Row],[Rate / PER kg (₹)]]</f>
        <v>407480</v>
      </c>
      <c r="L423" s="4">
        <f>FastenersPriceList[[#This Row],[Rate / PER kg (₹)]]*FastenersPriceList[[#This Row],[Quantity (kg)]]</f>
        <v>6100</v>
      </c>
      <c r="M423" s="4"/>
    </row>
    <row r="424" spans="1:13" ht="22.05" customHeight="1" x14ac:dyDescent="0.3">
      <c r="A424" s="2" t="s">
        <v>1318</v>
      </c>
      <c r="B424" s="12" t="s">
        <v>8</v>
      </c>
      <c r="C424" s="12" t="s">
        <v>9</v>
      </c>
      <c r="D424" s="2">
        <v>3430</v>
      </c>
      <c r="E424" s="2">
        <f>FastenersPriceList[[#This Row],[1000 PCS/WT.]]/1000</f>
        <v>3.43</v>
      </c>
      <c r="F424" s="2" t="s">
        <v>885</v>
      </c>
      <c r="G424" s="6" t="s">
        <v>11</v>
      </c>
      <c r="H424" s="70">
        <v>50</v>
      </c>
      <c r="I424" s="72">
        <f>FastenersPriceList[[#This Row],[Quantity (kg)]]/FastenersPriceList[[#This Row],[SINGLE PC. WT.]]</f>
        <v>14.577259475218659</v>
      </c>
      <c r="J424" s="3">
        <v>122</v>
      </c>
      <c r="K424" s="3">
        <f>FastenersPriceList[[#This Row],[1000 PCS/WT.]]*FastenersPriceList[[#This Row],[Rate / PER kg (₹)]]</f>
        <v>418460</v>
      </c>
      <c r="L424" s="4">
        <f>FastenersPriceList[[#This Row],[Rate / PER kg (₹)]]*FastenersPriceList[[#This Row],[Quantity (kg)]]</f>
        <v>6100</v>
      </c>
      <c r="M424" s="4"/>
    </row>
    <row r="425" spans="1:13" ht="22.05" customHeight="1" x14ac:dyDescent="0.3">
      <c r="A425" s="2" t="s">
        <v>1319</v>
      </c>
      <c r="B425" s="12" t="s">
        <v>8</v>
      </c>
      <c r="C425" s="12" t="s">
        <v>9</v>
      </c>
      <c r="D425" s="2">
        <v>3520</v>
      </c>
      <c r="E425" s="2">
        <f>FastenersPriceList[[#This Row],[1000 PCS/WT.]]/1000</f>
        <v>3.52</v>
      </c>
      <c r="F425" s="2" t="s">
        <v>886</v>
      </c>
      <c r="G425" s="6" t="s">
        <v>11</v>
      </c>
      <c r="H425" s="70">
        <v>50</v>
      </c>
      <c r="I425" s="72">
        <f>FastenersPriceList[[#This Row],[Quantity (kg)]]/FastenersPriceList[[#This Row],[SINGLE PC. WT.]]</f>
        <v>14.204545454545455</v>
      </c>
      <c r="J425" s="3">
        <v>122</v>
      </c>
      <c r="K425" s="3">
        <f>FastenersPriceList[[#This Row],[1000 PCS/WT.]]*FastenersPriceList[[#This Row],[Rate / PER kg (₹)]]</f>
        <v>429440</v>
      </c>
      <c r="L425" s="4">
        <f>FastenersPriceList[[#This Row],[Rate / PER kg (₹)]]*FastenersPriceList[[#This Row],[Quantity (kg)]]</f>
        <v>6100</v>
      </c>
      <c r="M425" s="4"/>
    </row>
    <row r="426" spans="1:13" ht="22.05" customHeight="1" x14ac:dyDescent="0.3">
      <c r="A426" s="2" t="s">
        <v>1320</v>
      </c>
      <c r="B426" s="12" t="s">
        <v>8</v>
      </c>
      <c r="C426" s="12" t="s">
        <v>9</v>
      </c>
      <c r="D426" s="2">
        <v>3610</v>
      </c>
      <c r="E426" s="2">
        <f>FastenersPriceList[[#This Row],[1000 PCS/WT.]]/1000</f>
        <v>3.61</v>
      </c>
      <c r="F426" s="2" t="s">
        <v>887</v>
      </c>
      <c r="G426" s="6" t="s">
        <v>11</v>
      </c>
      <c r="H426" s="70">
        <v>50</v>
      </c>
      <c r="I426" s="72">
        <f>FastenersPriceList[[#This Row],[Quantity (kg)]]/FastenersPriceList[[#This Row],[SINGLE PC. WT.]]</f>
        <v>13.850415512465375</v>
      </c>
      <c r="J426" s="3">
        <v>122</v>
      </c>
      <c r="K426" s="3">
        <f>FastenersPriceList[[#This Row],[1000 PCS/WT.]]*FastenersPriceList[[#This Row],[Rate / PER kg (₹)]]</f>
        <v>440420</v>
      </c>
      <c r="L426" s="4">
        <f>FastenersPriceList[[#This Row],[Rate / PER kg (₹)]]*FastenersPriceList[[#This Row],[Quantity (kg)]]</f>
        <v>6100</v>
      </c>
      <c r="M426" s="4"/>
    </row>
    <row r="427" spans="1:13" ht="22.05" customHeight="1" x14ac:dyDescent="0.3">
      <c r="A427" s="2" t="s">
        <v>1321</v>
      </c>
      <c r="B427" s="12" t="s">
        <v>8</v>
      </c>
      <c r="C427" s="12" t="s">
        <v>9</v>
      </c>
      <c r="D427" s="2">
        <v>3700</v>
      </c>
      <c r="E427" s="2">
        <f>FastenersPriceList[[#This Row],[1000 PCS/WT.]]/1000</f>
        <v>3.7</v>
      </c>
      <c r="F427" s="2" t="s">
        <v>888</v>
      </c>
      <c r="G427" s="6" t="s">
        <v>11</v>
      </c>
      <c r="H427" s="70">
        <v>50</v>
      </c>
      <c r="I427" s="72">
        <f>FastenersPriceList[[#This Row],[Quantity (kg)]]/FastenersPriceList[[#This Row],[SINGLE PC. WT.]]</f>
        <v>13.513513513513512</v>
      </c>
      <c r="J427" s="3">
        <v>122</v>
      </c>
      <c r="K427" s="3">
        <f>FastenersPriceList[[#This Row],[1000 PCS/WT.]]*FastenersPriceList[[#This Row],[Rate / PER kg (₹)]]</f>
        <v>451400</v>
      </c>
      <c r="L427" s="4">
        <f>FastenersPriceList[[#This Row],[Rate / PER kg (₹)]]*FastenersPriceList[[#This Row],[Quantity (kg)]]</f>
        <v>6100</v>
      </c>
      <c r="M427" s="4"/>
    </row>
    <row r="428" spans="1:13" ht="22.05" customHeight="1" x14ac:dyDescent="0.3">
      <c r="A428" s="2" t="s">
        <v>1322</v>
      </c>
      <c r="B428" s="12" t="s">
        <v>8</v>
      </c>
      <c r="C428" s="12" t="s">
        <v>9</v>
      </c>
      <c r="D428" s="2">
        <v>3790</v>
      </c>
      <c r="E428" s="2">
        <f>FastenersPriceList[[#This Row],[1000 PCS/WT.]]/1000</f>
        <v>3.79</v>
      </c>
      <c r="F428" s="2" t="s">
        <v>889</v>
      </c>
      <c r="G428" s="6" t="s">
        <v>11</v>
      </c>
      <c r="H428" s="70">
        <v>50</v>
      </c>
      <c r="I428" s="72">
        <f>FastenersPriceList[[#This Row],[Quantity (kg)]]/FastenersPriceList[[#This Row],[SINGLE PC. WT.]]</f>
        <v>13.192612137203167</v>
      </c>
      <c r="J428" s="3">
        <v>122</v>
      </c>
      <c r="K428" s="3">
        <f>FastenersPriceList[[#This Row],[1000 PCS/WT.]]*FastenersPriceList[[#This Row],[Rate / PER kg (₹)]]</f>
        <v>462380</v>
      </c>
      <c r="L428" s="4">
        <f>FastenersPriceList[[#This Row],[Rate / PER kg (₹)]]*FastenersPriceList[[#This Row],[Quantity (kg)]]</f>
        <v>6100</v>
      </c>
      <c r="M428" s="4"/>
    </row>
    <row r="429" spans="1:13" ht="22.05" customHeight="1" x14ac:dyDescent="0.3">
      <c r="A429" s="2" t="s">
        <v>1323</v>
      </c>
      <c r="B429" s="12" t="s">
        <v>8</v>
      </c>
      <c r="C429" s="12" t="s">
        <v>9</v>
      </c>
      <c r="D429" s="2">
        <v>3880</v>
      </c>
      <c r="E429" s="2">
        <f>FastenersPriceList[[#This Row],[1000 PCS/WT.]]/1000</f>
        <v>3.88</v>
      </c>
      <c r="F429" s="2" t="s">
        <v>890</v>
      </c>
      <c r="G429" s="6" t="s">
        <v>11</v>
      </c>
      <c r="H429" s="70">
        <v>50</v>
      </c>
      <c r="I429" s="72">
        <f>FastenersPriceList[[#This Row],[Quantity (kg)]]/FastenersPriceList[[#This Row],[SINGLE PC. WT.]]</f>
        <v>12.88659793814433</v>
      </c>
      <c r="J429" s="3">
        <v>122</v>
      </c>
      <c r="K429" s="3">
        <f>FastenersPriceList[[#This Row],[1000 PCS/WT.]]*FastenersPriceList[[#This Row],[Rate / PER kg (₹)]]</f>
        <v>473360</v>
      </c>
      <c r="L429" s="4">
        <f>FastenersPriceList[[#This Row],[Rate / PER kg (₹)]]*FastenersPriceList[[#This Row],[Quantity (kg)]]</f>
        <v>6100</v>
      </c>
      <c r="M429" s="4"/>
    </row>
    <row r="430" spans="1:13" x14ac:dyDescent="0.3">
      <c r="A430" s="5"/>
      <c r="B430" s="5"/>
      <c r="C430" s="5"/>
      <c r="D430" s="5"/>
      <c r="E430" s="5"/>
      <c r="F430" s="5"/>
      <c r="G430" s="5"/>
      <c r="H430" s="71"/>
      <c r="I430" s="68"/>
      <c r="J430" s="5"/>
      <c r="K430" s="5"/>
      <c r="L430" s="5"/>
      <c r="M430" s="5"/>
    </row>
    <row r="431" spans="1:13" ht="25.95" customHeight="1" x14ac:dyDescent="0.3">
      <c r="A431" s="34" t="s">
        <v>7</v>
      </c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1">
        <f>SUM(L5:L429)</f>
        <v>2407850</v>
      </c>
      <c r="M431" s="1">
        <f>SUM(M5:M429)</f>
        <v>0</v>
      </c>
    </row>
  </sheetData>
  <mergeCells count="3">
    <mergeCell ref="A2:M2"/>
    <mergeCell ref="A431:K431"/>
    <mergeCell ref="A1:M1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B7A3-5584-43CF-8040-C53B7A06CB27}">
  <dimension ref="A1:M431"/>
  <sheetViews>
    <sheetView topLeftCell="A338" workbookViewId="0">
      <selection activeCell="A355" sqref="A355"/>
    </sheetView>
  </sheetViews>
  <sheetFormatPr defaultRowHeight="14.4" x14ac:dyDescent="0.3"/>
  <cols>
    <col min="1" max="1" width="18.109375" customWidth="1"/>
    <col min="2" max="2" width="27.77734375" customWidth="1"/>
    <col min="3" max="3" width="10.44140625" customWidth="1"/>
    <col min="4" max="5" width="9.21875" customWidth="1"/>
    <col min="6" max="6" width="9" customWidth="1"/>
    <col min="7" max="7" width="7.109375" customWidth="1"/>
    <col min="8" max="8" width="9.6640625" style="69" customWidth="1"/>
    <col min="9" max="9" width="10.21875" style="65" customWidth="1"/>
    <col min="10" max="10" width="7.88671875" customWidth="1"/>
    <col min="11" max="11" width="11.77734375" customWidth="1"/>
    <col min="12" max="12" width="9.33203125" customWidth="1"/>
    <col min="13" max="13" width="13.109375" customWidth="1"/>
  </cols>
  <sheetData>
    <row r="1" spans="1:13" ht="31.95" customHeight="1" x14ac:dyDescent="0.3">
      <c r="A1" s="35" t="s">
        <v>897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34.049999999999997" customHeight="1" x14ac:dyDescent="0.3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15" thickBot="1" x14ac:dyDescent="0.35"/>
    <row r="4" spans="1:13" ht="37.950000000000003" customHeight="1" thickBot="1" x14ac:dyDescent="0.35">
      <c r="A4" s="9" t="s">
        <v>1</v>
      </c>
      <c r="B4" s="10" t="s">
        <v>2</v>
      </c>
      <c r="C4" s="10" t="s">
        <v>3</v>
      </c>
      <c r="D4" s="10" t="s">
        <v>634</v>
      </c>
      <c r="E4" s="10" t="s">
        <v>891</v>
      </c>
      <c r="F4" s="10" t="s">
        <v>4</v>
      </c>
      <c r="G4" s="10" t="s">
        <v>5</v>
      </c>
      <c r="H4" s="66" t="s">
        <v>6</v>
      </c>
      <c r="I4" s="66" t="s">
        <v>892</v>
      </c>
      <c r="J4" s="10" t="s">
        <v>894</v>
      </c>
      <c r="K4" s="10" t="s">
        <v>178</v>
      </c>
      <c r="L4" s="10" t="s">
        <v>895</v>
      </c>
      <c r="M4" s="11" t="s">
        <v>900</v>
      </c>
    </row>
    <row r="5" spans="1:13" ht="22.05" customHeight="1" x14ac:dyDescent="0.3">
      <c r="A5" s="6" t="s">
        <v>1328</v>
      </c>
      <c r="B5" s="6" t="s">
        <v>8</v>
      </c>
      <c r="C5" s="12">
        <v>8.8000000000000007</v>
      </c>
      <c r="D5" s="6">
        <v>2.63</v>
      </c>
      <c r="E5" s="6">
        <f>FastenersPriceList3[[#This Row],[1000 PCS/WT.]]/1000</f>
        <v>2.63E-3</v>
      </c>
      <c r="F5" s="6" t="s">
        <v>10</v>
      </c>
      <c r="G5" s="6" t="s">
        <v>1329</v>
      </c>
      <c r="H5" s="70">
        <v>50</v>
      </c>
      <c r="I5" s="67">
        <f>FastenersPriceList3[[#This Row],[Quantity (kg)]]/FastenersPriceList3[[#This Row],[SINGLE PC. WT.]]</f>
        <v>19011.406844106463</v>
      </c>
      <c r="J5" s="7">
        <v>135</v>
      </c>
      <c r="K5" s="7">
        <f>FastenersPriceList3[[#This Row],[1000 PCS/WT.]]*FastenersPriceList3[[#This Row],[Rate / PER kg (₹)]]</f>
        <v>355.05</v>
      </c>
      <c r="L5" s="8">
        <f>FastenersPriceList3[[#This Row],[Rate / PER kg (₹)]]*FastenersPriceList3[[#This Row],[Quantity (kg)]]</f>
        <v>6750</v>
      </c>
      <c r="M5" s="8">
        <f>FastenersPriceList3[[#This Row],[SINGLE PC. WT.]]*FastenersPriceList3[[#This Row],[Rate / PER kg (₹)]]</f>
        <v>0.35504999999999998</v>
      </c>
    </row>
    <row r="6" spans="1:13" ht="22.05" customHeight="1" x14ac:dyDescent="0.3">
      <c r="A6" s="2" t="s">
        <v>1330</v>
      </c>
      <c r="B6" s="12" t="s">
        <v>8</v>
      </c>
      <c r="C6" s="12">
        <v>8.8000000000000007</v>
      </c>
      <c r="D6" s="2">
        <v>3.37</v>
      </c>
      <c r="E6" s="2">
        <f>FastenersPriceList3[[#This Row],[1000 PCS/WT.]]/1000</f>
        <v>3.3700000000000002E-3</v>
      </c>
      <c r="F6" s="2" t="s">
        <v>12</v>
      </c>
      <c r="G6" s="6" t="s">
        <v>1329</v>
      </c>
      <c r="H6" s="70">
        <v>50</v>
      </c>
      <c r="I6" s="72">
        <f>FastenersPriceList3[[#This Row],[Quantity (kg)]]/FastenersPriceList3[[#This Row],[SINGLE PC. WT.]]</f>
        <v>14836.795252225518</v>
      </c>
      <c r="J6" s="3">
        <v>135</v>
      </c>
      <c r="K6" s="3">
        <f>FastenersPriceList3[[#This Row],[1000 PCS/WT.]]*FastenersPriceList3[[#This Row],[Rate / PER kg (₹)]]</f>
        <v>454.95</v>
      </c>
      <c r="L6" s="4">
        <f>FastenersPriceList3[[#This Row],[Rate / PER kg (₹)]]*FastenersPriceList3[[#This Row],[Quantity (kg)]]</f>
        <v>6750</v>
      </c>
      <c r="M6" s="4">
        <f>FastenersPriceList3[[#This Row],[SINGLE PC. WT.]]*FastenersPriceList3[[#This Row],[Rate / PER kg (₹)]]</f>
        <v>0.45495000000000002</v>
      </c>
    </row>
    <row r="7" spans="1:13" ht="22.05" customHeight="1" x14ac:dyDescent="0.3">
      <c r="A7" s="2" t="s">
        <v>1331</v>
      </c>
      <c r="B7" s="12" t="s">
        <v>8</v>
      </c>
      <c r="C7" s="12">
        <v>8.8000000000000007</v>
      </c>
      <c r="D7" s="2">
        <v>3.87</v>
      </c>
      <c r="E7" s="2">
        <f>FastenersPriceList3[[#This Row],[1000 PCS/WT.]]/1000</f>
        <v>3.8700000000000002E-3</v>
      </c>
      <c r="F7" s="2" t="s">
        <v>13</v>
      </c>
      <c r="G7" s="6" t="s">
        <v>1329</v>
      </c>
      <c r="H7" s="70">
        <v>50</v>
      </c>
      <c r="I7" s="72">
        <f>FastenersPriceList3[[#This Row],[Quantity (kg)]]/FastenersPriceList3[[#This Row],[SINGLE PC. WT.]]</f>
        <v>12919.896640826873</v>
      </c>
      <c r="J7" s="3">
        <v>135</v>
      </c>
      <c r="K7" s="3">
        <f>FastenersPriceList3[[#This Row],[1000 PCS/WT.]]*FastenersPriceList3[[#This Row],[Rate / PER kg (₹)]]</f>
        <v>522.45000000000005</v>
      </c>
      <c r="L7" s="4">
        <f>FastenersPriceList3[[#This Row],[Rate / PER kg (₹)]]*FastenersPriceList3[[#This Row],[Quantity (kg)]]</f>
        <v>6750</v>
      </c>
      <c r="M7" s="4">
        <f>FastenersPriceList3[[#This Row],[SINGLE PC. WT.]]*FastenersPriceList3[[#This Row],[Rate / PER kg (₹)]]</f>
        <v>0.52244999999999997</v>
      </c>
    </row>
    <row r="8" spans="1:13" ht="22.05" customHeight="1" x14ac:dyDescent="0.3">
      <c r="A8" s="2" t="s">
        <v>1332</v>
      </c>
      <c r="B8" s="12" t="s">
        <v>8</v>
      </c>
      <c r="C8" s="12">
        <v>8.8000000000000007</v>
      </c>
      <c r="D8" s="2">
        <v>4.49</v>
      </c>
      <c r="E8" s="2">
        <f>FastenersPriceList3[[#This Row],[1000 PCS/WT.]]/1000</f>
        <v>4.4900000000000001E-3</v>
      </c>
      <c r="F8" s="2" t="s">
        <v>14</v>
      </c>
      <c r="G8" s="6" t="s">
        <v>1329</v>
      </c>
      <c r="H8" s="70">
        <v>50</v>
      </c>
      <c r="I8" s="72">
        <f>FastenersPriceList3[[#This Row],[Quantity (kg)]]/FastenersPriceList3[[#This Row],[SINGLE PC. WT.]]</f>
        <v>11135.8574610245</v>
      </c>
      <c r="J8" s="3">
        <v>135</v>
      </c>
      <c r="K8" s="3">
        <f>FastenersPriceList3[[#This Row],[1000 PCS/WT.]]*FastenersPriceList3[[#This Row],[Rate / PER kg (₹)]]</f>
        <v>606.15</v>
      </c>
      <c r="L8" s="4">
        <f>FastenersPriceList3[[#This Row],[Rate / PER kg (₹)]]*FastenersPriceList3[[#This Row],[Quantity (kg)]]</f>
        <v>6750</v>
      </c>
      <c r="M8" s="4">
        <f>FastenersPriceList3[[#This Row],[SINGLE PC. WT.]]*FastenersPriceList3[[#This Row],[Rate / PER kg (₹)]]</f>
        <v>0.60614999999999997</v>
      </c>
    </row>
    <row r="9" spans="1:13" ht="22.05" customHeight="1" x14ac:dyDescent="0.3">
      <c r="A9" s="2" t="s">
        <v>1333</v>
      </c>
      <c r="B9" s="12" t="s">
        <v>8</v>
      </c>
      <c r="C9" s="12">
        <v>8.8000000000000007</v>
      </c>
      <c r="D9" s="2">
        <v>5.1100000000000003</v>
      </c>
      <c r="E9" s="2">
        <f>FastenersPriceList3[[#This Row],[1000 PCS/WT.]]/1000</f>
        <v>5.11E-3</v>
      </c>
      <c r="F9" s="2" t="s">
        <v>15</v>
      </c>
      <c r="G9" s="6" t="s">
        <v>1329</v>
      </c>
      <c r="H9" s="70">
        <v>50</v>
      </c>
      <c r="I9" s="72">
        <f>FastenersPriceList3[[#This Row],[Quantity (kg)]]/FastenersPriceList3[[#This Row],[SINGLE PC. WT.]]</f>
        <v>9784.7358121330726</v>
      </c>
      <c r="J9" s="3">
        <v>133</v>
      </c>
      <c r="K9" s="3">
        <f>FastenersPriceList3[[#This Row],[1000 PCS/WT.]]*FastenersPriceList3[[#This Row],[Rate / PER kg (₹)]]</f>
        <v>679.63</v>
      </c>
      <c r="L9" s="4">
        <f>FastenersPriceList3[[#This Row],[Rate / PER kg (₹)]]*FastenersPriceList3[[#This Row],[Quantity (kg)]]</f>
        <v>6650</v>
      </c>
      <c r="M9" s="4">
        <f>FastenersPriceList3[[#This Row],[SINGLE PC. WT.]]*FastenersPriceList3[[#This Row],[Rate / PER kg (₹)]]</f>
        <v>0.67962999999999996</v>
      </c>
    </row>
    <row r="10" spans="1:13" ht="22.05" customHeight="1" x14ac:dyDescent="0.3">
      <c r="A10" s="2" t="s">
        <v>1334</v>
      </c>
      <c r="B10" s="12" t="s">
        <v>8</v>
      </c>
      <c r="C10" s="12">
        <v>8.8000000000000007</v>
      </c>
      <c r="D10" s="2">
        <v>5.73</v>
      </c>
      <c r="E10" s="2">
        <f>FastenersPriceList3[[#This Row],[1000 PCS/WT.]]/1000</f>
        <v>5.7300000000000007E-3</v>
      </c>
      <c r="F10" s="2" t="s">
        <v>16</v>
      </c>
      <c r="G10" s="6" t="s">
        <v>1329</v>
      </c>
      <c r="H10" s="70">
        <v>50</v>
      </c>
      <c r="I10" s="72">
        <f>FastenersPriceList3[[#This Row],[Quantity (kg)]]/FastenersPriceList3[[#This Row],[SINGLE PC. WT.]]</f>
        <v>8726.0034904013955</v>
      </c>
      <c r="J10" s="3">
        <v>133</v>
      </c>
      <c r="K10" s="3">
        <f>FastenersPriceList3[[#This Row],[1000 PCS/WT.]]*FastenersPriceList3[[#This Row],[Rate / PER kg (₹)]]</f>
        <v>762.09</v>
      </c>
      <c r="L10" s="4">
        <f>FastenersPriceList3[[#This Row],[Rate / PER kg (₹)]]*FastenersPriceList3[[#This Row],[Quantity (kg)]]</f>
        <v>6650</v>
      </c>
      <c r="M10" s="4">
        <f>FastenersPriceList3[[#This Row],[SINGLE PC. WT.]]*FastenersPriceList3[[#This Row],[Rate / PER kg (₹)]]</f>
        <v>0.76209000000000005</v>
      </c>
    </row>
    <row r="11" spans="1:13" ht="22.05" customHeight="1" x14ac:dyDescent="0.3">
      <c r="A11" s="2" t="s">
        <v>1335</v>
      </c>
      <c r="B11" s="12" t="s">
        <v>8</v>
      </c>
      <c r="C11" s="12">
        <v>8.8000000000000007</v>
      </c>
      <c r="D11" s="2">
        <v>6.35</v>
      </c>
      <c r="E11" s="2">
        <f>FastenersPriceList3[[#This Row],[1000 PCS/WT.]]/1000</f>
        <v>6.3499999999999997E-3</v>
      </c>
      <c r="F11" s="2" t="s">
        <v>17</v>
      </c>
      <c r="G11" s="6" t="s">
        <v>1329</v>
      </c>
      <c r="H11" s="70">
        <v>50</v>
      </c>
      <c r="I11" s="72">
        <f>FastenersPriceList3[[#This Row],[Quantity (kg)]]/FastenersPriceList3[[#This Row],[SINGLE PC. WT.]]</f>
        <v>7874.0157480314965</v>
      </c>
      <c r="J11" s="3">
        <v>133</v>
      </c>
      <c r="K11" s="3">
        <f>FastenersPriceList3[[#This Row],[1000 PCS/WT.]]*FastenersPriceList3[[#This Row],[Rate / PER kg (₹)]]</f>
        <v>844.55</v>
      </c>
      <c r="L11" s="4">
        <f>FastenersPriceList3[[#This Row],[Rate / PER kg (₹)]]*FastenersPriceList3[[#This Row],[Quantity (kg)]]</f>
        <v>6650</v>
      </c>
      <c r="M11" s="4">
        <f>FastenersPriceList3[[#This Row],[SINGLE PC. WT.]]*FastenersPriceList3[[#This Row],[Rate / PER kg (₹)]]</f>
        <v>0.84454999999999991</v>
      </c>
    </row>
    <row r="12" spans="1:13" ht="22.05" customHeight="1" x14ac:dyDescent="0.3">
      <c r="A12" s="2" t="s">
        <v>1336</v>
      </c>
      <c r="B12" s="12" t="s">
        <v>8</v>
      </c>
      <c r="C12" s="12">
        <v>8.8000000000000007</v>
      </c>
      <c r="D12" s="2">
        <v>6.99</v>
      </c>
      <c r="E12" s="2">
        <f>FastenersPriceList3[[#This Row],[1000 PCS/WT.]]/1000</f>
        <v>6.9900000000000006E-3</v>
      </c>
      <c r="F12" s="2" t="s">
        <v>18</v>
      </c>
      <c r="G12" s="6" t="s">
        <v>1329</v>
      </c>
      <c r="H12" s="70">
        <v>50</v>
      </c>
      <c r="I12" s="72">
        <f>FastenersPriceList3[[#This Row],[Quantity (kg)]]/FastenersPriceList3[[#This Row],[SINGLE PC. WT.]]</f>
        <v>7153.0758226037187</v>
      </c>
      <c r="J12" s="3">
        <v>133</v>
      </c>
      <c r="K12" s="3">
        <f>FastenersPriceList3[[#This Row],[1000 PCS/WT.]]*FastenersPriceList3[[#This Row],[Rate / PER kg (₹)]]</f>
        <v>929.67000000000007</v>
      </c>
      <c r="L12" s="4">
        <f>FastenersPriceList3[[#This Row],[Rate / PER kg (₹)]]*FastenersPriceList3[[#This Row],[Quantity (kg)]]</f>
        <v>6650</v>
      </c>
      <c r="M12" s="4">
        <f>FastenersPriceList3[[#This Row],[SINGLE PC. WT.]]*FastenersPriceList3[[#This Row],[Rate / PER kg (₹)]]</f>
        <v>0.92967000000000011</v>
      </c>
    </row>
    <row r="13" spans="1:13" ht="22.05" customHeight="1" x14ac:dyDescent="0.3">
      <c r="A13" s="2" t="s">
        <v>1337</v>
      </c>
      <c r="B13" s="12" t="s">
        <v>8</v>
      </c>
      <c r="C13" s="12">
        <v>8.8000000000000007</v>
      </c>
      <c r="D13" s="2">
        <v>7.59</v>
      </c>
      <c r="E13" s="2">
        <f>FastenersPriceList3[[#This Row],[1000 PCS/WT.]]/1000</f>
        <v>7.5899999999999995E-3</v>
      </c>
      <c r="F13" s="2" t="s">
        <v>19</v>
      </c>
      <c r="G13" s="6" t="s">
        <v>1329</v>
      </c>
      <c r="H13" s="70">
        <v>50</v>
      </c>
      <c r="I13" s="72">
        <f>FastenersPriceList3[[#This Row],[Quantity (kg)]]/FastenersPriceList3[[#This Row],[SINGLE PC. WT.]]</f>
        <v>6587.6152832674579</v>
      </c>
      <c r="J13" s="3">
        <v>133</v>
      </c>
      <c r="K13" s="3">
        <f>FastenersPriceList3[[#This Row],[1000 PCS/WT.]]*FastenersPriceList3[[#This Row],[Rate / PER kg (₹)]]</f>
        <v>1009.47</v>
      </c>
      <c r="L13" s="4">
        <f>FastenersPriceList3[[#This Row],[Rate / PER kg (₹)]]*FastenersPriceList3[[#This Row],[Quantity (kg)]]</f>
        <v>6650</v>
      </c>
      <c r="M13" s="4">
        <f>FastenersPriceList3[[#This Row],[SINGLE PC. WT.]]*FastenersPriceList3[[#This Row],[Rate / PER kg (₹)]]</f>
        <v>1.0094699999999999</v>
      </c>
    </row>
    <row r="14" spans="1:13" ht="22.05" customHeight="1" x14ac:dyDescent="0.3">
      <c r="A14" s="2" t="s">
        <v>1338</v>
      </c>
      <c r="B14" s="12" t="s">
        <v>8</v>
      </c>
      <c r="C14" s="12">
        <v>8.8000000000000007</v>
      </c>
      <c r="D14" s="2">
        <v>8.2100000000000009</v>
      </c>
      <c r="E14" s="2">
        <f>FastenersPriceList3[[#This Row],[1000 PCS/WT.]]/1000</f>
        <v>8.2100000000000003E-3</v>
      </c>
      <c r="F14" s="2" t="s">
        <v>20</v>
      </c>
      <c r="G14" s="6" t="s">
        <v>1329</v>
      </c>
      <c r="H14" s="70">
        <v>50</v>
      </c>
      <c r="I14" s="72">
        <f>FastenersPriceList3[[#This Row],[Quantity (kg)]]/FastenersPriceList3[[#This Row],[SINGLE PC. WT.]]</f>
        <v>6090.1339829476246</v>
      </c>
      <c r="J14" s="3">
        <v>131</v>
      </c>
      <c r="K14" s="3">
        <f>FastenersPriceList3[[#This Row],[1000 PCS/WT.]]*FastenersPriceList3[[#This Row],[Rate / PER kg (₹)]]</f>
        <v>1075.5100000000002</v>
      </c>
      <c r="L14" s="4">
        <f>FastenersPriceList3[[#This Row],[Rate / PER kg (₹)]]*FastenersPriceList3[[#This Row],[Quantity (kg)]]</f>
        <v>6550</v>
      </c>
      <c r="M14" s="4">
        <f>FastenersPriceList3[[#This Row],[SINGLE PC. WT.]]*FastenersPriceList3[[#This Row],[Rate / PER kg (₹)]]</f>
        <v>1.07551</v>
      </c>
    </row>
    <row r="15" spans="1:13" ht="22.05" customHeight="1" x14ac:dyDescent="0.3">
      <c r="A15" s="2" t="s">
        <v>1339</v>
      </c>
      <c r="B15" s="12" t="s">
        <v>8</v>
      </c>
      <c r="C15" s="12">
        <v>8.8000000000000007</v>
      </c>
      <c r="D15" s="2">
        <v>8.83</v>
      </c>
      <c r="E15" s="2">
        <f>FastenersPriceList3[[#This Row],[1000 PCS/WT.]]/1000</f>
        <v>8.8299999999999993E-3</v>
      </c>
      <c r="F15" s="2" t="s">
        <v>21</v>
      </c>
      <c r="G15" s="6" t="s">
        <v>1329</v>
      </c>
      <c r="H15" s="70">
        <v>50</v>
      </c>
      <c r="I15" s="72">
        <f>FastenersPriceList3[[#This Row],[Quantity (kg)]]/FastenersPriceList3[[#This Row],[SINGLE PC. WT.]]</f>
        <v>5662.5141562853914</v>
      </c>
      <c r="J15" s="3">
        <v>131</v>
      </c>
      <c r="K15" s="3">
        <f>FastenersPriceList3[[#This Row],[1000 PCS/WT.]]*FastenersPriceList3[[#This Row],[Rate / PER kg (₹)]]</f>
        <v>1156.73</v>
      </c>
      <c r="L15" s="4">
        <f>FastenersPriceList3[[#This Row],[Rate / PER kg (₹)]]*FastenersPriceList3[[#This Row],[Quantity (kg)]]</f>
        <v>6550</v>
      </c>
      <c r="M15" s="4">
        <f>FastenersPriceList3[[#This Row],[SINGLE PC. WT.]]*FastenersPriceList3[[#This Row],[Rate / PER kg (₹)]]</f>
        <v>1.1567299999999998</v>
      </c>
    </row>
    <row r="16" spans="1:13" ht="22.05" customHeight="1" x14ac:dyDescent="0.3">
      <c r="A16" s="2" t="s">
        <v>1340</v>
      </c>
      <c r="B16" s="12" t="s">
        <v>8</v>
      </c>
      <c r="C16" s="12">
        <v>8.8000000000000007</v>
      </c>
      <c r="D16" s="2">
        <v>9.4499999999999993</v>
      </c>
      <c r="E16" s="2">
        <f>FastenersPriceList3[[#This Row],[1000 PCS/WT.]]/1000</f>
        <v>9.4500000000000001E-3</v>
      </c>
      <c r="F16" s="2" t="s">
        <v>22</v>
      </c>
      <c r="G16" s="6" t="s">
        <v>1329</v>
      </c>
      <c r="H16" s="70">
        <v>50</v>
      </c>
      <c r="I16" s="72">
        <f>FastenersPriceList3[[#This Row],[Quantity (kg)]]/FastenersPriceList3[[#This Row],[SINGLE PC. WT.]]</f>
        <v>5291.0052910052909</v>
      </c>
      <c r="J16" s="3">
        <v>131</v>
      </c>
      <c r="K16" s="3">
        <f>FastenersPriceList3[[#This Row],[1000 PCS/WT.]]*FastenersPriceList3[[#This Row],[Rate / PER kg (₹)]]</f>
        <v>1237.9499999999998</v>
      </c>
      <c r="L16" s="4">
        <f>FastenersPriceList3[[#This Row],[Rate / PER kg (₹)]]*FastenersPriceList3[[#This Row],[Quantity (kg)]]</f>
        <v>6550</v>
      </c>
      <c r="M16" s="4">
        <f>FastenersPriceList3[[#This Row],[SINGLE PC. WT.]]*FastenersPriceList3[[#This Row],[Rate / PER kg (₹)]]</f>
        <v>1.2379500000000001</v>
      </c>
    </row>
    <row r="17" spans="1:13" ht="22.05" customHeight="1" x14ac:dyDescent="0.3">
      <c r="A17" s="2" t="s">
        <v>1341</v>
      </c>
      <c r="B17" s="12" t="s">
        <v>8</v>
      </c>
      <c r="C17" s="12">
        <v>8.8000000000000007</v>
      </c>
      <c r="D17" s="2">
        <v>10.1</v>
      </c>
      <c r="E17" s="2">
        <f>FastenersPriceList3[[#This Row],[1000 PCS/WT.]]/1000</f>
        <v>1.01E-2</v>
      </c>
      <c r="F17" s="2" t="s">
        <v>23</v>
      </c>
      <c r="G17" s="6" t="s">
        <v>1329</v>
      </c>
      <c r="H17" s="70">
        <v>50</v>
      </c>
      <c r="I17" s="72">
        <f>FastenersPriceList3[[#This Row],[Quantity (kg)]]/FastenersPriceList3[[#This Row],[SINGLE PC. WT.]]</f>
        <v>4950.4950495049507</v>
      </c>
      <c r="J17" s="3">
        <v>130</v>
      </c>
      <c r="K17" s="3">
        <f>FastenersPriceList3[[#This Row],[1000 PCS/WT.]]*FastenersPriceList3[[#This Row],[Rate / PER kg (₹)]]</f>
        <v>1313</v>
      </c>
      <c r="L17" s="4">
        <f>FastenersPriceList3[[#This Row],[Rate / PER kg (₹)]]*FastenersPriceList3[[#This Row],[Quantity (kg)]]</f>
        <v>6500</v>
      </c>
      <c r="M17" s="4">
        <f>FastenersPriceList3[[#This Row],[SINGLE PC. WT.]]*FastenersPriceList3[[#This Row],[Rate / PER kg (₹)]]</f>
        <v>1.3129999999999999</v>
      </c>
    </row>
    <row r="18" spans="1:13" ht="22.05" customHeight="1" x14ac:dyDescent="0.3">
      <c r="A18" s="2" t="s">
        <v>1342</v>
      </c>
      <c r="B18" s="12" t="s">
        <v>8</v>
      </c>
      <c r="C18" s="12">
        <v>8.8000000000000007</v>
      </c>
      <c r="D18" s="2">
        <v>10.7</v>
      </c>
      <c r="E18" s="2">
        <f>FastenersPriceList3[[#This Row],[1000 PCS/WT.]]/1000</f>
        <v>1.0699999999999999E-2</v>
      </c>
      <c r="F18" s="2" t="s">
        <v>24</v>
      </c>
      <c r="G18" s="6" t="s">
        <v>1329</v>
      </c>
      <c r="H18" s="70">
        <v>50</v>
      </c>
      <c r="I18" s="72">
        <f>FastenersPriceList3[[#This Row],[Quantity (kg)]]/FastenersPriceList3[[#This Row],[SINGLE PC. WT.]]</f>
        <v>4672.8971962616824</v>
      </c>
      <c r="J18" s="3">
        <v>130</v>
      </c>
      <c r="K18" s="3">
        <f>FastenersPriceList3[[#This Row],[1000 PCS/WT.]]*FastenersPriceList3[[#This Row],[Rate / PER kg (₹)]]</f>
        <v>1391</v>
      </c>
      <c r="L18" s="4">
        <f>FastenersPriceList3[[#This Row],[Rate / PER kg (₹)]]*FastenersPriceList3[[#This Row],[Quantity (kg)]]</f>
        <v>6500</v>
      </c>
      <c r="M18" s="4">
        <f>FastenersPriceList3[[#This Row],[SINGLE PC. WT.]]*FastenersPriceList3[[#This Row],[Rate / PER kg (₹)]]</f>
        <v>1.391</v>
      </c>
    </row>
    <row r="19" spans="1:13" ht="22.05" customHeight="1" x14ac:dyDescent="0.3">
      <c r="A19" s="2" t="s">
        <v>1343</v>
      </c>
      <c r="B19" s="12" t="s">
        <v>8</v>
      </c>
      <c r="C19" s="12">
        <v>8.8000000000000007</v>
      </c>
      <c r="D19" s="2">
        <v>11.3</v>
      </c>
      <c r="E19" s="2">
        <f>FastenersPriceList3[[#This Row],[1000 PCS/WT.]]/1000</f>
        <v>1.1300000000000001E-2</v>
      </c>
      <c r="F19" s="2" t="s">
        <v>25</v>
      </c>
      <c r="G19" s="6" t="s">
        <v>1329</v>
      </c>
      <c r="H19" s="70">
        <v>50</v>
      </c>
      <c r="I19" s="72">
        <f>FastenersPriceList3[[#This Row],[Quantity (kg)]]/FastenersPriceList3[[#This Row],[SINGLE PC. WT.]]</f>
        <v>4424.7787610619462</v>
      </c>
      <c r="J19" s="3">
        <v>130</v>
      </c>
      <c r="K19" s="3">
        <f>FastenersPriceList3[[#This Row],[1000 PCS/WT.]]*FastenersPriceList3[[#This Row],[Rate / PER kg (₹)]]</f>
        <v>1469</v>
      </c>
      <c r="L19" s="4">
        <f>FastenersPriceList3[[#This Row],[Rate / PER kg (₹)]]*FastenersPriceList3[[#This Row],[Quantity (kg)]]</f>
        <v>6500</v>
      </c>
      <c r="M19" s="4">
        <f>FastenersPriceList3[[#This Row],[SINGLE PC. WT.]]*FastenersPriceList3[[#This Row],[Rate / PER kg (₹)]]</f>
        <v>1.4690000000000001</v>
      </c>
    </row>
    <row r="20" spans="1:13" ht="22.05" customHeight="1" x14ac:dyDescent="0.3">
      <c r="A20" s="2" t="s">
        <v>1344</v>
      </c>
      <c r="B20" s="12" t="s">
        <v>8</v>
      </c>
      <c r="C20" s="12">
        <v>8.8000000000000007</v>
      </c>
      <c r="D20" s="2">
        <v>4.08</v>
      </c>
      <c r="E20" s="6">
        <f>FastenersPriceList3[[#This Row],[1000 PCS/WT.]]/1000</f>
        <v>4.0800000000000003E-3</v>
      </c>
      <c r="F20" s="6" t="s">
        <v>26</v>
      </c>
      <c r="G20" s="6" t="s">
        <v>1329</v>
      </c>
      <c r="H20" s="70">
        <v>50</v>
      </c>
      <c r="I20" s="72">
        <f>FastenersPriceList3[[#This Row],[Quantity (kg)]]/FastenersPriceList3[[#This Row],[SINGLE PC. WT.]]</f>
        <v>12254.901960784313</v>
      </c>
      <c r="J20" s="3">
        <v>135</v>
      </c>
      <c r="K20" s="3">
        <f>FastenersPriceList3[[#This Row],[1000 PCS/WT.]]*FastenersPriceList3[[#This Row],[Rate / PER kg (₹)]]</f>
        <v>550.79999999999995</v>
      </c>
      <c r="L20" s="4">
        <f>FastenersPriceList3[[#This Row],[Rate / PER kg (₹)]]*FastenersPriceList3[[#This Row],[Quantity (kg)]]</f>
        <v>6750</v>
      </c>
      <c r="M20" s="4">
        <f>FastenersPriceList3[[#This Row],[SINGLE PC. WT.]]*FastenersPriceList3[[#This Row],[Rate / PER kg (₹)]]</f>
        <v>0.55080000000000007</v>
      </c>
    </row>
    <row r="21" spans="1:13" ht="22.05" customHeight="1" x14ac:dyDescent="0.3">
      <c r="A21" s="2" t="s">
        <v>1345</v>
      </c>
      <c r="B21" s="12" t="s">
        <v>8</v>
      </c>
      <c r="C21" s="12">
        <v>8.8000000000000007</v>
      </c>
      <c r="D21" s="2">
        <v>5.1100000000000003</v>
      </c>
      <c r="E21" s="2">
        <f>FastenersPriceList3[[#This Row],[1000 PCS/WT.]]/1000</f>
        <v>5.11E-3</v>
      </c>
      <c r="F21" s="2" t="s">
        <v>27</v>
      </c>
      <c r="G21" s="6" t="s">
        <v>1329</v>
      </c>
      <c r="H21" s="70">
        <v>50</v>
      </c>
      <c r="I21" s="72">
        <f>FastenersPriceList3[[#This Row],[Quantity (kg)]]/FastenersPriceList3[[#This Row],[SINGLE PC. WT.]]</f>
        <v>9784.7358121330726</v>
      </c>
      <c r="J21" s="3">
        <v>135</v>
      </c>
      <c r="K21" s="3">
        <f>FastenersPriceList3[[#This Row],[1000 PCS/WT.]]*FastenersPriceList3[[#This Row],[Rate / PER kg (₹)]]</f>
        <v>689.85</v>
      </c>
      <c r="L21" s="4">
        <f>FastenersPriceList3[[#This Row],[Rate / PER kg (₹)]]*FastenersPriceList3[[#This Row],[Quantity (kg)]]</f>
        <v>6750</v>
      </c>
      <c r="M21" s="4">
        <f>FastenersPriceList3[[#This Row],[SINGLE PC. WT.]]*FastenersPriceList3[[#This Row],[Rate / PER kg (₹)]]</f>
        <v>0.68984999999999996</v>
      </c>
    </row>
    <row r="22" spans="1:13" ht="22.05" customHeight="1" x14ac:dyDescent="0.3">
      <c r="A22" s="2" t="s">
        <v>1346</v>
      </c>
      <c r="B22" s="12" t="s">
        <v>8</v>
      </c>
      <c r="C22" s="12">
        <v>8.8000000000000007</v>
      </c>
      <c r="D22" s="2">
        <v>5.8</v>
      </c>
      <c r="E22" s="2">
        <f>FastenersPriceList3[[#This Row],[1000 PCS/WT.]]/1000</f>
        <v>5.7999999999999996E-3</v>
      </c>
      <c r="F22" s="2" t="s">
        <v>28</v>
      </c>
      <c r="G22" s="6" t="s">
        <v>1329</v>
      </c>
      <c r="H22" s="70">
        <v>50</v>
      </c>
      <c r="I22" s="72">
        <f>FastenersPriceList3[[#This Row],[Quantity (kg)]]/FastenersPriceList3[[#This Row],[SINGLE PC. WT.]]</f>
        <v>8620.6896551724149</v>
      </c>
      <c r="J22" s="3">
        <v>135</v>
      </c>
      <c r="K22" s="3">
        <f>FastenersPriceList3[[#This Row],[1000 PCS/WT.]]*FastenersPriceList3[[#This Row],[Rate / PER kg (₹)]]</f>
        <v>783</v>
      </c>
      <c r="L22" s="4">
        <f>FastenersPriceList3[[#This Row],[Rate / PER kg (₹)]]*FastenersPriceList3[[#This Row],[Quantity (kg)]]</f>
        <v>6750</v>
      </c>
      <c r="M22" s="4">
        <f>FastenersPriceList3[[#This Row],[SINGLE PC. WT.]]*FastenersPriceList3[[#This Row],[Rate / PER kg (₹)]]</f>
        <v>0.78299999999999992</v>
      </c>
    </row>
    <row r="23" spans="1:13" ht="22.05" customHeight="1" x14ac:dyDescent="0.3">
      <c r="A23" s="2" t="s">
        <v>1347</v>
      </c>
      <c r="B23" s="12" t="s">
        <v>8</v>
      </c>
      <c r="C23" s="12">
        <v>8.8000000000000007</v>
      </c>
      <c r="D23" s="2">
        <v>6.65</v>
      </c>
      <c r="E23" s="2">
        <f>FastenersPriceList3[[#This Row],[1000 PCS/WT.]]/1000</f>
        <v>6.6500000000000005E-3</v>
      </c>
      <c r="F23" s="2" t="s">
        <v>29</v>
      </c>
      <c r="G23" s="6" t="s">
        <v>1329</v>
      </c>
      <c r="H23" s="70">
        <v>50</v>
      </c>
      <c r="I23" s="72">
        <f>FastenersPriceList3[[#This Row],[Quantity (kg)]]/FastenersPriceList3[[#This Row],[SINGLE PC. WT.]]</f>
        <v>7518.7969924812023</v>
      </c>
      <c r="J23" s="3">
        <v>135</v>
      </c>
      <c r="K23" s="3">
        <f>FastenersPriceList3[[#This Row],[1000 PCS/WT.]]*FastenersPriceList3[[#This Row],[Rate / PER kg (₹)]]</f>
        <v>897.75</v>
      </c>
      <c r="L23" s="4">
        <f>FastenersPriceList3[[#This Row],[Rate / PER kg (₹)]]*FastenersPriceList3[[#This Row],[Quantity (kg)]]</f>
        <v>6750</v>
      </c>
      <c r="M23" s="4">
        <f>FastenersPriceList3[[#This Row],[SINGLE PC. WT.]]*FastenersPriceList3[[#This Row],[Rate / PER kg (₹)]]</f>
        <v>0.89775000000000005</v>
      </c>
    </row>
    <row r="24" spans="1:13" ht="22.05" customHeight="1" x14ac:dyDescent="0.3">
      <c r="A24" s="2" t="s">
        <v>1348</v>
      </c>
      <c r="B24" s="12" t="s">
        <v>8</v>
      </c>
      <c r="C24" s="12">
        <v>8.8000000000000007</v>
      </c>
      <c r="D24" s="2">
        <v>7.78</v>
      </c>
      <c r="E24" s="2">
        <f>FastenersPriceList3[[#This Row],[1000 PCS/WT.]]/1000</f>
        <v>7.7800000000000005E-3</v>
      </c>
      <c r="F24" s="2" t="s">
        <v>30</v>
      </c>
      <c r="G24" s="6" t="s">
        <v>1329</v>
      </c>
      <c r="H24" s="70">
        <v>50</v>
      </c>
      <c r="I24" s="72">
        <f>FastenersPriceList3[[#This Row],[Quantity (kg)]]/FastenersPriceList3[[#This Row],[SINGLE PC. WT.]]</f>
        <v>6426.7352185089967</v>
      </c>
      <c r="J24" s="3">
        <v>133</v>
      </c>
      <c r="K24" s="3">
        <f>FastenersPriceList3[[#This Row],[1000 PCS/WT.]]*FastenersPriceList3[[#This Row],[Rate / PER kg (₹)]]</f>
        <v>1034.74</v>
      </c>
      <c r="L24" s="4">
        <f>FastenersPriceList3[[#This Row],[Rate / PER kg (₹)]]*FastenersPriceList3[[#This Row],[Quantity (kg)]]</f>
        <v>6650</v>
      </c>
      <c r="M24" s="4">
        <f>FastenersPriceList3[[#This Row],[SINGLE PC. WT.]]*FastenersPriceList3[[#This Row],[Rate / PER kg (₹)]]</f>
        <v>1.03474</v>
      </c>
    </row>
    <row r="25" spans="1:13" ht="22.05" customHeight="1" x14ac:dyDescent="0.3">
      <c r="A25" s="2" t="s">
        <v>1349</v>
      </c>
      <c r="B25" s="12" t="s">
        <v>8</v>
      </c>
      <c r="C25" s="12">
        <v>8.8000000000000007</v>
      </c>
      <c r="D25" s="2">
        <v>8.91</v>
      </c>
      <c r="E25" s="2">
        <f>FastenersPriceList3[[#This Row],[1000 PCS/WT.]]/1000</f>
        <v>8.9099999999999995E-3</v>
      </c>
      <c r="F25" s="2" t="s">
        <v>31</v>
      </c>
      <c r="G25" s="6" t="s">
        <v>1329</v>
      </c>
      <c r="H25" s="70">
        <v>50</v>
      </c>
      <c r="I25" s="72">
        <f>FastenersPriceList3[[#This Row],[Quantity (kg)]]/FastenersPriceList3[[#This Row],[SINGLE PC. WT.]]</f>
        <v>5611.672278338945</v>
      </c>
      <c r="J25" s="3">
        <v>133</v>
      </c>
      <c r="K25" s="3">
        <f>FastenersPriceList3[[#This Row],[1000 PCS/WT.]]*FastenersPriceList3[[#This Row],[Rate / PER kg (₹)]]</f>
        <v>1185.03</v>
      </c>
      <c r="L25" s="4">
        <f>FastenersPriceList3[[#This Row],[Rate / PER kg (₹)]]*FastenersPriceList3[[#This Row],[Quantity (kg)]]</f>
        <v>6650</v>
      </c>
      <c r="M25" s="4">
        <f>FastenersPriceList3[[#This Row],[SINGLE PC. WT.]]*FastenersPriceList3[[#This Row],[Rate / PER kg (₹)]]</f>
        <v>1.18503</v>
      </c>
    </row>
    <row r="26" spans="1:13" ht="22.05" customHeight="1" x14ac:dyDescent="0.3">
      <c r="A26" s="2" t="s">
        <v>1350</v>
      </c>
      <c r="B26" s="12" t="s">
        <v>8</v>
      </c>
      <c r="C26" s="12">
        <v>8.8000000000000007</v>
      </c>
      <c r="D26" s="2">
        <v>9.0399999999999991</v>
      </c>
      <c r="E26" s="2">
        <f>FastenersPriceList3[[#This Row],[1000 PCS/WT.]]/1000</f>
        <v>9.0399999999999994E-3</v>
      </c>
      <c r="F26" s="2" t="s">
        <v>32</v>
      </c>
      <c r="G26" s="6" t="s">
        <v>1329</v>
      </c>
      <c r="H26" s="70">
        <v>50</v>
      </c>
      <c r="I26" s="72">
        <f>FastenersPriceList3[[#This Row],[Quantity (kg)]]/FastenersPriceList3[[#This Row],[SINGLE PC. WT.]]</f>
        <v>5530.9734513274343</v>
      </c>
      <c r="J26" s="3">
        <v>133</v>
      </c>
      <c r="K26" s="3">
        <f>FastenersPriceList3[[#This Row],[1000 PCS/WT.]]*FastenersPriceList3[[#This Row],[Rate / PER kg (₹)]]</f>
        <v>1202.32</v>
      </c>
      <c r="L26" s="4">
        <f>FastenersPriceList3[[#This Row],[Rate / PER kg (₹)]]*FastenersPriceList3[[#This Row],[Quantity (kg)]]</f>
        <v>6650</v>
      </c>
      <c r="M26" s="4">
        <f>FastenersPriceList3[[#This Row],[SINGLE PC. WT.]]*FastenersPriceList3[[#This Row],[Rate / PER kg (₹)]]</f>
        <v>1.2023199999999998</v>
      </c>
    </row>
    <row r="27" spans="1:13" ht="22.05" customHeight="1" x14ac:dyDescent="0.3">
      <c r="A27" s="2" t="s">
        <v>1351</v>
      </c>
      <c r="B27" s="12" t="s">
        <v>8</v>
      </c>
      <c r="C27" s="12">
        <v>8.8000000000000007</v>
      </c>
      <c r="D27" s="2">
        <v>10.17</v>
      </c>
      <c r="E27" s="2">
        <f>FastenersPriceList3[[#This Row],[1000 PCS/WT.]]/1000</f>
        <v>1.017E-2</v>
      </c>
      <c r="F27" s="2" t="s">
        <v>33</v>
      </c>
      <c r="G27" s="6" t="s">
        <v>1329</v>
      </c>
      <c r="H27" s="70">
        <v>50</v>
      </c>
      <c r="I27" s="72">
        <f>FastenersPriceList3[[#This Row],[Quantity (kg)]]/FastenersPriceList3[[#This Row],[SINGLE PC. WT.]]</f>
        <v>4916.420845624385</v>
      </c>
      <c r="J27" s="3">
        <v>133</v>
      </c>
      <c r="K27" s="3">
        <f>FastenersPriceList3[[#This Row],[1000 PCS/WT.]]*FastenersPriceList3[[#This Row],[Rate / PER kg (₹)]]</f>
        <v>1352.61</v>
      </c>
      <c r="L27" s="4">
        <f>FastenersPriceList3[[#This Row],[Rate / PER kg (₹)]]*FastenersPriceList3[[#This Row],[Quantity (kg)]]</f>
        <v>6650</v>
      </c>
      <c r="M27" s="4">
        <f>FastenersPriceList3[[#This Row],[SINGLE PC. WT.]]*FastenersPriceList3[[#This Row],[Rate / PER kg (₹)]]</f>
        <v>1.3526100000000001</v>
      </c>
    </row>
    <row r="28" spans="1:13" ht="22.05" customHeight="1" x14ac:dyDescent="0.3">
      <c r="A28" s="2" t="s">
        <v>1352</v>
      </c>
      <c r="B28" s="12" t="s">
        <v>8</v>
      </c>
      <c r="C28" s="12">
        <v>8.8000000000000007</v>
      </c>
      <c r="D28" s="2">
        <v>11.3</v>
      </c>
      <c r="E28" s="2">
        <f>FastenersPriceList3[[#This Row],[1000 PCS/WT.]]/1000</f>
        <v>1.1300000000000001E-2</v>
      </c>
      <c r="F28" s="2" t="s">
        <v>34</v>
      </c>
      <c r="G28" s="6" t="s">
        <v>1329</v>
      </c>
      <c r="H28" s="70">
        <v>50</v>
      </c>
      <c r="I28" s="72">
        <f>FastenersPriceList3[[#This Row],[Quantity (kg)]]/FastenersPriceList3[[#This Row],[SINGLE PC. WT.]]</f>
        <v>4424.7787610619462</v>
      </c>
      <c r="J28" s="3">
        <v>133</v>
      </c>
      <c r="K28" s="3">
        <f>FastenersPriceList3[[#This Row],[1000 PCS/WT.]]*FastenersPriceList3[[#This Row],[Rate / PER kg (₹)]]</f>
        <v>1502.9</v>
      </c>
      <c r="L28" s="4">
        <f>FastenersPriceList3[[#This Row],[Rate / PER kg (₹)]]*FastenersPriceList3[[#This Row],[Quantity (kg)]]</f>
        <v>6650</v>
      </c>
      <c r="M28" s="4">
        <f>FastenersPriceList3[[#This Row],[SINGLE PC. WT.]]*FastenersPriceList3[[#This Row],[Rate / PER kg (₹)]]</f>
        <v>1.5029000000000001</v>
      </c>
    </row>
    <row r="29" spans="1:13" ht="22.05" customHeight="1" x14ac:dyDescent="0.3">
      <c r="A29" s="2" t="s">
        <v>1353</v>
      </c>
      <c r="B29" s="12" t="s">
        <v>8</v>
      </c>
      <c r="C29" s="12">
        <v>8.8000000000000007</v>
      </c>
      <c r="D29" s="2">
        <v>12.4</v>
      </c>
      <c r="E29" s="2">
        <f>FastenersPriceList3[[#This Row],[1000 PCS/WT.]]/1000</f>
        <v>1.24E-2</v>
      </c>
      <c r="F29" s="2" t="s">
        <v>35</v>
      </c>
      <c r="G29" s="6" t="s">
        <v>1329</v>
      </c>
      <c r="H29" s="70">
        <v>50</v>
      </c>
      <c r="I29" s="72">
        <f>FastenersPriceList3[[#This Row],[Quantity (kg)]]/FastenersPriceList3[[#This Row],[SINGLE PC. WT.]]</f>
        <v>4032.2580645161293</v>
      </c>
      <c r="J29" s="3">
        <v>131</v>
      </c>
      <c r="K29" s="3">
        <f>FastenersPriceList3[[#This Row],[1000 PCS/WT.]]*FastenersPriceList3[[#This Row],[Rate / PER kg (₹)]]</f>
        <v>1624.4</v>
      </c>
      <c r="L29" s="4">
        <f>FastenersPriceList3[[#This Row],[Rate / PER kg (₹)]]*FastenersPriceList3[[#This Row],[Quantity (kg)]]</f>
        <v>6550</v>
      </c>
      <c r="M29" s="4">
        <f>FastenersPriceList3[[#This Row],[SINGLE PC. WT.]]*FastenersPriceList3[[#This Row],[Rate / PER kg (₹)]]</f>
        <v>1.6243999999999998</v>
      </c>
    </row>
    <row r="30" spans="1:13" ht="22.05" customHeight="1" x14ac:dyDescent="0.3">
      <c r="A30" s="2" t="s">
        <v>1354</v>
      </c>
      <c r="B30" s="12" t="s">
        <v>8</v>
      </c>
      <c r="C30" s="12">
        <v>8.8000000000000007</v>
      </c>
      <c r="D30" s="2">
        <v>13.5</v>
      </c>
      <c r="E30" s="2">
        <f>FastenersPriceList3[[#This Row],[1000 PCS/WT.]]/1000</f>
        <v>1.35E-2</v>
      </c>
      <c r="F30" s="2" t="s">
        <v>36</v>
      </c>
      <c r="G30" s="6" t="s">
        <v>1329</v>
      </c>
      <c r="H30" s="70">
        <v>50</v>
      </c>
      <c r="I30" s="72">
        <f>FastenersPriceList3[[#This Row],[Quantity (kg)]]/FastenersPriceList3[[#This Row],[SINGLE PC. WT.]]</f>
        <v>3703.7037037037039</v>
      </c>
      <c r="J30" s="3">
        <v>131</v>
      </c>
      <c r="K30" s="3">
        <f>FastenersPriceList3[[#This Row],[1000 PCS/WT.]]*FastenersPriceList3[[#This Row],[Rate / PER kg (₹)]]</f>
        <v>1768.5</v>
      </c>
      <c r="L30" s="4">
        <f>FastenersPriceList3[[#This Row],[Rate / PER kg (₹)]]*FastenersPriceList3[[#This Row],[Quantity (kg)]]</f>
        <v>6550</v>
      </c>
      <c r="M30" s="4">
        <f>FastenersPriceList3[[#This Row],[SINGLE PC. WT.]]*FastenersPriceList3[[#This Row],[Rate / PER kg (₹)]]</f>
        <v>1.7685</v>
      </c>
    </row>
    <row r="31" spans="1:13" ht="22.05" customHeight="1" x14ac:dyDescent="0.3">
      <c r="A31" s="2" t="s">
        <v>1355</v>
      </c>
      <c r="B31" s="12" t="s">
        <v>8</v>
      </c>
      <c r="C31" s="12">
        <v>8.8000000000000007</v>
      </c>
      <c r="D31" s="2">
        <v>14.6</v>
      </c>
      <c r="E31" s="2">
        <f>FastenersPriceList3[[#This Row],[1000 PCS/WT.]]/1000</f>
        <v>1.46E-2</v>
      </c>
      <c r="F31" s="2" t="s">
        <v>37</v>
      </c>
      <c r="G31" s="6" t="s">
        <v>1329</v>
      </c>
      <c r="H31" s="70">
        <v>50</v>
      </c>
      <c r="I31" s="72">
        <f>FastenersPriceList3[[#This Row],[Quantity (kg)]]/FastenersPriceList3[[#This Row],[SINGLE PC. WT.]]</f>
        <v>3424.6575342465753</v>
      </c>
      <c r="J31" s="3">
        <v>131</v>
      </c>
      <c r="K31" s="3">
        <f>FastenersPriceList3[[#This Row],[1000 PCS/WT.]]*FastenersPriceList3[[#This Row],[Rate / PER kg (₹)]]</f>
        <v>1912.6</v>
      </c>
      <c r="L31" s="4">
        <f>FastenersPriceList3[[#This Row],[Rate / PER kg (₹)]]*FastenersPriceList3[[#This Row],[Quantity (kg)]]</f>
        <v>6550</v>
      </c>
      <c r="M31" s="4">
        <f>FastenersPriceList3[[#This Row],[SINGLE PC. WT.]]*FastenersPriceList3[[#This Row],[Rate / PER kg (₹)]]</f>
        <v>1.9126000000000001</v>
      </c>
    </row>
    <row r="32" spans="1:13" ht="22.05" customHeight="1" x14ac:dyDescent="0.3">
      <c r="A32" s="2" t="s">
        <v>1356</v>
      </c>
      <c r="B32" s="12" t="s">
        <v>8</v>
      </c>
      <c r="C32" s="12">
        <v>8.8000000000000007</v>
      </c>
      <c r="D32" s="2">
        <v>15.7</v>
      </c>
      <c r="E32" s="2">
        <f>FastenersPriceList3[[#This Row],[1000 PCS/WT.]]/1000</f>
        <v>1.5699999999999999E-2</v>
      </c>
      <c r="F32" s="2" t="s">
        <v>38</v>
      </c>
      <c r="G32" s="6" t="s">
        <v>1329</v>
      </c>
      <c r="H32" s="70">
        <v>50</v>
      </c>
      <c r="I32" s="72">
        <f>FastenersPriceList3[[#This Row],[Quantity (kg)]]/FastenersPriceList3[[#This Row],[SINGLE PC. WT.]]</f>
        <v>3184.7133757961788</v>
      </c>
      <c r="J32" s="3">
        <v>135</v>
      </c>
      <c r="K32" s="3">
        <f>FastenersPriceList3[[#This Row],[1000 PCS/WT.]]*FastenersPriceList3[[#This Row],[Rate / PER kg (₹)]]</f>
        <v>2119.5</v>
      </c>
      <c r="L32" s="4">
        <f>FastenersPriceList3[[#This Row],[Rate / PER kg (₹)]]*FastenersPriceList3[[#This Row],[Quantity (kg)]]</f>
        <v>6750</v>
      </c>
      <c r="M32" s="4">
        <f>FastenersPriceList3[[#This Row],[SINGLE PC. WT.]]*FastenersPriceList3[[#This Row],[Rate / PER kg (₹)]]</f>
        <v>2.1194999999999999</v>
      </c>
    </row>
    <row r="33" spans="1:13" ht="22.05" customHeight="1" x14ac:dyDescent="0.3">
      <c r="A33" s="2" t="s">
        <v>1357</v>
      </c>
      <c r="B33" s="12" t="s">
        <v>8</v>
      </c>
      <c r="C33" s="12">
        <v>8.8000000000000007</v>
      </c>
      <c r="D33" s="2">
        <v>16.8</v>
      </c>
      <c r="E33" s="2">
        <f>FastenersPriceList3[[#This Row],[1000 PCS/WT.]]/1000</f>
        <v>1.6800000000000002E-2</v>
      </c>
      <c r="F33" s="2" t="s">
        <v>39</v>
      </c>
      <c r="G33" s="6" t="s">
        <v>1329</v>
      </c>
      <c r="H33" s="70">
        <v>50</v>
      </c>
      <c r="I33" s="72">
        <f>FastenersPriceList3[[#This Row],[Quantity (kg)]]/FastenersPriceList3[[#This Row],[SINGLE PC. WT.]]</f>
        <v>2976.1904761904757</v>
      </c>
      <c r="J33" s="3">
        <v>135</v>
      </c>
      <c r="K33" s="3">
        <f>FastenersPriceList3[[#This Row],[1000 PCS/WT.]]*FastenersPriceList3[[#This Row],[Rate / PER kg (₹)]]</f>
        <v>2268</v>
      </c>
      <c r="L33" s="4">
        <f>FastenersPriceList3[[#This Row],[Rate / PER kg (₹)]]*FastenersPriceList3[[#This Row],[Quantity (kg)]]</f>
        <v>6750</v>
      </c>
      <c r="M33" s="4">
        <f>FastenersPriceList3[[#This Row],[SINGLE PC. WT.]]*FastenersPriceList3[[#This Row],[Rate / PER kg (₹)]]</f>
        <v>2.2680000000000002</v>
      </c>
    </row>
    <row r="34" spans="1:13" ht="22.05" customHeight="1" x14ac:dyDescent="0.3">
      <c r="A34" s="2" t="s">
        <v>1358</v>
      </c>
      <c r="B34" s="12" t="s">
        <v>8</v>
      </c>
      <c r="C34" s="12">
        <v>8.8000000000000007</v>
      </c>
      <c r="D34" s="2">
        <v>18</v>
      </c>
      <c r="E34" s="2">
        <f>FastenersPriceList3[[#This Row],[1000 PCS/WT.]]/1000</f>
        <v>1.7999999999999999E-2</v>
      </c>
      <c r="F34" s="2" t="s">
        <v>40</v>
      </c>
      <c r="G34" s="6" t="s">
        <v>1329</v>
      </c>
      <c r="H34" s="70">
        <v>50</v>
      </c>
      <c r="I34" s="72">
        <f>FastenersPriceList3[[#This Row],[Quantity (kg)]]/FastenersPriceList3[[#This Row],[SINGLE PC. WT.]]</f>
        <v>2777.7777777777778</v>
      </c>
      <c r="J34" s="3">
        <v>135</v>
      </c>
      <c r="K34" s="3">
        <f>FastenersPriceList3[[#This Row],[1000 PCS/WT.]]*FastenersPriceList3[[#This Row],[Rate / PER kg (₹)]]</f>
        <v>2430</v>
      </c>
      <c r="L34" s="4">
        <f>FastenersPriceList3[[#This Row],[Rate / PER kg (₹)]]*FastenersPriceList3[[#This Row],[Quantity (kg)]]</f>
        <v>6750</v>
      </c>
      <c r="M34" s="4">
        <f>FastenersPriceList3[[#This Row],[SINGLE PC. WT.]]*FastenersPriceList3[[#This Row],[Rate / PER kg (₹)]]</f>
        <v>2.4299999999999997</v>
      </c>
    </row>
    <row r="35" spans="1:13" ht="22.05" customHeight="1" x14ac:dyDescent="0.3">
      <c r="A35" s="2" t="s">
        <v>1359</v>
      </c>
      <c r="B35" s="12" t="s">
        <v>8</v>
      </c>
      <c r="C35" s="12">
        <v>8.8000000000000007</v>
      </c>
      <c r="D35" s="2">
        <v>11.1</v>
      </c>
      <c r="E35" s="2">
        <f>FastenersPriceList3[[#This Row],[1000 PCS/WT.]]/1000</f>
        <v>1.11E-2</v>
      </c>
      <c r="F35" s="2" t="s">
        <v>41</v>
      </c>
      <c r="G35" s="6" t="s">
        <v>1329</v>
      </c>
      <c r="H35" s="70">
        <v>50</v>
      </c>
      <c r="I35" s="72">
        <f>FastenersPriceList3[[#This Row],[Quantity (kg)]]/FastenersPriceList3[[#This Row],[SINGLE PC. WT.]]</f>
        <v>4504.5045045045044</v>
      </c>
      <c r="J35" s="3">
        <v>125</v>
      </c>
      <c r="K35" s="3">
        <f>FastenersPriceList3[[#This Row],[1000 PCS/WT.]]*FastenersPriceList3[[#This Row],[Rate / PER kg (₹)]]</f>
        <v>1387.5</v>
      </c>
      <c r="L35" s="4">
        <f>FastenersPriceList3[[#This Row],[Rate / PER kg (₹)]]*FastenersPriceList3[[#This Row],[Quantity (kg)]]</f>
        <v>6250</v>
      </c>
      <c r="M35" s="4">
        <f>FastenersPriceList3[[#This Row],[SINGLE PC. WT.]]*FastenersPriceList3[[#This Row],[Rate / PER kg (₹)]]</f>
        <v>1.3875</v>
      </c>
    </row>
    <row r="36" spans="1:13" ht="22.05" customHeight="1" x14ac:dyDescent="0.3">
      <c r="A36" s="2" t="s">
        <v>1360</v>
      </c>
      <c r="B36" s="12" t="s">
        <v>8</v>
      </c>
      <c r="C36" s="12">
        <v>8.8000000000000007</v>
      </c>
      <c r="D36" s="2">
        <v>12.4</v>
      </c>
      <c r="E36" s="2">
        <f>FastenersPriceList3[[#This Row],[1000 PCS/WT.]]/1000</f>
        <v>1.24E-2</v>
      </c>
      <c r="F36" s="2" t="s">
        <v>42</v>
      </c>
      <c r="G36" s="6" t="s">
        <v>1329</v>
      </c>
      <c r="H36" s="70">
        <v>50</v>
      </c>
      <c r="I36" s="72">
        <f>FastenersPriceList3[[#This Row],[Quantity (kg)]]/FastenersPriceList3[[#This Row],[SINGLE PC. WT.]]</f>
        <v>4032.2580645161293</v>
      </c>
      <c r="J36" s="3">
        <v>125</v>
      </c>
      <c r="K36" s="3">
        <f>FastenersPriceList3[[#This Row],[1000 PCS/WT.]]*FastenersPriceList3[[#This Row],[Rate / PER kg (₹)]]</f>
        <v>1550</v>
      </c>
      <c r="L36" s="4">
        <f>FastenersPriceList3[[#This Row],[Rate / PER kg (₹)]]*FastenersPriceList3[[#This Row],[Quantity (kg)]]</f>
        <v>6250</v>
      </c>
      <c r="M36" s="4">
        <f>FastenersPriceList3[[#This Row],[SINGLE PC. WT.]]*FastenersPriceList3[[#This Row],[Rate / PER kg (₹)]]</f>
        <v>1.55</v>
      </c>
    </row>
    <row r="37" spans="1:13" ht="22.05" customHeight="1" x14ac:dyDescent="0.3">
      <c r="A37" s="2" t="s">
        <v>1361</v>
      </c>
      <c r="B37" s="12" t="s">
        <v>8</v>
      </c>
      <c r="C37" s="12">
        <v>8.8000000000000007</v>
      </c>
      <c r="D37" s="2">
        <v>14.1</v>
      </c>
      <c r="E37" s="2">
        <f>FastenersPriceList3[[#This Row],[1000 PCS/WT.]]/1000</f>
        <v>1.41E-2</v>
      </c>
      <c r="F37" s="2" t="s">
        <v>43</v>
      </c>
      <c r="G37" s="6" t="s">
        <v>1329</v>
      </c>
      <c r="H37" s="70">
        <v>50</v>
      </c>
      <c r="I37" s="72">
        <f>FastenersPriceList3[[#This Row],[Quantity (kg)]]/FastenersPriceList3[[#This Row],[SINGLE PC. WT.]]</f>
        <v>3546.0992907801419</v>
      </c>
      <c r="J37" s="3">
        <v>125</v>
      </c>
      <c r="K37" s="3">
        <f>FastenersPriceList3[[#This Row],[1000 PCS/WT.]]*FastenersPriceList3[[#This Row],[Rate / PER kg (₹)]]</f>
        <v>1762.5</v>
      </c>
      <c r="L37" s="4">
        <f>FastenersPriceList3[[#This Row],[Rate / PER kg (₹)]]*FastenersPriceList3[[#This Row],[Quantity (kg)]]</f>
        <v>6250</v>
      </c>
      <c r="M37" s="4">
        <f>FastenersPriceList3[[#This Row],[SINGLE PC. WT.]]*FastenersPriceList3[[#This Row],[Rate / PER kg (₹)]]</f>
        <v>1.7625</v>
      </c>
    </row>
    <row r="38" spans="1:13" ht="22.05" customHeight="1" x14ac:dyDescent="0.3">
      <c r="A38" s="2" t="s">
        <v>1362</v>
      </c>
      <c r="B38" s="12" t="s">
        <v>8</v>
      </c>
      <c r="C38" s="12">
        <v>8.8000000000000007</v>
      </c>
      <c r="D38" s="2">
        <v>15.7</v>
      </c>
      <c r="E38" s="2">
        <f>FastenersPriceList3[[#This Row],[1000 PCS/WT.]]/1000</f>
        <v>1.5699999999999999E-2</v>
      </c>
      <c r="F38" s="2" t="s">
        <v>44</v>
      </c>
      <c r="G38" s="6" t="s">
        <v>1329</v>
      </c>
      <c r="H38" s="70">
        <v>50</v>
      </c>
      <c r="I38" s="72">
        <f>FastenersPriceList3[[#This Row],[Quantity (kg)]]/FastenersPriceList3[[#This Row],[SINGLE PC. WT.]]</f>
        <v>3184.7133757961788</v>
      </c>
      <c r="J38" s="3">
        <v>125</v>
      </c>
      <c r="K38" s="3">
        <f>FastenersPriceList3[[#This Row],[1000 PCS/WT.]]*FastenersPriceList3[[#This Row],[Rate / PER kg (₹)]]</f>
        <v>1962.5</v>
      </c>
      <c r="L38" s="4">
        <f>FastenersPriceList3[[#This Row],[Rate / PER kg (₹)]]*FastenersPriceList3[[#This Row],[Quantity (kg)]]</f>
        <v>6250</v>
      </c>
      <c r="M38" s="4">
        <f>FastenersPriceList3[[#This Row],[SINGLE PC. WT.]]*FastenersPriceList3[[#This Row],[Rate / PER kg (₹)]]</f>
        <v>1.9624999999999999</v>
      </c>
    </row>
    <row r="39" spans="1:13" ht="22.05" customHeight="1" x14ac:dyDescent="0.3">
      <c r="A39" s="2" t="s">
        <v>1363</v>
      </c>
      <c r="B39" s="12" t="s">
        <v>8</v>
      </c>
      <c r="C39" s="12">
        <v>8.8000000000000007</v>
      </c>
      <c r="D39" s="2">
        <v>17.7</v>
      </c>
      <c r="E39" s="2">
        <f>FastenersPriceList3[[#This Row],[1000 PCS/WT.]]/1000</f>
        <v>1.77E-2</v>
      </c>
      <c r="F39" s="2" t="s">
        <v>45</v>
      </c>
      <c r="G39" s="6" t="s">
        <v>1329</v>
      </c>
      <c r="H39" s="70">
        <v>50</v>
      </c>
      <c r="I39" s="72">
        <f>FastenersPriceList3[[#This Row],[Quantity (kg)]]/FastenersPriceList3[[#This Row],[SINGLE PC. WT.]]</f>
        <v>2824.8587570621467</v>
      </c>
      <c r="J39" s="3">
        <v>125</v>
      </c>
      <c r="K39" s="3">
        <f>FastenersPriceList3[[#This Row],[1000 PCS/WT.]]*FastenersPriceList3[[#This Row],[Rate / PER kg (₹)]]</f>
        <v>2212.5</v>
      </c>
      <c r="L39" s="4">
        <f>FastenersPriceList3[[#This Row],[Rate / PER kg (₹)]]*FastenersPriceList3[[#This Row],[Quantity (kg)]]</f>
        <v>6250</v>
      </c>
      <c r="M39" s="4">
        <f>FastenersPriceList3[[#This Row],[SINGLE PC. WT.]]*FastenersPriceList3[[#This Row],[Rate / PER kg (₹)]]</f>
        <v>2.2124999999999999</v>
      </c>
    </row>
    <row r="40" spans="1:13" ht="22.05" customHeight="1" x14ac:dyDescent="0.3">
      <c r="A40" s="2" t="s">
        <v>1364</v>
      </c>
      <c r="B40" s="12" t="s">
        <v>8</v>
      </c>
      <c r="C40" s="12">
        <v>8.8000000000000007</v>
      </c>
      <c r="D40" s="2">
        <v>19.7</v>
      </c>
      <c r="E40" s="2">
        <f>FastenersPriceList3[[#This Row],[1000 PCS/WT.]]/1000</f>
        <v>1.9699999999999999E-2</v>
      </c>
      <c r="F40" s="2" t="s">
        <v>46</v>
      </c>
      <c r="G40" s="6" t="s">
        <v>1329</v>
      </c>
      <c r="H40" s="70">
        <v>50</v>
      </c>
      <c r="I40" s="72">
        <f>FastenersPriceList3[[#This Row],[Quantity (kg)]]/FastenersPriceList3[[#This Row],[SINGLE PC. WT.]]</f>
        <v>2538.0710659898477</v>
      </c>
      <c r="J40" s="3">
        <v>125</v>
      </c>
      <c r="K40" s="3">
        <f>FastenersPriceList3[[#This Row],[1000 PCS/WT.]]*FastenersPriceList3[[#This Row],[Rate / PER kg (₹)]]</f>
        <v>2462.5</v>
      </c>
      <c r="L40" s="4">
        <f>FastenersPriceList3[[#This Row],[Rate / PER kg (₹)]]*FastenersPriceList3[[#This Row],[Quantity (kg)]]</f>
        <v>6250</v>
      </c>
      <c r="M40" s="4">
        <f>FastenersPriceList3[[#This Row],[SINGLE PC. WT.]]*FastenersPriceList3[[#This Row],[Rate / PER kg (₹)]]</f>
        <v>2.4624999999999999</v>
      </c>
    </row>
    <row r="41" spans="1:13" ht="22.05" customHeight="1" x14ac:dyDescent="0.3">
      <c r="A41" s="2" t="s">
        <v>1365</v>
      </c>
      <c r="B41" s="12" t="s">
        <v>8</v>
      </c>
      <c r="C41" s="12">
        <v>8.8000000000000007</v>
      </c>
      <c r="D41" s="2">
        <v>21.7</v>
      </c>
      <c r="E41" s="2">
        <f>FastenersPriceList3[[#This Row],[1000 PCS/WT.]]/1000</f>
        <v>2.1700000000000001E-2</v>
      </c>
      <c r="F41" s="2" t="s">
        <v>47</v>
      </c>
      <c r="G41" s="6" t="s">
        <v>1329</v>
      </c>
      <c r="H41" s="70">
        <v>50</v>
      </c>
      <c r="I41" s="72">
        <f>FastenersPriceList3[[#This Row],[Quantity (kg)]]/FastenersPriceList3[[#This Row],[SINGLE PC. WT.]]</f>
        <v>2304.147465437788</v>
      </c>
      <c r="J41" s="3">
        <v>125</v>
      </c>
      <c r="K41" s="3">
        <f>FastenersPriceList3[[#This Row],[1000 PCS/WT.]]*FastenersPriceList3[[#This Row],[Rate / PER kg (₹)]]</f>
        <v>2712.5</v>
      </c>
      <c r="L41" s="4">
        <f>FastenersPriceList3[[#This Row],[Rate / PER kg (₹)]]*FastenersPriceList3[[#This Row],[Quantity (kg)]]</f>
        <v>6250</v>
      </c>
      <c r="M41" s="4">
        <f>FastenersPriceList3[[#This Row],[SINGLE PC. WT.]]*FastenersPriceList3[[#This Row],[Rate / PER kg (₹)]]</f>
        <v>2.7124999999999999</v>
      </c>
    </row>
    <row r="42" spans="1:13" ht="22.05" customHeight="1" x14ac:dyDescent="0.3">
      <c r="A42" s="2" t="s">
        <v>1366</v>
      </c>
      <c r="B42" s="12" t="s">
        <v>8</v>
      </c>
      <c r="C42" s="12">
        <v>8.8000000000000007</v>
      </c>
      <c r="D42" s="2">
        <v>23.7</v>
      </c>
      <c r="E42" s="2">
        <f>FastenersPriceList3[[#This Row],[1000 PCS/WT.]]/1000</f>
        <v>2.3699999999999999E-2</v>
      </c>
      <c r="F42" s="2" t="s">
        <v>48</v>
      </c>
      <c r="G42" s="6" t="s">
        <v>1329</v>
      </c>
      <c r="H42" s="70">
        <v>50</v>
      </c>
      <c r="I42" s="72">
        <f>FastenersPriceList3[[#This Row],[Quantity (kg)]]/FastenersPriceList3[[#This Row],[SINGLE PC. WT.]]</f>
        <v>2109.7046413502112</v>
      </c>
      <c r="J42" s="3">
        <v>125</v>
      </c>
      <c r="K42" s="3">
        <f>FastenersPriceList3[[#This Row],[1000 PCS/WT.]]*FastenersPriceList3[[#This Row],[Rate / PER kg (₹)]]</f>
        <v>2962.5</v>
      </c>
      <c r="L42" s="4">
        <f>FastenersPriceList3[[#This Row],[Rate / PER kg (₹)]]*FastenersPriceList3[[#This Row],[Quantity (kg)]]</f>
        <v>6250</v>
      </c>
      <c r="M42" s="4">
        <f>FastenersPriceList3[[#This Row],[SINGLE PC. WT.]]*FastenersPriceList3[[#This Row],[Rate / PER kg (₹)]]</f>
        <v>2.9624999999999999</v>
      </c>
    </row>
    <row r="43" spans="1:13" ht="22.05" customHeight="1" x14ac:dyDescent="0.3">
      <c r="A43" s="2" t="s">
        <v>1367</v>
      </c>
      <c r="B43" s="12" t="s">
        <v>8</v>
      </c>
      <c r="C43" s="12">
        <v>8.8000000000000007</v>
      </c>
      <c r="D43" s="2">
        <v>25.7</v>
      </c>
      <c r="E43" s="2">
        <f>FastenersPriceList3[[#This Row],[1000 PCS/WT.]]/1000</f>
        <v>2.5700000000000001E-2</v>
      </c>
      <c r="F43" s="2" t="s">
        <v>49</v>
      </c>
      <c r="G43" s="6" t="s">
        <v>1329</v>
      </c>
      <c r="H43" s="70">
        <v>50</v>
      </c>
      <c r="I43" s="72">
        <f>FastenersPriceList3[[#This Row],[Quantity (kg)]]/FastenersPriceList3[[#This Row],[SINGLE PC. WT.]]</f>
        <v>1945.5252918287938</v>
      </c>
      <c r="J43" s="3">
        <v>123</v>
      </c>
      <c r="K43" s="3">
        <f>FastenersPriceList3[[#This Row],[1000 PCS/WT.]]*FastenersPriceList3[[#This Row],[Rate / PER kg (₹)]]</f>
        <v>3161.1</v>
      </c>
      <c r="L43" s="4">
        <f>FastenersPriceList3[[#This Row],[Rate / PER kg (₹)]]*FastenersPriceList3[[#This Row],[Quantity (kg)]]</f>
        <v>6150</v>
      </c>
      <c r="M43" s="4">
        <f>FastenersPriceList3[[#This Row],[SINGLE PC. WT.]]*FastenersPriceList3[[#This Row],[Rate / PER kg (₹)]]</f>
        <v>3.1611000000000002</v>
      </c>
    </row>
    <row r="44" spans="1:13" ht="22.05" customHeight="1" x14ac:dyDescent="0.3">
      <c r="A44" s="2" t="s">
        <v>1368</v>
      </c>
      <c r="B44" s="12" t="s">
        <v>8</v>
      </c>
      <c r="C44" s="12">
        <v>8.8000000000000007</v>
      </c>
      <c r="D44" s="2">
        <v>27.7</v>
      </c>
      <c r="E44" s="2">
        <f>FastenersPriceList3[[#This Row],[1000 PCS/WT.]]/1000</f>
        <v>2.7699999999999999E-2</v>
      </c>
      <c r="F44" s="2" t="s">
        <v>50</v>
      </c>
      <c r="G44" s="6" t="s">
        <v>1329</v>
      </c>
      <c r="H44" s="70">
        <v>50</v>
      </c>
      <c r="I44" s="72">
        <f>FastenersPriceList3[[#This Row],[Quantity (kg)]]/FastenersPriceList3[[#This Row],[SINGLE PC. WT.]]</f>
        <v>1805.0541516245487</v>
      </c>
      <c r="J44" s="3">
        <v>123</v>
      </c>
      <c r="K44" s="3">
        <f>FastenersPriceList3[[#This Row],[1000 PCS/WT.]]*FastenersPriceList3[[#This Row],[Rate / PER kg (₹)]]</f>
        <v>3407.1</v>
      </c>
      <c r="L44" s="4">
        <f>FastenersPriceList3[[#This Row],[Rate / PER kg (₹)]]*FastenersPriceList3[[#This Row],[Quantity (kg)]]</f>
        <v>6150</v>
      </c>
      <c r="M44" s="4">
        <f>FastenersPriceList3[[#This Row],[SINGLE PC. WT.]]*FastenersPriceList3[[#This Row],[Rate / PER kg (₹)]]</f>
        <v>3.4070999999999998</v>
      </c>
    </row>
    <row r="45" spans="1:13" ht="22.05" customHeight="1" x14ac:dyDescent="0.3">
      <c r="A45" s="2" t="s">
        <v>1369</v>
      </c>
      <c r="B45" s="12" t="s">
        <v>8</v>
      </c>
      <c r="C45" s="12">
        <v>8.8000000000000007</v>
      </c>
      <c r="D45" s="2">
        <v>29.7</v>
      </c>
      <c r="E45" s="2">
        <f>FastenersPriceList3[[#This Row],[1000 PCS/WT.]]/1000</f>
        <v>2.9700000000000001E-2</v>
      </c>
      <c r="F45" s="2" t="s">
        <v>51</v>
      </c>
      <c r="G45" s="6" t="s">
        <v>1329</v>
      </c>
      <c r="H45" s="70">
        <v>50</v>
      </c>
      <c r="I45" s="72">
        <f>FastenersPriceList3[[#This Row],[Quantity (kg)]]/FastenersPriceList3[[#This Row],[SINGLE PC. WT.]]</f>
        <v>1683.5016835016834</v>
      </c>
      <c r="J45" s="3">
        <v>123</v>
      </c>
      <c r="K45" s="3">
        <f>FastenersPriceList3[[#This Row],[1000 PCS/WT.]]*FastenersPriceList3[[#This Row],[Rate / PER kg (₹)]]</f>
        <v>3653.1</v>
      </c>
      <c r="L45" s="4">
        <f>FastenersPriceList3[[#This Row],[Rate / PER kg (₹)]]*FastenersPriceList3[[#This Row],[Quantity (kg)]]</f>
        <v>6150</v>
      </c>
      <c r="M45" s="4">
        <f>FastenersPriceList3[[#This Row],[SINGLE PC. WT.]]*FastenersPriceList3[[#This Row],[Rate / PER kg (₹)]]</f>
        <v>3.6531000000000002</v>
      </c>
    </row>
    <row r="46" spans="1:13" ht="22.05" customHeight="1" x14ac:dyDescent="0.3">
      <c r="A46" s="2" t="s">
        <v>1370</v>
      </c>
      <c r="B46" s="12" t="s">
        <v>8</v>
      </c>
      <c r="C46" s="12">
        <v>8.8000000000000007</v>
      </c>
      <c r="D46" s="2">
        <v>31.7</v>
      </c>
      <c r="E46" s="2">
        <f>FastenersPriceList3[[#This Row],[1000 PCS/WT.]]/1000</f>
        <v>3.1699999999999999E-2</v>
      </c>
      <c r="F46" s="2" t="s">
        <v>52</v>
      </c>
      <c r="G46" s="6" t="s">
        <v>1329</v>
      </c>
      <c r="H46" s="70">
        <v>50</v>
      </c>
      <c r="I46" s="72">
        <f>FastenersPriceList3[[#This Row],[Quantity (kg)]]/FastenersPriceList3[[#This Row],[SINGLE PC. WT.]]</f>
        <v>1577.2870662460568</v>
      </c>
      <c r="J46" s="3">
        <v>123</v>
      </c>
      <c r="K46" s="3">
        <f>FastenersPriceList3[[#This Row],[1000 PCS/WT.]]*FastenersPriceList3[[#This Row],[Rate / PER kg (₹)]]</f>
        <v>3899.1</v>
      </c>
      <c r="L46" s="4">
        <f>FastenersPriceList3[[#This Row],[Rate / PER kg (₹)]]*FastenersPriceList3[[#This Row],[Quantity (kg)]]</f>
        <v>6150</v>
      </c>
      <c r="M46" s="4">
        <f>FastenersPriceList3[[#This Row],[SINGLE PC. WT.]]*FastenersPriceList3[[#This Row],[Rate / PER kg (₹)]]</f>
        <v>3.8990999999999998</v>
      </c>
    </row>
    <row r="47" spans="1:13" ht="22.05" customHeight="1" x14ac:dyDescent="0.3">
      <c r="A47" s="2" t="s">
        <v>1371</v>
      </c>
      <c r="B47" s="12" t="s">
        <v>8</v>
      </c>
      <c r="C47" s="12">
        <v>8.8000000000000007</v>
      </c>
      <c r="D47" s="2">
        <v>33.700000000000003</v>
      </c>
      <c r="E47" s="2">
        <f>FastenersPriceList3[[#This Row],[1000 PCS/WT.]]/1000</f>
        <v>3.3700000000000001E-2</v>
      </c>
      <c r="F47" s="2" t="s">
        <v>53</v>
      </c>
      <c r="G47" s="6" t="s">
        <v>1329</v>
      </c>
      <c r="H47" s="70">
        <v>50</v>
      </c>
      <c r="I47" s="72">
        <f>FastenersPriceList3[[#This Row],[Quantity (kg)]]/FastenersPriceList3[[#This Row],[SINGLE PC. WT.]]</f>
        <v>1483.679525222552</v>
      </c>
      <c r="J47" s="3">
        <v>123</v>
      </c>
      <c r="K47" s="3">
        <f>FastenersPriceList3[[#This Row],[1000 PCS/WT.]]*FastenersPriceList3[[#This Row],[Rate / PER kg (₹)]]</f>
        <v>4145.1000000000004</v>
      </c>
      <c r="L47" s="4">
        <f>FastenersPriceList3[[#This Row],[Rate / PER kg (₹)]]*FastenersPriceList3[[#This Row],[Quantity (kg)]]</f>
        <v>6150</v>
      </c>
      <c r="M47" s="4">
        <f>FastenersPriceList3[[#This Row],[SINGLE PC. WT.]]*FastenersPriceList3[[#This Row],[Rate / PER kg (₹)]]</f>
        <v>4.1451000000000002</v>
      </c>
    </row>
    <row r="48" spans="1:13" ht="22.05" customHeight="1" x14ac:dyDescent="0.3">
      <c r="A48" s="2" t="s">
        <v>1372</v>
      </c>
      <c r="B48" s="12" t="s">
        <v>8</v>
      </c>
      <c r="C48" s="12">
        <v>8.8000000000000007</v>
      </c>
      <c r="D48" s="2">
        <v>35.700000000000003</v>
      </c>
      <c r="E48" s="2">
        <f>FastenersPriceList3[[#This Row],[1000 PCS/WT.]]/1000</f>
        <v>3.5700000000000003E-2</v>
      </c>
      <c r="F48" s="2" t="s">
        <v>54</v>
      </c>
      <c r="G48" s="6" t="s">
        <v>1329</v>
      </c>
      <c r="H48" s="70">
        <v>50</v>
      </c>
      <c r="I48" s="72">
        <f>FastenersPriceList3[[#This Row],[Quantity (kg)]]/FastenersPriceList3[[#This Row],[SINGLE PC. WT.]]</f>
        <v>1400.5602240896358</v>
      </c>
      <c r="J48" s="3">
        <v>123</v>
      </c>
      <c r="K48" s="3">
        <f>FastenersPriceList3[[#This Row],[1000 PCS/WT.]]*FastenersPriceList3[[#This Row],[Rate / PER kg (₹)]]</f>
        <v>4391.1000000000004</v>
      </c>
      <c r="L48" s="4">
        <f>FastenersPriceList3[[#This Row],[Rate / PER kg (₹)]]*FastenersPriceList3[[#This Row],[Quantity (kg)]]</f>
        <v>6150</v>
      </c>
      <c r="M48" s="4">
        <f>FastenersPriceList3[[#This Row],[SINGLE PC. WT.]]*FastenersPriceList3[[#This Row],[Rate / PER kg (₹)]]</f>
        <v>4.3911000000000007</v>
      </c>
    </row>
    <row r="49" spans="1:13" ht="22.05" customHeight="1" x14ac:dyDescent="0.3">
      <c r="A49" s="2" t="s">
        <v>1373</v>
      </c>
      <c r="B49" s="12" t="s">
        <v>8</v>
      </c>
      <c r="C49" s="12">
        <v>8.8000000000000007</v>
      </c>
      <c r="D49" s="2">
        <v>37.700000000000003</v>
      </c>
      <c r="E49" s="2">
        <f>FastenersPriceList3[[#This Row],[1000 PCS/WT.]]/1000</f>
        <v>3.7700000000000004E-2</v>
      </c>
      <c r="F49" s="2" t="s">
        <v>55</v>
      </c>
      <c r="G49" s="6" t="s">
        <v>1329</v>
      </c>
      <c r="H49" s="70">
        <v>50</v>
      </c>
      <c r="I49" s="72">
        <f>FastenersPriceList3[[#This Row],[Quantity (kg)]]/FastenersPriceList3[[#This Row],[SINGLE PC. WT.]]</f>
        <v>1326.259946949602</v>
      </c>
      <c r="J49" s="3">
        <v>125</v>
      </c>
      <c r="K49" s="3">
        <f>FastenersPriceList3[[#This Row],[1000 PCS/WT.]]*FastenersPriceList3[[#This Row],[Rate / PER kg (₹)]]</f>
        <v>4712.5</v>
      </c>
      <c r="L49" s="4">
        <f>FastenersPriceList3[[#This Row],[Rate / PER kg (₹)]]*FastenersPriceList3[[#This Row],[Quantity (kg)]]</f>
        <v>6250</v>
      </c>
      <c r="M49" s="4">
        <f>FastenersPriceList3[[#This Row],[SINGLE PC. WT.]]*FastenersPriceList3[[#This Row],[Rate / PER kg (₹)]]</f>
        <v>4.7125000000000004</v>
      </c>
    </row>
    <row r="50" spans="1:13" ht="22.05" customHeight="1" x14ac:dyDescent="0.3">
      <c r="A50" s="2" t="s">
        <v>1374</v>
      </c>
      <c r="B50" s="12" t="s">
        <v>8</v>
      </c>
      <c r="C50" s="12">
        <v>8.8000000000000007</v>
      </c>
      <c r="D50" s="2">
        <v>39.700000000000003</v>
      </c>
      <c r="E50" s="2">
        <f>FastenersPriceList3[[#This Row],[1000 PCS/WT.]]/1000</f>
        <v>3.9700000000000006E-2</v>
      </c>
      <c r="F50" s="2" t="s">
        <v>56</v>
      </c>
      <c r="G50" s="6" t="s">
        <v>1329</v>
      </c>
      <c r="H50" s="70">
        <v>50</v>
      </c>
      <c r="I50" s="72">
        <f>FastenersPriceList3[[#This Row],[Quantity (kg)]]/FastenersPriceList3[[#This Row],[SINGLE PC. WT.]]</f>
        <v>1259.4458438287152</v>
      </c>
      <c r="J50" s="3">
        <v>125</v>
      </c>
      <c r="K50" s="3">
        <f>FastenersPriceList3[[#This Row],[1000 PCS/WT.]]*FastenersPriceList3[[#This Row],[Rate / PER kg (₹)]]</f>
        <v>4962.5</v>
      </c>
      <c r="L50" s="4">
        <f>FastenersPriceList3[[#This Row],[Rate / PER kg (₹)]]*FastenersPriceList3[[#This Row],[Quantity (kg)]]</f>
        <v>6250</v>
      </c>
      <c r="M50" s="4">
        <f>FastenersPriceList3[[#This Row],[SINGLE PC. WT.]]*FastenersPriceList3[[#This Row],[Rate / PER kg (₹)]]</f>
        <v>4.9625000000000004</v>
      </c>
    </row>
    <row r="51" spans="1:13" ht="22.05" customHeight="1" x14ac:dyDescent="0.3">
      <c r="A51" s="2" t="s">
        <v>1375</v>
      </c>
      <c r="B51" s="12" t="s">
        <v>8</v>
      </c>
      <c r="C51" s="12">
        <v>8.8000000000000007</v>
      </c>
      <c r="D51" s="2">
        <v>41.7</v>
      </c>
      <c r="E51" s="2">
        <f>FastenersPriceList3[[#This Row],[1000 PCS/WT.]]/1000</f>
        <v>4.1700000000000001E-2</v>
      </c>
      <c r="F51" s="2" t="s">
        <v>57</v>
      </c>
      <c r="G51" s="6" t="s">
        <v>1329</v>
      </c>
      <c r="H51" s="70">
        <v>50</v>
      </c>
      <c r="I51" s="72">
        <f>FastenersPriceList3[[#This Row],[Quantity (kg)]]/FastenersPriceList3[[#This Row],[SINGLE PC. WT.]]</f>
        <v>1199.0407673860911</v>
      </c>
      <c r="J51" s="3">
        <v>125</v>
      </c>
      <c r="K51" s="3">
        <f>FastenersPriceList3[[#This Row],[1000 PCS/WT.]]*FastenersPriceList3[[#This Row],[Rate / PER kg (₹)]]</f>
        <v>5212.5</v>
      </c>
      <c r="L51" s="4">
        <f>FastenersPriceList3[[#This Row],[Rate / PER kg (₹)]]*FastenersPriceList3[[#This Row],[Quantity (kg)]]</f>
        <v>6250</v>
      </c>
      <c r="M51" s="4">
        <f>FastenersPriceList3[[#This Row],[SINGLE PC. WT.]]*FastenersPriceList3[[#This Row],[Rate / PER kg (₹)]]</f>
        <v>5.2125000000000004</v>
      </c>
    </row>
    <row r="52" spans="1:13" ht="22.05" customHeight="1" x14ac:dyDescent="0.3">
      <c r="A52" s="2" t="s">
        <v>1376</v>
      </c>
      <c r="B52" s="12" t="s">
        <v>8</v>
      </c>
      <c r="C52" s="12">
        <v>8.8000000000000007</v>
      </c>
      <c r="D52" s="2">
        <v>43.7</v>
      </c>
      <c r="E52" s="2">
        <f>FastenersPriceList3[[#This Row],[1000 PCS/WT.]]/1000</f>
        <v>4.3700000000000003E-2</v>
      </c>
      <c r="F52" s="2" t="s">
        <v>58</v>
      </c>
      <c r="G52" s="6" t="s">
        <v>1329</v>
      </c>
      <c r="H52" s="70">
        <v>50</v>
      </c>
      <c r="I52" s="72">
        <f>FastenersPriceList3[[#This Row],[Quantity (kg)]]/FastenersPriceList3[[#This Row],[SINGLE PC. WT.]]</f>
        <v>1144.1647597254005</v>
      </c>
      <c r="J52" s="3">
        <v>125</v>
      </c>
      <c r="K52" s="3">
        <f>FastenersPriceList3[[#This Row],[1000 PCS/WT.]]*FastenersPriceList3[[#This Row],[Rate / PER kg (₹)]]</f>
        <v>5462.5</v>
      </c>
      <c r="L52" s="4">
        <f>FastenersPriceList3[[#This Row],[Rate / PER kg (₹)]]*FastenersPriceList3[[#This Row],[Quantity (kg)]]</f>
        <v>6250</v>
      </c>
      <c r="M52" s="4">
        <f>FastenersPriceList3[[#This Row],[SINGLE PC. WT.]]*FastenersPriceList3[[#This Row],[Rate / PER kg (₹)]]</f>
        <v>5.4625000000000004</v>
      </c>
    </row>
    <row r="53" spans="1:13" ht="22.05" customHeight="1" x14ac:dyDescent="0.3">
      <c r="A53" s="2" t="s">
        <v>1377</v>
      </c>
      <c r="B53" s="12" t="s">
        <v>8</v>
      </c>
      <c r="C53" s="12">
        <v>8.8000000000000007</v>
      </c>
      <c r="D53" s="2">
        <v>23.2</v>
      </c>
      <c r="E53" s="2">
        <f>FastenersPriceList3[[#This Row],[1000 PCS/WT.]]/1000</f>
        <v>2.3199999999999998E-2</v>
      </c>
      <c r="F53" s="2" t="s">
        <v>59</v>
      </c>
      <c r="G53" s="6" t="s">
        <v>1329</v>
      </c>
      <c r="H53" s="70">
        <v>50</v>
      </c>
      <c r="I53" s="72">
        <f>FastenersPriceList3[[#This Row],[Quantity (kg)]]/FastenersPriceList3[[#This Row],[SINGLE PC. WT.]]</f>
        <v>2155.1724137931037</v>
      </c>
      <c r="J53" s="3">
        <v>125</v>
      </c>
      <c r="K53" s="3">
        <f>FastenersPriceList3[[#This Row],[1000 PCS/WT.]]*FastenersPriceList3[[#This Row],[Rate / PER kg (₹)]]</f>
        <v>2900</v>
      </c>
      <c r="L53" s="4">
        <f>FastenersPriceList3[[#This Row],[Rate / PER kg (₹)]]*FastenersPriceList3[[#This Row],[Quantity (kg)]]</f>
        <v>6250</v>
      </c>
      <c r="M53" s="4">
        <f>FastenersPriceList3[[#This Row],[SINGLE PC. WT.]]*FastenersPriceList3[[#This Row],[Rate / PER kg (₹)]]</f>
        <v>2.9</v>
      </c>
    </row>
    <row r="54" spans="1:13" ht="22.05" customHeight="1" x14ac:dyDescent="0.3">
      <c r="A54" s="2" t="s">
        <v>1378</v>
      </c>
      <c r="B54" s="12" t="s">
        <v>8</v>
      </c>
      <c r="C54" s="12">
        <v>8.8000000000000007</v>
      </c>
      <c r="D54" s="2">
        <v>25.9</v>
      </c>
      <c r="E54" s="2">
        <f>FastenersPriceList3[[#This Row],[1000 PCS/WT.]]/1000</f>
        <v>2.5899999999999999E-2</v>
      </c>
      <c r="F54" s="2" t="s">
        <v>60</v>
      </c>
      <c r="G54" s="6" t="s">
        <v>1329</v>
      </c>
      <c r="H54" s="70">
        <v>50</v>
      </c>
      <c r="I54" s="72">
        <f>FastenersPriceList3[[#This Row],[Quantity (kg)]]/FastenersPriceList3[[#This Row],[SINGLE PC. WT.]]</f>
        <v>1930.5019305019305</v>
      </c>
      <c r="J54" s="3">
        <v>125</v>
      </c>
      <c r="K54" s="3">
        <f>FastenersPriceList3[[#This Row],[1000 PCS/WT.]]*FastenersPriceList3[[#This Row],[Rate / PER kg (₹)]]</f>
        <v>3237.5</v>
      </c>
      <c r="L54" s="4">
        <f>FastenersPriceList3[[#This Row],[Rate / PER kg (₹)]]*FastenersPriceList3[[#This Row],[Quantity (kg)]]</f>
        <v>6250</v>
      </c>
      <c r="M54" s="4">
        <f>FastenersPriceList3[[#This Row],[SINGLE PC. WT.]]*FastenersPriceList3[[#This Row],[Rate / PER kg (₹)]]</f>
        <v>3.2374999999999998</v>
      </c>
    </row>
    <row r="55" spans="1:13" ht="22.05" customHeight="1" x14ac:dyDescent="0.3">
      <c r="A55" s="2" t="s">
        <v>1379</v>
      </c>
      <c r="B55" s="12" t="s">
        <v>8</v>
      </c>
      <c r="C55" s="12">
        <v>8.8000000000000007</v>
      </c>
      <c r="D55" s="2">
        <v>28.5</v>
      </c>
      <c r="E55" s="2">
        <f>FastenersPriceList3[[#This Row],[1000 PCS/WT.]]/1000</f>
        <v>2.8500000000000001E-2</v>
      </c>
      <c r="F55" s="2" t="s">
        <v>61</v>
      </c>
      <c r="G55" s="6" t="s">
        <v>1329</v>
      </c>
      <c r="H55" s="70">
        <v>50</v>
      </c>
      <c r="I55" s="72">
        <f>FastenersPriceList3[[#This Row],[Quantity (kg)]]/FastenersPriceList3[[#This Row],[SINGLE PC. WT.]]</f>
        <v>1754.3859649122805</v>
      </c>
      <c r="J55" s="3">
        <v>125</v>
      </c>
      <c r="K55" s="3">
        <f>FastenersPriceList3[[#This Row],[1000 PCS/WT.]]*FastenersPriceList3[[#This Row],[Rate / PER kg (₹)]]</f>
        <v>3562.5</v>
      </c>
      <c r="L55" s="4">
        <f>FastenersPriceList3[[#This Row],[Rate / PER kg (₹)]]*FastenersPriceList3[[#This Row],[Quantity (kg)]]</f>
        <v>6250</v>
      </c>
      <c r="M55" s="4">
        <f>FastenersPriceList3[[#This Row],[SINGLE PC. WT.]]*FastenersPriceList3[[#This Row],[Rate / PER kg (₹)]]</f>
        <v>3.5625</v>
      </c>
    </row>
    <row r="56" spans="1:13" ht="22.05" customHeight="1" x14ac:dyDescent="0.3">
      <c r="A56" s="2" t="s">
        <v>1380</v>
      </c>
      <c r="B56" s="12" t="s">
        <v>8</v>
      </c>
      <c r="C56" s="12">
        <v>8.8000000000000007</v>
      </c>
      <c r="D56" s="2">
        <v>31.3</v>
      </c>
      <c r="E56" s="2">
        <f>FastenersPriceList3[[#This Row],[1000 PCS/WT.]]/1000</f>
        <v>3.1300000000000001E-2</v>
      </c>
      <c r="F56" s="2" t="s">
        <v>62</v>
      </c>
      <c r="G56" s="6" t="s">
        <v>1329</v>
      </c>
      <c r="H56" s="70">
        <v>50</v>
      </c>
      <c r="I56" s="72">
        <f>FastenersPriceList3[[#This Row],[Quantity (kg)]]/FastenersPriceList3[[#This Row],[SINGLE PC. WT.]]</f>
        <v>1597.4440894568688</v>
      </c>
      <c r="J56" s="3">
        <v>125</v>
      </c>
      <c r="K56" s="3">
        <f>FastenersPriceList3[[#This Row],[1000 PCS/WT.]]*FastenersPriceList3[[#This Row],[Rate / PER kg (₹)]]</f>
        <v>3912.5</v>
      </c>
      <c r="L56" s="4">
        <f>FastenersPriceList3[[#This Row],[Rate / PER kg (₹)]]*FastenersPriceList3[[#This Row],[Quantity (kg)]]</f>
        <v>6250</v>
      </c>
      <c r="M56" s="4">
        <f>FastenersPriceList3[[#This Row],[SINGLE PC. WT.]]*FastenersPriceList3[[#This Row],[Rate / PER kg (₹)]]</f>
        <v>3.9125000000000001</v>
      </c>
    </row>
    <row r="57" spans="1:13" ht="22.05" customHeight="1" x14ac:dyDescent="0.3">
      <c r="A57" s="2" t="s">
        <v>1381</v>
      </c>
      <c r="B57" s="12" t="s">
        <v>8</v>
      </c>
      <c r="C57" s="12">
        <v>8.8000000000000007</v>
      </c>
      <c r="D57" s="2">
        <v>34.4</v>
      </c>
      <c r="E57" s="2">
        <f>FastenersPriceList3[[#This Row],[1000 PCS/WT.]]/1000</f>
        <v>3.44E-2</v>
      </c>
      <c r="F57" s="2" t="s">
        <v>63</v>
      </c>
      <c r="G57" s="6" t="s">
        <v>1329</v>
      </c>
      <c r="H57" s="70">
        <v>50</v>
      </c>
      <c r="I57" s="72">
        <f>FastenersPriceList3[[#This Row],[Quantity (kg)]]/FastenersPriceList3[[#This Row],[SINGLE PC. WT.]]</f>
        <v>1453.4883720930231</v>
      </c>
      <c r="J57" s="3">
        <v>125</v>
      </c>
      <c r="K57" s="3">
        <f>FastenersPriceList3[[#This Row],[1000 PCS/WT.]]*FastenersPriceList3[[#This Row],[Rate / PER kg (₹)]]</f>
        <v>4300</v>
      </c>
      <c r="L57" s="4">
        <f>FastenersPriceList3[[#This Row],[Rate / PER kg (₹)]]*FastenersPriceList3[[#This Row],[Quantity (kg)]]</f>
        <v>6250</v>
      </c>
      <c r="M57" s="4">
        <f>FastenersPriceList3[[#This Row],[SINGLE PC. WT.]]*FastenersPriceList3[[#This Row],[Rate / PER kg (₹)]]</f>
        <v>4.3</v>
      </c>
    </row>
    <row r="58" spans="1:13" ht="22.05" customHeight="1" x14ac:dyDescent="0.3">
      <c r="A58" s="2" t="s">
        <v>1382</v>
      </c>
      <c r="B58" s="12" t="s">
        <v>8</v>
      </c>
      <c r="C58" s="12">
        <v>8.8000000000000007</v>
      </c>
      <c r="D58" s="2">
        <v>37.5</v>
      </c>
      <c r="E58" s="2">
        <f>FastenersPriceList3[[#This Row],[1000 PCS/WT.]]/1000</f>
        <v>3.7499999999999999E-2</v>
      </c>
      <c r="F58" s="2" t="s">
        <v>64</v>
      </c>
      <c r="G58" s="6" t="s">
        <v>1329</v>
      </c>
      <c r="H58" s="70">
        <v>50</v>
      </c>
      <c r="I58" s="72">
        <f>FastenersPriceList3[[#This Row],[Quantity (kg)]]/FastenersPriceList3[[#This Row],[SINGLE PC. WT.]]</f>
        <v>1333.3333333333335</v>
      </c>
      <c r="J58" s="3">
        <v>123</v>
      </c>
      <c r="K58" s="3">
        <f>FastenersPriceList3[[#This Row],[1000 PCS/WT.]]*FastenersPriceList3[[#This Row],[Rate / PER kg (₹)]]</f>
        <v>4612.5</v>
      </c>
      <c r="L58" s="4">
        <f>FastenersPriceList3[[#This Row],[Rate / PER kg (₹)]]*FastenersPriceList3[[#This Row],[Quantity (kg)]]</f>
        <v>6150</v>
      </c>
      <c r="M58" s="4">
        <f>FastenersPriceList3[[#This Row],[SINGLE PC. WT.]]*FastenersPriceList3[[#This Row],[Rate / PER kg (₹)]]</f>
        <v>4.6124999999999998</v>
      </c>
    </row>
    <row r="59" spans="1:13" ht="22.05" customHeight="1" x14ac:dyDescent="0.3">
      <c r="A59" s="2" t="s">
        <v>1383</v>
      </c>
      <c r="B59" s="12" t="s">
        <v>8</v>
      </c>
      <c r="C59" s="12">
        <v>8.8000000000000007</v>
      </c>
      <c r="D59" s="2">
        <v>40.6</v>
      </c>
      <c r="E59" s="2">
        <f>FastenersPriceList3[[#This Row],[1000 PCS/WT.]]/1000</f>
        <v>4.0600000000000004E-2</v>
      </c>
      <c r="F59" s="2" t="s">
        <v>65</v>
      </c>
      <c r="G59" s="6" t="s">
        <v>1329</v>
      </c>
      <c r="H59" s="70">
        <v>50</v>
      </c>
      <c r="I59" s="72">
        <f>FastenersPriceList3[[#This Row],[Quantity (kg)]]/FastenersPriceList3[[#This Row],[SINGLE PC. WT.]]</f>
        <v>1231.5270935960589</v>
      </c>
      <c r="J59" s="3">
        <v>123</v>
      </c>
      <c r="K59" s="3">
        <f>FastenersPriceList3[[#This Row],[1000 PCS/WT.]]*FastenersPriceList3[[#This Row],[Rate / PER kg (₹)]]</f>
        <v>4993.8</v>
      </c>
      <c r="L59" s="4">
        <f>FastenersPriceList3[[#This Row],[Rate / PER kg (₹)]]*FastenersPriceList3[[#This Row],[Quantity (kg)]]</f>
        <v>6150</v>
      </c>
      <c r="M59" s="4">
        <f>FastenersPriceList3[[#This Row],[SINGLE PC. WT.]]*FastenersPriceList3[[#This Row],[Rate / PER kg (₹)]]</f>
        <v>4.9938000000000002</v>
      </c>
    </row>
    <row r="60" spans="1:13" ht="22.05" customHeight="1" x14ac:dyDescent="0.3">
      <c r="A60" s="2" t="s">
        <v>1384</v>
      </c>
      <c r="B60" s="12" t="s">
        <v>8</v>
      </c>
      <c r="C60" s="12">
        <v>8.8000000000000007</v>
      </c>
      <c r="D60" s="2">
        <v>43.7</v>
      </c>
      <c r="E60" s="2">
        <f>FastenersPriceList3[[#This Row],[1000 PCS/WT.]]/1000</f>
        <v>4.3700000000000003E-2</v>
      </c>
      <c r="F60" s="2" t="s">
        <v>66</v>
      </c>
      <c r="G60" s="6" t="s">
        <v>1329</v>
      </c>
      <c r="H60" s="70">
        <v>50</v>
      </c>
      <c r="I60" s="72">
        <f>FastenersPriceList3[[#This Row],[Quantity (kg)]]/FastenersPriceList3[[#This Row],[SINGLE PC. WT.]]</f>
        <v>1144.1647597254005</v>
      </c>
      <c r="J60" s="3">
        <v>123</v>
      </c>
      <c r="K60" s="3">
        <f>FastenersPriceList3[[#This Row],[1000 PCS/WT.]]*FastenersPriceList3[[#This Row],[Rate / PER kg (₹)]]</f>
        <v>5375.1</v>
      </c>
      <c r="L60" s="4">
        <f>FastenersPriceList3[[#This Row],[Rate / PER kg (₹)]]*FastenersPriceList3[[#This Row],[Quantity (kg)]]</f>
        <v>6150</v>
      </c>
      <c r="M60" s="4">
        <f>FastenersPriceList3[[#This Row],[SINGLE PC. WT.]]*FastenersPriceList3[[#This Row],[Rate / PER kg (₹)]]</f>
        <v>5.3751000000000007</v>
      </c>
    </row>
    <row r="61" spans="1:13" ht="22.05" customHeight="1" x14ac:dyDescent="0.3">
      <c r="A61" s="2" t="s">
        <v>1385</v>
      </c>
      <c r="B61" s="12" t="s">
        <v>8</v>
      </c>
      <c r="C61" s="12">
        <v>8.8000000000000007</v>
      </c>
      <c r="D61" s="2">
        <v>46.8</v>
      </c>
      <c r="E61" s="2">
        <f>FastenersPriceList3[[#This Row],[1000 PCS/WT.]]/1000</f>
        <v>4.6799999999999994E-2</v>
      </c>
      <c r="F61" s="2" t="s">
        <v>67</v>
      </c>
      <c r="G61" s="6" t="s">
        <v>1329</v>
      </c>
      <c r="H61" s="70">
        <v>50</v>
      </c>
      <c r="I61" s="72">
        <f>FastenersPriceList3[[#This Row],[Quantity (kg)]]/FastenersPriceList3[[#This Row],[SINGLE PC. WT.]]</f>
        <v>1068.3760683760686</v>
      </c>
      <c r="J61" s="3">
        <v>123</v>
      </c>
      <c r="K61" s="3">
        <f>FastenersPriceList3[[#This Row],[1000 PCS/WT.]]*FastenersPriceList3[[#This Row],[Rate / PER kg (₹)]]</f>
        <v>5756.4</v>
      </c>
      <c r="L61" s="4">
        <f>FastenersPriceList3[[#This Row],[Rate / PER kg (₹)]]*FastenersPriceList3[[#This Row],[Quantity (kg)]]</f>
        <v>6150</v>
      </c>
      <c r="M61" s="4">
        <f>FastenersPriceList3[[#This Row],[SINGLE PC. WT.]]*FastenersPriceList3[[#This Row],[Rate / PER kg (₹)]]</f>
        <v>5.7563999999999993</v>
      </c>
    </row>
    <row r="62" spans="1:13" ht="22.05" customHeight="1" x14ac:dyDescent="0.3">
      <c r="A62" s="2" t="s">
        <v>1386</v>
      </c>
      <c r="B62" s="12" t="s">
        <v>8</v>
      </c>
      <c r="C62" s="12">
        <v>8.8000000000000007</v>
      </c>
      <c r="D62" s="2">
        <v>49.9</v>
      </c>
      <c r="E62" s="2">
        <f>FastenersPriceList3[[#This Row],[1000 PCS/WT.]]/1000</f>
        <v>4.99E-2</v>
      </c>
      <c r="F62" s="2" t="s">
        <v>68</v>
      </c>
      <c r="G62" s="6" t="s">
        <v>1329</v>
      </c>
      <c r="H62" s="70">
        <v>50</v>
      </c>
      <c r="I62" s="72">
        <f>FastenersPriceList3[[#This Row],[Quantity (kg)]]/FastenersPriceList3[[#This Row],[SINGLE PC. WT.]]</f>
        <v>1002.0040080160321</v>
      </c>
      <c r="J62" s="3">
        <v>123</v>
      </c>
      <c r="K62" s="3">
        <f>FastenersPriceList3[[#This Row],[1000 PCS/WT.]]*FastenersPriceList3[[#This Row],[Rate / PER kg (₹)]]</f>
        <v>6137.7</v>
      </c>
      <c r="L62" s="4">
        <f>FastenersPriceList3[[#This Row],[Rate / PER kg (₹)]]*FastenersPriceList3[[#This Row],[Quantity (kg)]]</f>
        <v>6150</v>
      </c>
      <c r="M62" s="4">
        <f>FastenersPriceList3[[#This Row],[SINGLE PC. WT.]]*FastenersPriceList3[[#This Row],[Rate / PER kg (₹)]]</f>
        <v>6.1376999999999997</v>
      </c>
    </row>
    <row r="63" spans="1:13" ht="22.05" customHeight="1" x14ac:dyDescent="0.3">
      <c r="A63" s="2" t="s">
        <v>1387</v>
      </c>
      <c r="B63" s="12" t="s">
        <v>8</v>
      </c>
      <c r="C63" s="12">
        <v>8.8000000000000007</v>
      </c>
      <c r="D63" s="2">
        <v>53</v>
      </c>
      <c r="E63" s="2">
        <f>FastenersPriceList3[[#This Row],[1000 PCS/WT.]]/1000</f>
        <v>5.2999999999999999E-2</v>
      </c>
      <c r="F63" s="2" t="s">
        <v>69</v>
      </c>
      <c r="G63" s="6" t="s">
        <v>1329</v>
      </c>
      <c r="H63" s="70">
        <v>50</v>
      </c>
      <c r="I63" s="72">
        <f>FastenersPriceList3[[#This Row],[Quantity (kg)]]/FastenersPriceList3[[#This Row],[SINGLE PC. WT.]]</f>
        <v>943.39622641509436</v>
      </c>
      <c r="J63" s="3">
        <v>121</v>
      </c>
      <c r="K63" s="3">
        <f>FastenersPriceList3[[#This Row],[1000 PCS/WT.]]*FastenersPriceList3[[#This Row],[Rate / PER kg (₹)]]</f>
        <v>6413</v>
      </c>
      <c r="L63" s="4">
        <f>FastenersPriceList3[[#This Row],[Rate / PER kg (₹)]]*FastenersPriceList3[[#This Row],[Quantity (kg)]]</f>
        <v>6050</v>
      </c>
      <c r="M63" s="4">
        <f>FastenersPriceList3[[#This Row],[SINGLE PC. WT.]]*FastenersPriceList3[[#This Row],[Rate / PER kg (₹)]]</f>
        <v>6.4130000000000003</v>
      </c>
    </row>
    <row r="64" spans="1:13" ht="22.05" customHeight="1" x14ac:dyDescent="0.3">
      <c r="A64" s="2" t="s">
        <v>1388</v>
      </c>
      <c r="B64" s="12" t="s">
        <v>8</v>
      </c>
      <c r="C64" s="12">
        <v>8.8000000000000007</v>
      </c>
      <c r="D64" s="2">
        <v>56.1</v>
      </c>
      <c r="E64" s="2">
        <f>FastenersPriceList3[[#This Row],[1000 PCS/WT.]]/1000</f>
        <v>5.6100000000000004E-2</v>
      </c>
      <c r="F64" s="2" t="s">
        <v>70</v>
      </c>
      <c r="G64" s="6" t="s">
        <v>1329</v>
      </c>
      <c r="H64" s="70">
        <v>50</v>
      </c>
      <c r="I64" s="72">
        <f>FastenersPriceList3[[#This Row],[Quantity (kg)]]/FastenersPriceList3[[#This Row],[SINGLE PC. WT.]]</f>
        <v>891.26559714795007</v>
      </c>
      <c r="J64" s="3">
        <v>121</v>
      </c>
      <c r="K64" s="3">
        <f>FastenersPriceList3[[#This Row],[1000 PCS/WT.]]*FastenersPriceList3[[#This Row],[Rate / PER kg (₹)]]</f>
        <v>6788.1</v>
      </c>
      <c r="L64" s="4">
        <f>FastenersPriceList3[[#This Row],[Rate / PER kg (₹)]]*FastenersPriceList3[[#This Row],[Quantity (kg)]]</f>
        <v>6050</v>
      </c>
      <c r="M64" s="4">
        <f>FastenersPriceList3[[#This Row],[SINGLE PC. WT.]]*FastenersPriceList3[[#This Row],[Rate / PER kg (₹)]]</f>
        <v>6.7881000000000009</v>
      </c>
    </row>
    <row r="65" spans="1:13" ht="22.05" customHeight="1" x14ac:dyDescent="0.3">
      <c r="A65" s="2" t="s">
        <v>1389</v>
      </c>
      <c r="B65" s="12" t="s">
        <v>8</v>
      </c>
      <c r="C65" s="12">
        <v>8.8000000000000007</v>
      </c>
      <c r="D65" s="2">
        <v>59.2</v>
      </c>
      <c r="E65" s="2">
        <f>FastenersPriceList3[[#This Row],[1000 PCS/WT.]]/1000</f>
        <v>5.9200000000000003E-2</v>
      </c>
      <c r="F65" s="2" t="s">
        <v>71</v>
      </c>
      <c r="G65" s="6" t="s">
        <v>1329</v>
      </c>
      <c r="H65" s="70">
        <v>50</v>
      </c>
      <c r="I65" s="72">
        <f>FastenersPriceList3[[#This Row],[Quantity (kg)]]/FastenersPriceList3[[#This Row],[SINGLE PC. WT.]]</f>
        <v>844.59459459459458</v>
      </c>
      <c r="J65" s="3">
        <v>121</v>
      </c>
      <c r="K65" s="3">
        <f>FastenersPriceList3[[#This Row],[1000 PCS/WT.]]*FastenersPriceList3[[#This Row],[Rate / PER kg (₹)]]</f>
        <v>7163.2000000000007</v>
      </c>
      <c r="L65" s="4">
        <f>FastenersPriceList3[[#This Row],[Rate / PER kg (₹)]]*FastenersPriceList3[[#This Row],[Quantity (kg)]]</f>
        <v>6050</v>
      </c>
      <c r="M65" s="4">
        <f>FastenersPriceList3[[#This Row],[SINGLE PC. WT.]]*FastenersPriceList3[[#This Row],[Rate / PER kg (₹)]]</f>
        <v>7.1632000000000007</v>
      </c>
    </row>
    <row r="66" spans="1:13" ht="22.05" customHeight="1" x14ac:dyDescent="0.3">
      <c r="A66" s="2" t="s">
        <v>1390</v>
      </c>
      <c r="B66" s="12" t="s">
        <v>8</v>
      </c>
      <c r="C66" s="12">
        <v>8.8000000000000007</v>
      </c>
      <c r="D66" s="2">
        <v>62.3</v>
      </c>
      <c r="E66" s="2">
        <f>FastenersPriceList3[[#This Row],[1000 PCS/WT.]]/1000</f>
        <v>6.2299999999999994E-2</v>
      </c>
      <c r="F66" s="2" t="s">
        <v>72</v>
      </c>
      <c r="G66" s="6" t="s">
        <v>1329</v>
      </c>
      <c r="H66" s="70">
        <v>50</v>
      </c>
      <c r="I66" s="72">
        <f>FastenersPriceList3[[#This Row],[Quantity (kg)]]/FastenersPriceList3[[#This Row],[SINGLE PC. WT.]]</f>
        <v>802.56821829855551</v>
      </c>
      <c r="J66" s="3">
        <v>121</v>
      </c>
      <c r="K66" s="3">
        <f>FastenersPriceList3[[#This Row],[1000 PCS/WT.]]*FastenersPriceList3[[#This Row],[Rate / PER kg (₹)]]</f>
        <v>7538.2999999999993</v>
      </c>
      <c r="L66" s="4">
        <f>FastenersPriceList3[[#This Row],[Rate / PER kg (₹)]]*FastenersPriceList3[[#This Row],[Quantity (kg)]]</f>
        <v>6050</v>
      </c>
      <c r="M66" s="4">
        <f>FastenersPriceList3[[#This Row],[SINGLE PC. WT.]]*FastenersPriceList3[[#This Row],[Rate / PER kg (₹)]]</f>
        <v>7.5382999999999996</v>
      </c>
    </row>
    <row r="67" spans="1:13" ht="22.05" customHeight="1" x14ac:dyDescent="0.3">
      <c r="A67" s="2" t="s">
        <v>1391</v>
      </c>
      <c r="B67" s="12" t="s">
        <v>8</v>
      </c>
      <c r="C67" s="12">
        <v>8.8000000000000007</v>
      </c>
      <c r="D67" s="2">
        <v>65.400000000000006</v>
      </c>
      <c r="E67" s="2">
        <f>FastenersPriceList3[[#This Row],[1000 PCS/WT.]]/1000</f>
        <v>6.54E-2</v>
      </c>
      <c r="F67" s="2" t="s">
        <v>73</v>
      </c>
      <c r="G67" s="6" t="s">
        <v>1329</v>
      </c>
      <c r="H67" s="70">
        <v>50</v>
      </c>
      <c r="I67" s="72">
        <f>FastenersPriceList3[[#This Row],[Quantity (kg)]]/FastenersPriceList3[[#This Row],[SINGLE PC. WT.]]</f>
        <v>764.52599388379201</v>
      </c>
      <c r="J67" s="3">
        <v>121</v>
      </c>
      <c r="K67" s="3">
        <f>FastenersPriceList3[[#This Row],[1000 PCS/WT.]]*FastenersPriceList3[[#This Row],[Rate / PER kg (₹)]]</f>
        <v>7913.4000000000005</v>
      </c>
      <c r="L67" s="4">
        <f>FastenersPriceList3[[#This Row],[Rate / PER kg (₹)]]*FastenersPriceList3[[#This Row],[Quantity (kg)]]</f>
        <v>6050</v>
      </c>
      <c r="M67" s="4">
        <f>FastenersPriceList3[[#This Row],[SINGLE PC. WT.]]*FastenersPriceList3[[#This Row],[Rate / PER kg (₹)]]</f>
        <v>7.9134000000000002</v>
      </c>
    </row>
    <row r="68" spans="1:13" ht="22.05" customHeight="1" x14ac:dyDescent="0.3">
      <c r="A68" s="2" t="s">
        <v>1392</v>
      </c>
      <c r="B68" s="12" t="s">
        <v>8</v>
      </c>
      <c r="C68" s="12">
        <v>8.8000000000000007</v>
      </c>
      <c r="D68" s="2">
        <v>68.5</v>
      </c>
      <c r="E68" s="2">
        <f>FastenersPriceList3[[#This Row],[1000 PCS/WT.]]/1000</f>
        <v>6.8500000000000005E-2</v>
      </c>
      <c r="F68" s="2" t="s">
        <v>74</v>
      </c>
      <c r="G68" s="6" t="s">
        <v>1329</v>
      </c>
      <c r="H68" s="70">
        <v>50</v>
      </c>
      <c r="I68" s="72">
        <f>FastenersPriceList3[[#This Row],[Quantity (kg)]]/FastenersPriceList3[[#This Row],[SINGLE PC. WT.]]</f>
        <v>729.92700729927003</v>
      </c>
      <c r="J68" s="3">
        <v>121</v>
      </c>
      <c r="K68" s="3">
        <f>FastenersPriceList3[[#This Row],[1000 PCS/WT.]]*FastenersPriceList3[[#This Row],[Rate / PER kg (₹)]]</f>
        <v>8288.5</v>
      </c>
      <c r="L68" s="4">
        <f>FastenersPriceList3[[#This Row],[Rate / PER kg (₹)]]*FastenersPriceList3[[#This Row],[Quantity (kg)]]</f>
        <v>6050</v>
      </c>
      <c r="M68" s="4">
        <f>FastenersPriceList3[[#This Row],[SINGLE PC. WT.]]*FastenersPriceList3[[#This Row],[Rate / PER kg (₹)]]</f>
        <v>8.2885000000000009</v>
      </c>
    </row>
    <row r="69" spans="1:13" ht="22.05" customHeight="1" x14ac:dyDescent="0.3">
      <c r="A69" s="2" t="s">
        <v>1393</v>
      </c>
      <c r="B69" s="12" t="s">
        <v>8</v>
      </c>
      <c r="C69" s="12">
        <v>8.8000000000000007</v>
      </c>
      <c r="D69" s="2">
        <v>71.599999999999994</v>
      </c>
      <c r="E69" s="2">
        <f>FastenersPriceList3[[#This Row],[1000 PCS/WT.]]/1000</f>
        <v>7.1599999999999997E-2</v>
      </c>
      <c r="F69" s="2" t="s">
        <v>75</v>
      </c>
      <c r="G69" s="6" t="s">
        <v>1329</v>
      </c>
      <c r="H69" s="70">
        <v>50</v>
      </c>
      <c r="I69" s="72">
        <f>FastenersPriceList3[[#This Row],[Quantity (kg)]]/FastenersPriceList3[[#This Row],[SINGLE PC. WT.]]</f>
        <v>698.32402234636879</v>
      </c>
      <c r="J69" s="3">
        <v>121</v>
      </c>
      <c r="K69" s="3">
        <f>FastenersPriceList3[[#This Row],[1000 PCS/WT.]]*FastenersPriceList3[[#This Row],[Rate / PER kg (₹)]]</f>
        <v>8663.5999999999985</v>
      </c>
      <c r="L69" s="4">
        <f>FastenersPriceList3[[#This Row],[Rate / PER kg (₹)]]*FastenersPriceList3[[#This Row],[Quantity (kg)]]</f>
        <v>6050</v>
      </c>
      <c r="M69" s="4">
        <f>FastenersPriceList3[[#This Row],[SINGLE PC. WT.]]*FastenersPriceList3[[#This Row],[Rate / PER kg (₹)]]</f>
        <v>8.6635999999999989</v>
      </c>
    </row>
    <row r="70" spans="1:13" ht="22.05" customHeight="1" x14ac:dyDescent="0.3">
      <c r="A70" s="2" t="s">
        <v>1394</v>
      </c>
      <c r="B70" s="12" t="s">
        <v>8</v>
      </c>
      <c r="C70" s="12">
        <v>8.8000000000000007</v>
      </c>
      <c r="D70" s="2">
        <v>77.8</v>
      </c>
      <c r="E70" s="2">
        <f>FastenersPriceList3[[#This Row],[1000 PCS/WT.]]/1000</f>
        <v>7.7799999999999994E-2</v>
      </c>
      <c r="F70" s="2" t="s">
        <v>76</v>
      </c>
      <c r="G70" s="6" t="s">
        <v>1329</v>
      </c>
      <c r="H70" s="70">
        <v>50</v>
      </c>
      <c r="I70" s="72">
        <f>FastenersPriceList3[[#This Row],[Quantity (kg)]]/FastenersPriceList3[[#This Row],[SINGLE PC. WT.]]</f>
        <v>642.67352185089976</v>
      </c>
      <c r="J70" s="3">
        <v>130</v>
      </c>
      <c r="K70" s="3">
        <f>FastenersPriceList3[[#This Row],[1000 PCS/WT.]]*FastenersPriceList3[[#This Row],[Rate / PER kg (₹)]]</f>
        <v>10114</v>
      </c>
      <c r="L70" s="4">
        <f>FastenersPriceList3[[#This Row],[Rate / PER kg (₹)]]*FastenersPriceList3[[#This Row],[Quantity (kg)]]</f>
        <v>6500</v>
      </c>
      <c r="M70" s="4">
        <f>FastenersPriceList3[[#This Row],[SINGLE PC. WT.]]*FastenersPriceList3[[#This Row],[Rate / PER kg (₹)]]</f>
        <v>10.113999999999999</v>
      </c>
    </row>
    <row r="71" spans="1:13" ht="22.05" customHeight="1" x14ac:dyDescent="0.3">
      <c r="A71" s="2" t="s">
        <v>1395</v>
      </c>
      <c r="B71" s="12" t="s">
        <v>8</v>
      </c>
      <c r="C71" s="12">
        <v>8.8000000000000007</v>
      </c>
      <c r="D71" s="2">
        <v>84</v>
      </c>
      <c r="E71" s="2">
        <f>FastenersPriceList3[[#This Row],[1000 PCS/WT.]]/1000</f>
        <v>8.4000000000000005E-2</v>
      </c>
      <c r="F71" s="2" t="s">
        <v>77</v>
      </c>
      <c r="G71" s="6" t="s">
        <v>1329</v>
      </c>
      <c r="H71" s="70">
        <v>50</v>
      </c>
      <c r="I71" s="72">
        <f>FastenersPriceList3[[#This Row],[Quantity (kg)]]/FastenersPriceList3[[#This Row],[SINGLE PC. WT.]]</f>
        <v>595.23809523809518</v>
      </c>
      <c r="J71" s="3">
        <v>130</v>
      </c>
      <c r="K71" s="3">
        <f>FastenersPriceList3[[#This Row],[1000 PCS/WT.]]*FastenersPriceList3[[#This Row],[Rate / PER kg (₹)]]</f>
        <v>10920</v>
      </c>
      <c r="L71" s="4">
        <f>FastenersPriceList3[[#This Row],[Rate / PER kg (₹)]]*FastenersPriceList3[[#This Row],[Quantity (kg)]]</f>
        <v>6500</v>
      </c>
      <c r="M71" s="4">
        <f>FastenersPriceList3[[#This Row],[SINGLE PC. WT.]]*FastenersPriceList3[[#This Row],[Rate / PER kg (₹)]]</f>
        <v>10.92</v>
      </c>
    </row>
    <row r="72" spans="1:13" ht="22.05" customHeight="1" x14ac:dyDescent="0.3">
      <c r="A72" s="2" t="s">
        <v>1752</v>
      </c>
      <c r="B72" s="12" t="s">
        <v>8</v>
      </c>
      <c r="C72" s="12">
        <v>8.8000000000000007</v>
      </c>
      <c r="D72" s="2">
        <v>90.2</v>
      </c>
      <c r="E72" s="2">
        <f>FastenersPriceList3[[#This Row],[1000 PCS/WT.]]/1000</f>
        <v>9.0200000000000002E-2</v>
      </c>
      <c r="F72" s="2" t="s">
        <v>1324</v>
      </c>
      <c r="G72" s="6" t="s">
        <v>1329</v>
      </c>
      <c r="H72" s="70">
        <v>50</v>
      </c>
      <c r="I72" s="72">
        <f>FastenersPriceList3[[#This Row],[Quantity (kg)]]/FastenersPriceList3[[#This Row],[SINGLE PC. WT.]]</f>
        <v>554.32372505543231</v>
      </c>
      <c r="J72" s="3">
        <v>130</v>
      </c>
      <c r="K72" s="3">
        <f>FastenersPriceList3[[#This Row],[1000 PCS/WT.]]*FastenersPriceList3[[#This Row],[Rate / PER kg (₹)]]</f>
        <v>11726</v>
      </c>
      <c r="L72" s="4">
        <f>FastenersPriceList3[[#This Row],[Rate / PER kg (₹)]]*FastenersPriceList3[[#This Row],[Quantity (kg)]]</f>
        <v>6500</v>
      </c>
      <c r="M72" s="4">
        <f>FastenersPriceList3[[#This Row],[SINGLE PC. WT.]]*FastenersPriceList3[[#This Row],[Rate / PER kg (₹)]]</f>
        <v>11.726000000000001</v>
      </c>
    </row>
    <row r="73" spans="1:13" ht="22.05" customHeight="1" x14ac:dyDescent="0.3">
      <c r="A73" s="2" t="s">
        <v>1396</v>
      </c>
      <c r="B73" s="12" t="s">
        <v>8</v>
      </c>
      <c r="C73" s="12">
        <v>8.8000000000000007</v>
      </c>
      <c r="D73" s="2">
        <v>96.4</v>
      </c>
      <c r="E73" s="2">
        <f>FastenersPriceList3[[#This Row],[1000 PCS/WT.]]/1000</f>
        <v>9.64E-2</v>
      </c>
      <c r="F73" s="2" t="s">
        <v>78</v>
      </c>
      <c r="G73" s="6" t="s">
        <v>1329</v>
      </c>
      <c r="H73" s="70">
        <v>50</v>
      </c>
      <c r="I73" s="72">
        <f>FastenersPriceList3[[#This Row],[Quantity (kg)]]/FastenersPriceList3[[#This Row],[SINGLE PC. WT.]]</f>
        <v>518.67219917012449</v>
      </c>
      <c r="J73" s="3">
        <v>130</v>
      </c>
      <c r="K73" s="3">
        <f>FastenersPriceList3[[#This Row],[1000 PCS/WT.]]*FastenersPriceList3[[#This Row],[Rate / PER kg (₹)]]</f>
        <v>12532</v>
      </c>
      <c r="L73" s="4">
        <f>FastenersPriceList3[[#This Row],[Rate / PER kg (₹)]]*FastenersPriceList3[[#This Row],[Quantity (kg)]]</f>
        <v>6500</v>
      </c>
      <c r="M73" s="4">
        <f>FastenersPriceList3[[#This Row],[SINGLE PC. WT.]]*FastenersPriceList3[[#This Row],[Rate / PER kg (₹)]]</f>
        <v>12.532</v>
      </c>
    </row>
    <row r="74" spans="1:13" ht="22.05" customHeight="1" x14ac:dyDescent="0.3">
      <c r="A74" s="2" t="s">
        <v>1397</v>
      </c>
      <c r="B74" s="12" t="s">
        <v>8</v>
      </c>
      <c r="C74" s="12">
        <v>8.8000000000000007</v>
      </c>
      <c r="D74" s="2">
        <v>102.6</v>
      </c>
      <c r="E74" s="2">
        <f>FastenersPriceList3[[#This Row],[1000 PCS/WT.]]/1000</f>
        <v>0.1026</v>
      </c>
      <c r="F74" s="2" t="s">
        <v>79</v>
      </c>
      <c r="G74" s="6" t="s">
        <v>1329</v>
      </c>
      <c r="H74" s="70">
        <v>50</v>
      </c>
      <c r="I74" s="72">
        <f>FastenersPriceList3[[#This Row],[Quantity (kg)]]/FastenersPriceList3[[#This Row],[SINGLE PC. WT.]]</f>
        <v>487.32943469785579</v>
      </c>
      <c r="J74" s="3">
        <v>130</v>
      </c>
      <c r="K74" s="3">
        <f>FastenersPriceList3[[#This Row],[1000 PCS/WT.]]*FastenersPriceList3[[#This Row],[Rate / PER kg (₹)]]</f>
        <v>13338</v>
      </c>
      <c r="L74" s="4">
        <f>FastenersPriceList3[[#This Row],[Rate / PER kg (₹)]]*FastenersPriceList3[[#This Row],[Quantity (kg)]]</f>
        <v>6500</v>
      </c>
      <c r="M74" s="4">
        <f>FastenersPriceList3[[#This Row],[SINGLE PC. WT.]]*FastenersPriceList3[[#This Row],[Rate / PER kg (₹)]]</f>
        <v>13.337999999999999</v>
      </c>
    </row>
    <row r="75" spans="1:13" ht="22.05" customHeight="1" x14ac:dyDescent="0.3">
      <c r="A75" s="2" t="s">
        <v>1398</v>
      </c>
      <c r="B75" s="12" t="s">
        <v>8</v>
      </c>
      <c r="C75" s="12">
        <v>8.8000000000000007</v>
      </c>
      <c r="D75" s="2">
        <v>36.869999999999997</v>
      </c>
      <c r="E75" s="2">
        <f>FastenersPriceList3[[#This Row],[1000 PCS/WT.]]/1000</f>
        <v>3.687E-2</v>
      </c>
      <c r="F75" s="2" t="s">
        <v>80</v>
      </c>
      <c r="G75" s="6" t="s">
        <v>1329</v>
      </c>
      <c r="H75" s="70">
        <v>50</v>
      </c>
      <c r="I75" s="72">
        <f>FastenersPriceList3[[#This Row],[Quantity (kg)]]/FastenersPriceList3[[#This Row],[SINGLE PC. WT.]]</f>
        <v>1356.1160835367507</v>
      </c>
      <c r="J75" s="3">
        <v>127</v>
      </c>
      <c r="K75" s="3">
        <f>FastenersPriceList3[[#This Row],[1000 PCS/WT.]]*FastenersPriceList3[[#This Row],[Rate / PER kg (₹)]]</f>
        <v>4682.49</v>
      </c>
      <c r="L75" s="4">
        <f>FastenersPriceList3[[#This Row],[Rate / PER kg (₹)]]*FastenersPriceList3[[#This Row],[Quantity (kg)]]</f>
        <v>6350</v>
      </c>
      <c r="M75" s="4">
        <f>FastenersPriceList3[[#This Row],[SINGLE PC. WT.]]*FastenersPriceList3[[#This Row],[Rate / PER kg (₹)]]</f>
        <v>4.6824899999999996</v>
      </c>
    </row>
    <row r="76" spans="1:13" ht="22.05" customHeight="1" x14ac:dyDescent="0.3">
      <c r="A76" s="2" t="s">
        <v>1399</v>
      </c>
      <c r="B76" s="12" t="s">
        <v>8</v>
      </c>
      <c r="C76" s="12">
        <v>8.8000000000000007</v>
      </c>
      <c r="D76" s="2">
        <v>40.22</v>
      </c>
      <c r="E76" s="2">
        <f>FastenersPriceList3[[#This Row],[1000 PCS/WT.]]/1000</f>
        <v>4.0219999999999999E-2</v>
      </c>
      <c r="F76" s="2" t="s">
        <v>81</v>
      </c>
      <c r="G76" s="6" t="s">
        <v>1329</v>
      </c>
      <c r="H76" s="70">
        <v>50</v>
      </c>
      <c r="I76" s="72">
        <f>FastenersPriceList3[[#This Row],[Quantity (kg)]]/FastenersPriceList3[[#This Row],[SINGLE PC. WT.]]</f>
        <v>1243.1626056688215</v>
      </c>
      <c r="J76" s="3">
        <v>127</v>
      </c>
      <c r="K76" s="3">
        <f>FastenersPriceList3[[#This Row],[1000 PCS/WT.]]*FastenersPriceList3[[#This Row],[Rate / PER kg (₹)]]</f>
        <v>5107.9399999999996</v>
      </c>
      <c r="L76" s="4">
        <f>FastenersPriceList3[[#This Row],[Rate / PER kg (₹)]]*FastenersPriceList3[[#This Row],[Quantity (kg)]]</f>
        <v>6350</v>
      </c>
      <c r="M76" s="4">
        <f>FastenersPriceList3[[#This Row],[SINGLE PC. WT.]]*FastenersPriceList3[[#This Row],[Rate / PER kg (₹)]]</f>
        <v>5.1079400000000001</v>
      </c>
    </row>
    <row r="77" spans="1:13" ht="22.05" customHeight="1" x14ac:dyDescent="0.3">
      <c r="A77" s="2" t="s">
        <v>1400</v>
      </c>
      <c r="B77" s="12" t="s">
        <v>8</v>
      </c>
      <c r="C77" s="12">
        <v>8.8000000000000007</v>
      </c>
      <c r="D77" s="2">
        <v>43.82</v>
      </c>
      <c r="E77" s="2">
        <f>FastenersPriceList3[[#This Row],[1000 PCS/WT.]]/1000</f>
        <v>4.3819999999999998E-2</v>
      </c>
      <c r="F77" s="2" t="s">
        <v>82</v>
      </c>
      <c r="G77" s="6" t="s">
        <v>1329</v>
      </c>
      <c r="H77" s="70">
        <v>50</v>
      </c>
      <c r="I77" s="72">
        <f>FastenersPriceList3[[#This Row],[Quantity (kg)]]/FastenersPriceList3[[#This Row],[SINGLE PC. WT.]]</f>
        <v>1141.0314924691922</v>
      </c>
      <c r="J77" s="3">
        <v>127</v>
      </c>
      <c r="K77" s="3">
        <f>FastenersPriceList3[[#This Row],[1000 PCS/WT.]]*FastenersPriceList3[[#This Row],[Rate / PER kg (₹)]]</f>
        <v>5565.14</v>
      </c>
      <c r="L77" s="4">
        <f>FastenersPriceList3[[#This Row],[Rate / PER kg (₹)]]*FastenersPriceList3[[#This Row],[Quantity (kg)]]</f>
        <v>6350</v>
      </c>
      <c r="M77" s="4">
        <f>FastenersPriceList3[[#This Row],[SINGLE PC. WT.]]*FastenersPriceList3[[#This Row],[Rate / PER kg (₹)]]</f>
        <v>5.5651399999999995</v>
      </c>
    </row>
    <row r="78" spans="1:13" ht="22.05" customHeight="1" x14ac:dyDescent="0.3">
      <c r="A78" s="2" t="s">
        <v>1401</v>
      </c>
      <c r="B78" s="12" t="s">
        <v>8</v>
      </c>
      <c r="C78" s="12">
        <v>8.8000000000000007</v>
      </c>
      <c r="D78" s="2">
        <v>48.22</v>
      </c>
      <c r="E78" s="2">
        <f>FastenersPriceList3[[#This Row],[1000 PCS/WT.]]/1000</f>
        <v>4.8219999999999999E-2</v>
      </c>
      <c r="F78" s="2" t="s">
        <v>83</v>
      </c>
      <c r="G78" s="6" t="s">
        <v>1329</v>
      </c>
      <c r="H78" s="70">
        <v>50</v>
      </c>
      <c r="I78" s="72">
        <f>FastenersPriceList3[[#This Row],[Quantity (kg)]]/FastenersPriceList3[[#This Row],[SINGLE PC. WT.]]</f>
        <v>1036.9141435089175</v>
      </c>
      <c r="J78" s="3">
        <v>127</v>
      </c>
      <c r="K78" s="3">
        <f>FastenersPriceList3[[#This Row],[1000 PCS/WT.]]*FastenersPriceList3[[#This Row],[Rate / PER kg (₹)]]</f>
        <v>6123.94</v>
      </c>
      <c r="L78" s="4">
        <f>FastenersPriceList3[[#This Row],[Rate / PER kg (₹)]]*FastenersPriceList3[[#This Row],[Quantity (kg)]]</f>
        <v>6350</v>
      </c>
      <c r="M78" s="4">
        <f>FastenersPriceList3[[#This Row],[SINGLE PC. WT.]]*FastenersPriceList3[[#This Row],[Rate / PER kg (₹)]]</f>
        <v>6.1239400000000002</v>
      </c>
    </row>
    <row r="79" spans="1:13" ht="22.05" customHeight="1" x14ac:dyDescent="0.3">
      <c r="A79" s="2" t="s">
        <v>1402</v>
      </c>
      <c r="B79" s="12" t="s">
        <v>8</v>
      </c>
      <c r="C79" s="12">
        <v>8.8000000000000007</v>
      </c>
      <c r="D79" s="2">
        <v>52.62</v>
      </c>
      <c r="E79" s="2">
        <f>FastenersPriceList3[[#This Row],[1000 PCS/WT.]]/1000</f>
        <v>5.262E-2</v>
      </c>
      <c r="F79" s="2" t="s">
        <v>84</v>
      </c>
      <c r="G79" s="6" t="s">
        <v>1329</v>
      </c>
      <c r="H79" s="70">
        <v>50</v>
      </c>
      <c r="I79" s="72">
        <f>FastenersPriceList3[[#This Row],[Quantity (kg)]]/FastenersPriceList3[[#This Row],[SINGLE PC. WT.]]</f>
        <v>950.20904599011783</v>
      </c>
      <c r="J79" s="3">
        <v>127</v>
      </c>
      <c r="K79" s="3">
        <f>FastenersPriceList3[[#This Row],[1000 PCS/WT.]]*FastenersPriceList3[[#This Row],[Rate / PER kg (₹)]]</f>
        <v>6682.74</v>
      </c>
      <c r="L79" s="4">
        <f>FastenersPriceList3[[#This Row],[Rate / PER kg (₹)]]*FastenersPriceList3[[#This Row],[Quantity (kg)]]</f>
        <v>6350</v>
      </c>
      <c r="M79" s="4">
        <f>FastenersPriceList3[[#This Row],[SINGLE PC. WT.]]*FastenersPriceList3[[#This Row],[Rate / PER kg (₹)]]</f>
        <v>6.6827399999999999</v>
      </c>
    </row>
    <row r="80" spans="1:13" ht="22.05" customHeight="1" x14ac:dyDescent="0.3">
      <c r="A80" s="2" t="s">
        <v>1403</v>
      </c>
      <c r="B80" s="12" t="s">
        <v>8</v>
      </c>
      <c r="C80" s="12">
        <v>8.8000000000000007</v>
      </c>
      <c r="D80" s="2">
        <v>57.02</v>
      </c>
      <c r="E80" s="2">
        <f>FastenersPriceList3[[#This Row],[1000 PCS/WT.]]/1000</f>
        <v>5.7020000000000001E-2</v>
      </c>
      <c r="F80" s="2" t="s">
        <v>85</v>
      </c>
      <c r="G80" s="6" t="s">
        <v>1329</v>
      </c>
      <c r="H80" s="70">
        <v>50</v>
      </c>
      <c r="I80" s="72">
        <f>FastenersPriceList3[[#This Row],[Quantity (kg)]]/FastenersPriceList3[[#This Row],[SINGLE PC. WT.]]</f>
        <v>876.885303402315</v>
      </c>
      <c r="J80" s="3">
        <v>127</v>
      </c>
      <c r="K80" s="3">
        <f>FastenersPriceList3[[#This Row],[1000 PCS/WT.]]*FastenersPriceList3[[#This Row],[Rate / PER kg (₹)]]</f>
        <v>7241.54</v>
      </c>
      <c r="L80" s="4">
        <f>FastenersPriceList3[[#This Row],[Rate / PER kg (₹)]]*FastenersPriceList3[[#This Row],[Quantity (kg)]]</f>
        <v>6350</v>
      </c>
      <c r="M80" s="4">
        <f>FastenersPriceList3[[#This Row],[SINGLE PC. WT.]]*FastenersPriceList3[[#This Row],[Rate / PER kg (₹)]]</f>
        <v>7.2415400000000005</v>
      </c>
    </row>
    <row r="81" spans="1:13" ht="22.05" customHeight="1" x14ac:dyDescent="0.3">
      <c r="A81" s="2" t="s">
        <v>1404</v>
      </c>
      <c r="B81" s="12" t="s">
        <v>8</v>
      </c>
      <c r="C81" s="12">
        <v>8.8000000000000007</v>
      </c>
      <c r="D81" s="2">
        <v>61.42</v>
      </c>
      <c r="E81" s="2">
        <f>FastenersPriceList3[[#This Row],[1000 PCS/WT.]]/1000</f>
        <v>6.1420000000000002E-2</v>
      </c>
      <c r="F81" s="2" t="s">
        <v>86</v>
      </c>
      <c r="G81" s="6" t="s">
        <v>1329</v>
      </c>
      <c r="H81" s="70">
        <v>50</v>
      </c>
      <c r="I81" s="72">
        <f>FastenersPriceList3[[#This Row],[Quantity (kg)]]/FastenersPriceList3[[#This Row],[SINGLE PC. WT.]]</f>
        <v>814.06707912732008</v>
      </c>
      <c r="J81" s="3">
        <v>125</v>
      </c>
      <c r="K81" s="3">
        <f>FastenersPriceList3[[#This Row],[1000 PCS/WT.]]*FastenersPriceList3[[#This Row],[Rate / PER kg (₹)]]</f>
        <v>7677.5</v>
      </c>
      <c r="L81" s="4">
        <f>FastenersPriceList3[[#This Row],[Rate / PER kg (₹)]]*FastenersPriceList3[[#This Row],[Quantity (kg)]]</f>
        <v>6250</v>
      </c>
      <c r="M81" s="4">
        <f>FastenersPriceList3[[#This Row],[SINGLE PC. WT.]]*FastenersPriceList3[[#This Row],[Rate / PER kg (₹)]]</f>
        <v>7.6775000000000002</v>
      </c>
    </row>
    <row r="82" spans="1:13" ht="22.05" customHeight="1" x14ac:dyDescent="0.3">
      <c r="A82" s="2" t="s">
        <v>1405</v>
      </c>
      <c r="B82" s="12" t="s">
        <v>8</v>
      </c>
      <c r="C82" s="12">
        <v>8.8000000000000007</v>
      </c>
      <c r="D82" s="2">
        <v>65.819999999999993</v>
      </c>
      <c r="E82" s="2">
        <f>FastenersPriceList3[[#This Row],[1000 PCS/WT.]]/1000</f>
        <v>6.581999999999999E-2</v>
      </c>
      <c r="F82" s="2" t="s">
        <v>87</v>
      </c>
      <c r="G82" s="6" t="s">
        <v>1329</v>
      </c>
      <c r="H82" s="70">
        <v>50</v>
      </c>
      <c r="I82" s="72">
        <f>FastenersPriceList3[[#This Row],[Quantity (kg)]]/FastenersPriceList3[[#This Row],[SINGLE PC. WT.]]</f>
        <v>759.6475235490733</v>
      </c>
      <c r="J82" s="3">
        <v>125</v>
      </c>
      <c r="K82" s="3">
        <f>FastenersPriceList3[[#This Row],[1000 PCS/WT.]]*FastenersPriceList3[[#This Row],[Rate / PER kg (₹)]]</f>
        <v>8227.5</v>
      </c>
      <c r="L82" s="4">
        <f>FastenersPriceList3[[#This Row],[Rate / PER kg (₹)]]*FastenersPriceList3[[#This Row],[Quantity (kg)]]</f>
        <v>6250</v>
      </c>
      <c r="M82" s="4">
        <f>FastenersPriceList3[[#This Row],[SINGLE PC. WT.]]*FastenersPriceList3[[#This Row],[Rate / PER kg (₹)]]</f>
        <v>8.2274999999999991</v>
      </c>
    </row>
    <row r="83" spans="1:13" ht="22.05" customHeight="1" x14ac:dyDescent="0.3">
      <c r="A83" s="2" t="s">
        <v>1406</v>
      </c>
      <c r="B83" s="12" t="s">
        <v>8</v>
      </c>
      <c r="C83" s="12">
        <v>8.8000000000000007</v>
      </c>
      <c r="D83" s="2">
        <v>70.22</v>
      </c>
      <c r="E83" s="2">
        <f>FastenersPriceList3[[#This Row],[1000 PCS/WT.]]/1000</f>
        <v>7.0220000000000005E-2</v>
      </c>
      <c r="F83" s="2" t="s">
        <v>88</v>
      </c>
      <c r="G83" s="6" t="s">
        <v>1329</v>
      </c>
      <c r="H83" s="70">
        <v>50</v>
      </c>
      <c r="I83" s="72">
        <f>FastenersPriceList3[[#This Row],[Quantity (kg)]]/FastenersPriceList3[[#This Row],[SINGLE PC. WT.]]</f>
        <v>712.0478496154941</v>
      </c>
      <c r="J83" s="3">
        <v>125</v>
      </c>
      <c r="K83" s="3">
        <f>FastenersPriceList3[[#This Row],[1000 PCS/WT.]]*FastenersPriceList3[[#This Row],[Rate / PER kg (₹)]]</f>
        <v>8777.5</v>
      </c>
      <c r="L83" s="4">
        <f>FastenersPriceList3[[#This Row],[Rate / PER kg (₹)]]*FastenersPriceList3[[#This Row],[Quantity (kg)]]</f>
        <v>6250</v>
      </c>
      <c r="M83" s="4">
        <f>FastenersPriceList3[[#This Row],[SINGLE PC. WT.]]*FastenersPriceList3[[#This Row],[Rate / PER kg (₹)]]</f>
        <v>8.7774999999999999</v>
      </c>
    </row>
    <row r="84" spans="1:13" ht="22.05" customHeight="1" x14ac:dyDescent="0.3">
      <c r="A84" s="2" t="s">
        <v>1407</v>
      </c>
      <c r="B84" s="12" t="s">
        <v>8</v>
      </c>
      <c r="C84" s="12">
        <v>8.8000000000000007</v>
      </c>
      <c r="D84" s="2">
        <v>74.62</v>
      </c>
      <c r="E84" s="2">
        <f>FastenersPriceList3[[#This Row],[1000 PCS/WT.]]/1000</f>
        <v>7.4620000000000006E-2</v>
      </c>
      <c r="F84" s="2" t="s">
        <v>89</v>
      </c>
      <c r="G84" s="6" t="s">
        <v>1329</v>
      </c>
      <c r="H84" s="70">
        <v>50</v>
      </c>
      <c r="I84" s="72">
        <f>FastenersPriceList3[[#This Row],[Quantity (kg)]]/FastenersPriceList3[[#This Row],[SINGLE PC. WT.]]</f>
        <v>670.06164567140172</v>
      </c>
      <c r="J84" s="3">
        <v>125</v>
      </c>
      <c r="K84" s="3">
        <f>FastenersPriceList3[[#This Row],[1000 PCS/WT.]]*FastenersPriceList3[[#This Row],[Rate / PER kg (₹)]]</f>
        <v>9327.5</v>
      </c>
      <c r="L84" s="4">
        <f>FastenersPriceList3[[#This Row],[Rate / PER kg (₹)]]*FastenersPriceList3[[#This Row],[Quantity (kg)]]</f>
        <v>6250</v>
      </c>
      <c r="M84" s="4">
        <f>FastenersPriceList3[[#This Row],[SINGLE PC. WT.]]*FastenersPriceList3[[#This Row],[Rate / PER kg (₹)]]</f>
        <v>9.3275000000000006</v>
      </c>
    </row>
    <row r="85" spans="1:13" ht="22.05" customHeight="1" x14ac:dyDescent="0.3">
      <c r="A85" s="2" t="s">
        <v>1408</v>
      </c>
      <c r="B85" s="12" t="s">
        <v>8</v>
      </c>
      <c r="C85" s="12">
        <v>8.8000000000000007</v>
      </c>
      <c r="D85" s="2">
        <v>79.02</v>
      </c>
      <c r="E85" s="2">
        <f>FastenersPriceList3[[#This Row],[1000 PCS/WT.]]/1000</f>
        <v>7.9019999999999993E-2</v>
      </c>
      <c r="F85" s="2" t="s">
        <v>90</v>
      </c>
      <c r="G85" s="6" t="s">
        <v>1329</v>
      </c>
      <c r="H85" s="70">
        <v>50</v>
      </c>
      <c r="I85" s="72">
        <f>FastenersPriceList3[[#This Row],[Quantity (kg)]]/FastenersPriceList3[[#This Row],[SINGLE PC. WT.]]</f>
        <v>632.75120222728424</v>
      </c>
      <c r="J85" s="3">
        <v>125</v>
      </c>
      <c r="K85" s="3">
        <f>FastenersPriceList3[[#This Row],[1000 PCS/WT.]]*FastenersPriceList3[[#This Row],[Rate / PER kg (₹)]]</f>
        <v>9877.5</v>
      </c>
      <c r="L85" s="4">
        <f>FastenersPriceList3[[#This Row],[Rate / PER kg (₹)]]*FastenersPriceList3[[#This Row],[Quantity (kg)]]</f>
        <v>6250</v>
      </c>
      <c r="M85" s="4">
        <f>FastenersPriceList3[[#This Row],[SINGLE PC. WT.]]*FastenersPriceList3[[#This Row],[Rate / PER kg (₹)]]</f>
        <v>9.8774999999999995</v>
      </c>
    </row>
    <row r="86" spans="1:13" ht="22.05" customHeight="1" x14ac:dyDescent="0.3">
      <c r="A86" s="2" t="s">
        <v>1409</v>
      </c>
      <c r="B86" s="12" t="s">
        <v>8</v>
      </c>
      <c r="C86" s="12">
        <v>8.8000000000000007</v>
      </c>
      <c r="D86" s="2">
        <v>83.42</v>
      </c>
      <c r="E86" s="2">
        <f>FastenersPriceList3[[#This Row],[1000 PCS/WT.]]/1000</f>
        <v>8.3420000000000008E-2</v>
      </c>
      <c r="F86" s="2" t="s">
        <v>91</v>
      </c>
      <c r="G86" s="6" t="s">
        <v>1329</v>
      </c>
      <c r="H86" s="70">
        <v>50</v>
      </c>
      <c r="I86" s="72">
        <f>FastenersPriceList3[[#This Row],[Quantity (kg)]]/FastenersPriceList3[[#This Row],[SINGLE PC. WT.]]</f>
        <v>599.37664828578272</v>
      </c>
      <c r="J86" s="3">
        <v>125</v>
      </c>
      <c r="K86" s="3">
        <f>FastenersPriceList3[[#This Row],[1000 PCS/WT.]]*FastenersPriceList3[[#This Row],[Rate / PER kg (₹)]]</f>
        <v>10427.5</v>
      </c>
      <c r="L86" s="4">
        <f>FastenersPriceList3[[#This Row],[Rate / PER kg (₹)]]*FastenersPriceList3[[#This Row],[Quantity (kg)]]</f>
        <v>6250</v>
      </c>
      <c r="M86" s="4">
        <f>FastenersPriceList3[[#This Row],[SINGLE PC. WT.]]*FastenersPriceList3[[#This Row],[Rate / PER kg (₹)]]</f>
        <v>10.4275</v>
      </c>
    </row>
    <row r="87" spans="1:13" ht="22.05" customHeight="1" x14ac:dyDescent="0.3">
      <c r="A87" s="2" t="s">
        <v>1410</v>
      </c>
      <c r="B87" s="12" t="s">
        <v>8</v>
      </c>
      <c r="C87" s="12">
        <v>8.8000000000000007</v>
      </c>
      <c r="D87" s="2">
        <v>87.82</v>
      </c>
      <c r="E87" s="2">
        <f>FastenersPriceList3[[#This Row],[1000 PCS/WT.]]/1000</f>
        <v>8.7819999999999995E-2</v>
      </c>
      <c r="F87" s="2" t="s">
        <v>92</v>
      </c>
      <c r="G87" s="6" t="s">
        <v>1329</v>
      </c>
      <c r="H87" s="70">
        <v>50</v>
      </c>
      <c r="I87" s="72">
        <f>FastenersPriceList3[[#This Row],[Quantity (kg)]]/FastenersPriceList3[[#This Row],[SINGLE PC. WT.]]</f>
        <v>569.34639034388522</v>
      </c>
      <c r="J87" s="3">
        <v>130</v>
      </c>
      <c r="K87" s="3">
        <f>FastenersPriceList3[[#This Row],[1000 PCS/WT.]]*FastenersPriceList3[[#This Row],[Rate / PER kg (₹)]]</f>
        <v>11416.599999999999</v>
      </c>
      <c r="L87" s="4">
        <f>FastenersPriceList3[[#This Row],[Rate / PER kg (₹)]]*FastenersPriceList3[[#This Row],[Quantity (kg)]]</f>
        <v>6500</v>
      </c>
      <c r="M87" s="4">
        <f>FastenersPriceList3[[#This Row],[SINGLE PC. WT.]]*FastenersPriceList3[[#This Row],[Rate / PER kg (₹)]]</f>
        <v>11.416599999999999</v>
      </c>
    </row>
    <row r="88" spans="1:13" ht="22.05" customHeight="1" x14ac:dyDescent="0.3">
      <c r="A88" s="2" t="s">
        <v>1411</v>
      </c>
      <c r="B88" s="12" t="s">
        <v>8</v>
      </c>
      <c r="C88" s="12">
        <v>8.8000000000000007</v>
      </c>
      <c r="D88" s="2">
        <v>92.22</v>
      </c>
      <c r="E88" s="2">
        <f>FastenersPriceList3[[#This Row],[1000 PCS/WT.]]/1000</f>
        <v>9.2219999999999996E-2</v>
      </c>
      <c r="F88" s="2" t="s">
        <v>93</v>
      </c>
      <c r="G88" s="6" t="s">
        <v>1329</v>
      </c>
      <c r="H88" s="70">
        <v>50</v>
      </c>
      <c r="I88" s="72">
        <f>FastenersPriceList3[[#This Row],[Quantity (kg)]]/FastenersPriceList3[[#This Row],[SINGLE PC. WT.]]</f>
        <v>542.18173931901981</v>
      </c>
      <c r="J88" s="3">
        <v>130</v>
      </c>
      <c r="K88" s="3">
        <f>FastenersPriceList3[[#This Row],[1000 PCS/WT.]]*FastenersPriceList3[[#This Row],[Rate / PER kg (₹)]]</f>
        <v>11988.6</v>
      </c>
      <c r="L88" s="4">
        <f>FastenersPriceList3[[#This Row],[Rate / PER kg (₹)]]*FastenersPriceList3[[#This Row],[Quantity (kg)]]</f>
        <v>6500</v>
      </c>
      <c r="M88" s="4">
        <f>FastenersPriceList3[[#This Row],[SINGLE PC. WT.]]*FastenersPriceList3[[#This Row],[Rate / PER kg (₹)]]</f>
        <v>11.9886</v>
      </c>
    </row>
    <row r="89" spans="1:13" ht="22.05" customHeight="1" x14ac:dyDescent="0.3">
      <c r="A89" s="2" t="s">
        <v>1412</v>
      </c>
      <c r="B89" s="12" t="s">
        <v>8</v>
      </c>
      <c r="C89" s="12">
        <v>8.8000000000000007</v>
      </c>
      <c r="D89" s="2">
        <v>96.62</v>
      </c>
      <c r="E89" s="2">
        <f>FastenersPriceList3[[#This Row],[1000 PCS/WT.]]/1000</f>
        <v>9.6620000000000011E-2</v>
      </c>
      <c r="F89" s="2" t="s">
        <v>94</v>
      </c>
      <c r="G89" s="6" t="s">
        <v>1329</v>
      </c>
      <c r="H89" s="70">
        <v>50</v>
      </c>
      <c r="I89" s="72">
        <f>FastenersPriceList3[[#This Row],[Quantity (kg)]]/FastenersPriceList3[[#This Row],[SINGLE PC. WT.]]</f>
        <v>517.49120264955491</v>
      </c>
      <c r="J89" s="3">
        <v>130</v>
      </c>
      <c r="K89" s="3">
        <f>FastenersPriceList3[[#This Row],[1000 PCS/WT.]]*FastenersPriceList3[[#This Row],[Rate / PER kg (₹)]]</f>
        <v>12560.6</v>
      </c>
      <c r="L89" s="4">
        <f>FastenersPriceList3[[#This Row],[Rate / PER kg (₹)]]*FastenersPriceList3[[#This Row],[Quantity (kg)]]</f>
        <v>6500</v>
      </c>
      <c r="M89" s="4">
        <f>FastenersPriceList3[[#This Row],[SINGLE PC. WT.]]*FastenersPriceList3[[#This Row],[Rate / PER kg (₹)]]</f>
        <v>12.560600000000001</v>
      </c>
    </row>
    <row r="90" spans="1:13" ht="22.05" customHeight="1" x14ac:dyDescent="0.3">
      <c r="A90" s="2" t="s">
        <v>1413</v>
      </c>
      <c r="B90" s="12" t="s">
        <v>8</v>
      </c>
      <c r="C90" s="12">
        <v>8.8000000000000007</v>
      </c>
      <c r="D90" s="2">
        <v>101.02</v>
      </c>
      <c r="E90" s="2">
        <f>FastenersPriceList3[[#This Row],[1000 PCS/WT.]]/1000</f>
        <v>0.10102</v>
      </c>
      <c r="F90" s="2" t="s">
        <v>95</v>
      </c>
      <c r="G90" s="6" t="s">
        <v>1329</v>
      </c>
      <c r="H90" s="70">
        <v>50</v>
      </c>
      <c r="I90" s="72">
        <f>FastenersPriceList3[[#This Row],[Quantity (kg)]]/FastenersPriceList3[[#This Row],[SINGLE PC. WT.]]</f>
        <v>494.95149475351417</v>
      </c>
      <c r="J90" s="3">
        <v>130</v>
      </c>
      <c r="K90" s="3">
        <f>FastenersPriceList3[[#This Row],[1000 PCS/WT.]]*FastenersPriceList3[[#This Row],[Rate / PER kg (₹)]]</f>
        <v>13132.6</v>
      </c>
      <c r="L90" s="4">
        <f>FastenersPriceList3[[#This Row],[Rate / PER kg (₹)]]*FastenersPriceList3[[#This Row],[Quantity (kg)]]</f>
        <v>6500</v>
      </c>
      <c r="M90" s="4">
        <f>FastenersPriceList3[[#This Row],[SINGLE PC. WT.]]*FastenersPriceList3[[#This Row],[Rate / PER kg (₹)]]</f>
        <v>13.1326</v>
      </c>
    </row>
    <row r="91" spans="1:13" ht="22.05" customHeight="1" x14ac:dyDescent="0.3">
      <c r="A91" s="2" t="s">
        <v>1414</v>
      </c>
      <c r="B91" s="12" t="s">
        <v>8</v>
      </c>
      <c r="C91" s="12">
        <v>8.8000000000000007</v>
      </c>
      <c r="D91" s="2">
        <v>110</v>
      </c>
      <c r="E91" s="2">
        <f>FastenersPriceList3[[#This Row],[1000 PCS/WT.]]/1000</f>
        <v>0.11</v>
      </c>
      <c r="F91" s="2" t="s">
        <v>96</v>
      </c>
      <c r="G91" s="6" t="s">
        <v>1329</v>
      </c>
      <c r="H91" s="70">
        <v>50</v>
      </c>
      <c r="I91" s="72">
        <f>FastenersPriceList3[[#This Row],[Quantity (kg)]]/FastenersPriceList3[[#This Row],[SINGLE PC. WT.]]</f>
        <v>454.54545454545456</v>
      </c>
      <c r="J91" s="3">
        <v>133</v>
      </c>
      <c r="K91" s="3">
        <f>FastenersPriceList3[[#This Row],[1000 PCS/WT.]]*FastenersPriceList3[[#This Row],[Rate / PER kg (₹)]]</f>
        <v>14630</v>
      </c>
      <c r="L91" s="4">
        <f>FastenersPriceList3[[#This Row],[Rate / PER kg (₹)]]*FastenersPriceList3[[#This Row],[Quantity (kg)]]</f>
        <v>6650</v>
      </c>
      <c r="M91" s="4">
        <f>FastenersPriceList3[[#This Row],[SINGLE PC. WT.]]*FastenersPriceList3[[#This Row],[Rate / PER kg (₹)]]</f>
        <v>14.63</v>
      </c>
    </row>
    <row r="92" spans="1:13" ht="22.05" customHeight="1" x14ac:dyDescent="0.3">
      <c r="A92" s="2" t="s">
        <v>1415</v>
      </c>
      <c r="B92" s="12" t="s">
        <v>8</v>
      </c>
      <c r="C92" s="12">
        <v>8.8000000000000007</v>
      </c>
      <c r="D92" s="2">
        <v>119</v>
      </c>
      <c r="E92" s="2">
        <f>FastenersPriceList3[[#This Row],[1000 PCS/WT.]]/1000</f>
        <v>0.11899999999999999</v>
      </c>
      <c r="F92" s="2" t="s">
        <v>97</v>
      </c>
      <c r="G92" s="6" t="s">
        <v>1329</v>
      </c>
      <c r="H92" s="70">
        <v>50</v>
      </c>
      <c r="I92" s="72">
        <f>FastenersPriceList3[[#This Row],[Quantity (kg)]]/FastenersPriceList3[[#This Row],[SINGLE PC. WT.]]</f>
        <v>420.1680672268908</v>
      </c>
      <c r="J92" s="3">
        <v>133</v>
      </c>
      <c r="K92" s="3">
        <f>FastenersPriceList3[[#This Row],[1000 PCS/WT.]]*FastenersPriceList3[[#This Row],[Rate / PER kg (₹)]]</f>
        <v>15827</v>
      </c>
      <c r="L92" s="4">
        <f>FastenersPriceList3[[#This Row],[Rate / PER kg (₹)]]*FastenersPriceList3[[#This Row],[Quantity (kg)]]</f>
        <v>6650</v>
      </c>
      <c r="M92" s="4">
        <f>FastenersPriceList3[[#This Row],[SINGLE PC. WT.]]*FastenersPriceList3[[#This Row],[Rate / PER kg (₹)]]</f>
        <v>15.827</v>
      </c>
    </row>
    <row r="93" spans="1:13" ht="22.05" customHeight="1" x14ac:dyDescent="0.3">
      <c r="A93" s="2" t="s">
        <v>1416</v>
      </c>
      <c r="B93" s="12" t="s">
        <v>8</v>
      </c>
      <c r="C93" s="12">
        <v>8.8000000000000007</v>
      </c>
      <c r="D93" s="2">
        <v>127.8</v>
      </c>
      <c r="E93" s="2">
        <f>FastenersPriceList3[[#This Row],[1000 PCS/WT.]]/1000</f>
        <v>0.1278</v>
      </c>
      <c r="F93" s="2" t="s">
        <v>635</v>
      </c>
      <c r="G93" s="6" t="s">
        <v>1329</v>
      </c>
      <c r="H93" s="70">
        <v>50</v>
      </c>
      <c r="I93" s="72">
        <f>FastenersPriceList3[[#This Row],[Quantity (kg)]]/FastenersPriceList3[[#This Row],[SINGLE PC. WT.]]</f>
        <v>391.23630672926447</v>
      </c>
      <c r="J93" s="3">
        <v>133</v>
      </c>
      <c r="K93" s="3">
        <f>FastenersPriceList3[[#This Row],[1000 PCS/WT.]]*FastenersPriceList3[[#This Row],[Rate / PER kg (₹)]]</f>
        <v>16997.399999999998</v>
      </c>
      <c r="L93" s="4">
        <f>FastenersPriceList3[[#This Row],[Rate / PER kg (₹)]]*FastenersPriceList3[[#This Row],[Quantity (kg)]]</f>
        <v>6650</v>
      </c>
      <c r="M93" s="4">
        <f>FastenersPriceList3[[#This Row],[SINGLE PC. WT.]]*FastenersPriceList3[[#This Row],[Rate / PER kg (₹)]]</f>
        <v>16.997399999999999</v>
      </c>
    </row>
    <row r="94" spans="1:13" ht="22.05" customHeight="1" x14ac:dyDescent="0.3">
      <c r="A94" s="2" t="s">
        <v>1417</v>
      </c>
      <c r="B94" s="12" t="s">
        <v>8</v>
      </c>
      <c r="C94" s="12">
        <v>8.8000000000000007</v>
      </c>
      <c r="D94" s="2">
        <v>136.6</v>
      </c>
      <c r="E94" s="2">
        <f>FastenersPriceList3[[#This Row],[1000 PCS/WT.]]/1000</f>
        <v>0.1366</v>
      </c>
      <c r="F94" s="2" t="s">
        <v>98</v>
      </c>
      <c r="G94" s="6" t="s">
        <v>1329</v>
      </c>
      <c r="H94" s="70">
        <v>50</v>
      </c>
      <c r="I94" s="72">
        <f>FastenersPriceList3[[#This Row],[Quantity (kg)]]/FastenersPriceList3[[#This Row],[SINGLE PC. WT.]]</f>
        <v>366.03221083455344</v>
      </c>
      <c r="J94" s="3">
        <v>133</v>
      </c>
      <c r="K94" s="3">
        <f>FastenersPriceList3[[#This Row],[1000 PCS/WT.]]*FastenersPriceList3[[#This Row],[Rate / PER kg (₹)]]</f>
        <v>18167.8</v>
      </c>
      <c r="L94" s="4">
        <f>FastenersPriceList3[[#This Row],[Rate / PER kg (₹)]]*FastenersPriceList3[[#This Row],[Quantity (kg)]]</f>
        <v>6650</v>
      </c>
      <c r="M94" s="4">
        <f>FastenersPriceList3[[#This Row],[SINGLE PC. WT.]]*FastenersPriceList3[[#This Row],[Rate / PER kg (₹)]]</f>
        <v>18.1678</v>
      </c>
    </row>
    <row r="95" spans="1:13" ht="22.05" customHeight="1" x14ac:dyDescent="0.3">
      <c r="A95" s="2" t="s">
        <v>1418</v>
      </c>
      <c r="B95" s="12" t="s">
        <v>8</v>
      </c>
      <c r="C95" s="12">
        <v>8.8000000000000007</v>
      </c>
      <c r="D95" s="2">
        <v>145.4</v>
      </c>
      <c r="E95" s="2">
        <f>FastenersPriceList3[[#This Row],[1000 PCS/WT.]]/1000</f>
        <v>0.1454</v>
      </c>
      <c r="F95" s="2" t="s">
        <v>99</v>
      </c>
      <c r="G95" s="6" t="s">
        <v>1329</v>
      </c>
      <c r="H95" s="70">
        <v>50</v>
      </c>
      <c r="I95" s="72">
        <f>FastenersPriceList3[[#This Row],[Quantity (kg)]]/FastenersPriceList3[[#This Row],[SINGLE PC. WT.]]</f>
        <v>343.87895460797802</v>
      </c>
      <c r="J95" s="3">
        <v>133</v>
      </c>
      <c r="K95" s="3">
        <f>FastenersPriceList3[[#This Row],[1000 PCS/WT.]]*FastenersPriceList3[[#This Row],[Rate / PER kg (₹)]]</f>
        <v>19338.2</v>
      </c>
      <c r="L95" s="4">
        <f>FastenersPriceList3[[#This Row],[Rate / PER kg (₹)]]*FastenersPriceList3[[#This Row],[Quantity (kg)]]</f>
        <v>6650</v>
      </c>
      <c r="M95" s="4">
        <f>FastenersPriceList3[[#This Row],[SINGLE PC. WT.]]*FastenersPriceList3[[#This Row],[Rate / PER kg (₹)]]</f>
        <v>19.338200000000001</v>
      </c>
    </row>
    <row r="96" spans="1:13" ht="22.05" customHeight="1" x14ac:dyDescent="0.3">
      <c r="A96" s="2" t="s">
        <v>1419</v>
      </c>
      <c r="B96" s="12" t="s">
        <v>8</v>
      </c>
      <c r="C96" s="12">
        <v>8.8000000000000007</v>
      </c>
      <c r="D96" s="2">
        <v>154.19999999999999</v>
      </c>
      <c r="E96" s="2">
        <f>FastenersPriceList3[[#This Row],[1000 PCS/WT.]]/1000</f>
        <v>0.15419999999999998</v>
      </c>
      <c r="F96" s="2" t="s">
        <v>100</v>
      </c>
      <c r="G96" s="6" t="s">
        <v>1329</v>
      </c>
      <c r="H96" s="70">
        <v>50</v>
      </c>
      <c r="I96" s="72">
        <f>FastenersPriceList3[[#This Row],[Quantity (kg)]]/FastenersPriceList3[[#This Row],[SINGLE PC. WT.]]</f>
        <v>324.254215304799</v>
      </c>
      <c r="J96" s="3">
        <v>133</v>
      </c>
      <c r="K96" s="3">
        <f>FastenersPriceList3[[#This Row],[1000 PCS/WT.]]*FastenersPriceList3[[#This Row],[Rate / PER kg (₹)]]</f>
        <v>20508.599999999999</v>
      </c>
      <c r="L96" s="4">
        <f>FastenersPriceList3[[#This Row],[Rate / PER kg (₹)]]*FastenersPriceList3[[#This Row],[Quantity (kg)]]</f>
        <v>6650</v>
      </c>
      <c r="M96" s="4">
        <f>FastenersPriceList3[[#This Row],[SINGLE PC. WT.]]*FastenersPriceList3[[#This Row],[Rate / PER kg (₹)]]</f>
        <v>20.508599999999998</v>
      </c>
    </row>
    <row r="97" spans="1:13" ht="22.05" customHeight="1" x14ac:dyDescent="0.3">
      <c r="A97" s="2" t="s">
        <v>1420</v>
      </c>
      <c r="B97" s="12" t="s">
        <v>8</v>
      </c>
      <c r="C97" s="12">
        <v>8.8000000000000007</v>
      </c>
      <c r="D97" s="2">
        <v>163</v>
      </c>
      <c r="E97" s="2">
        <f>FastenersPriceList3[[#This Row],[1000 PCS/WT.]]/1000</f>
        <v>0.16300000000000001</v>
      </c>
      <c r="F97" s="2" t="s">
        <v>101</v>
      </c>
      <c r="G97" s="6" t="s">
        <v>1329</v>
      </c>
      <c r="H97" s="70">
        <v>50</v>
      </c>
      <c r="I97" s="72">
        <f>FastenersPriceList3[[#This Row],[Quantity (kg)]]/FastenersPriceList3[[#This Row],[SINGLE PC. WT.]]</f>
        <v>306.74846625766872</v>
      </c>
      <c r="J97" s="3">
        <v>133</v>
      </c>
      <c r="K97" s="3">
        <f>FastenersPriceList3[[#This Row],[1000 PCS/WT.]]*FastenersPriceList3[[#This Row],[Rate / PER kg (₹)]]</f>
        <v>21679</v>
      </c>
      <c r="L97" s="4">
        <f>FastenersPriceList3[[#This Row],[Rate / PER kg (₹)]]*FastenersPriceList3[[#This Row],[Quantity (kg)]]</f>
        <v>6650</v>
      </c>
      <c r="M97" s="4">
        <f>FastenersPriceList3[[#This Row],[SINGLE PC. WT.]]*FastenersPriceList3[[#This Row],[Rate / PER kg (₹)]]</f>
        <v>21.679000000000002</v>
      </c>
    </row>
    <row r="98" spans="1:13" ht="22.05" customHeight="1" x14ac:dyDescent="0.3">
      <c r="A98" s="2" t="s">
        <v>1421</v>
      </c>
      <c r="B98" s="12" t="s">
        <v>8</v>
      </c>
      <c r="C98" s="12">
        <v>8.8000000000000007</v>
      </c>
      <c r="D98" s="2">
        <v>172</v>
      </c>
      <c r="E98" s="2">
        <f>FastenersPriceList3[[#This Row],[1000 PCS/WT.]]/1000</f>
        <v>0.17199999999999999</v>
      </c>
      <c r="F98" s="2" t="s">
        <v>102</v>
      </c>
      <c r="G98" s="6" t="s">
        <v>1329</v>
      </c>
      <c r="H98" s="70">
        <v>50</v>
      </c>
      <c r="I98" s="72">
        <f>FastenersPriceList3[[#This Row],[Quantity (kg)]]/FastenersPriceList3[[#This Row],[SINGLE PC. WT.]]</f>
        <v>290.69767441860466</v>
      </c>
      <c r="J98" s="3">
        <v>133</v>
      </c>
      <c r="K98" s="3">
        <f>FastenersPriceList3[[#This Row],[1000 PCS/WT.]]*FastenersPriceList3[[#This Row],[Rate / PER kg (₹)]]</f>
        <v>22876</v>
      </c>
      <c r="L98" s="4">
        <f>FastenersPriceList3[[#This Row],[Rate / PER kg (₹)]]*FastenersPriceList3[[#This Row],[Quantity (kg)]]</f>
        <v>6650</v>
      </c>
      <c r="M98" s="4">
        <f>FastenersPriceList3[[#This Row],[SINGLE PC. WT.]]*FastenersPriceList3[[#This Row],[Rate / PER kg (₹)]]</f>
        <v>22.875999999999998</v>
      </c>
    </row>
    <row r="99" spans="1:13" ht="22.05" customHeight="1" x14ac:dyDescent="0.3">
      <c r="A99" s="2" t="s">
        <v>1422</v>
      </c>
      <c r="B99" s="12" t="s">
        <v>8</v>
      </c>
      <c r="C99" s="12">
        <v>8.8000000000000007</v>
      </c>
      <c r="D99" s="2">
        <v>181</v>
      </c>
      <c r="E99" s="2">
        <f>FastenersPriceList3[[#This Row],[1000 PCS/WT.]]/1000</f>
        <v>0.18099999999999999</v>
      </c>
      <c r="F99" s="2" t="s">
        <v>103</v>
      </c>
      <c r="G99" s="6" t="s">
        <v>1329</v>
      </c>
      <c r="H99" s="70">
        <v>50</v>
      </c>
      <c r="I99" s="72">
        <f>FastenersPriceList3[[#This Row],[Quantity (kg)]]/FastenersPriceList3[[#This Row],[SINGLE PC. WT.]]</f>
        <v>276.24309392265195</v>
      </c>
      <c r="J99" s="3">
        <v>133</v>
      </c>
      <c r="K99" s="3">
        <f>FastenersPriceList3[[#This Row],[1000 PCS/WT.]]*FastenersPriceList3[[#This Row],[Rate / PER kg (₹)]]</f>
        <v>24073</v>
      </c>
      <c r="L99" s="4">
        <f>FastenersPriceList3[[#This Row],[Rate / PER kg (₹)]]*FastenersPriceList3[[#This Row],[Quantity (kg)]]</f>
        <v>6650</v>
      </c>
      <c r="M99" s="4">
        <f>FastenersPriceList3[[#This Row],[SINGLE PC. WT.]]*FastenersPriceList3[[#This Row],[Rate / PER kg (₹)]]</f>
        <v>24.073</v>
      </c>
    </row>
    <row r="100" spans="1:13" ht="22.05" customHeight="1" x14ac:dyDescent="0.3">
      <c r="A100" s="2" t="s">
        <v>1423</v>
      </c>
      <c r="B100" s="12" t="s">
        <v>8</v>
      </c>
      <c r="C100" s="12">
        <v>8.8000000000000007</v>
      </c>
      <c r="D100" s="2">
        <v>190</v>
      </c>
      <c r="E100" s="2">
        <f>FastenersPriceList3[[#This Row],[1000 PCS/WT.]]/1000</f>
        <v>0.19</v>
      </c>
      <c r="F100" s="2" t="s">
        <v>104</v>
      </c>
      <c r="G100" s="6" t="s">
        <v>1329</v>
      </c>
      <c r="H100" s="70">
        <v>50</v>
      </c>
      <c r="I100" s="72">
        <f>FastenersPriceList3[[#This Row],[Quantity (kg)]]/FastenersPriceList3[[#This Row],[SINGLE PC. WT.]]</f>
        <v>263.15789473684208</v>
      </c>
      <c r="J100" s="3">
        <v>133</v>
      </c>
      <c r="K100" s="3">
        <f>FastenersPriceList3[[#This Row],[1000 PCS/WT.]]*FastenersPriceList3[[#This Row],[Rate / PER kg (₹)]]</f>
        <v>25270</v>
      </c>
      <c r="L100" s="4">
        <f>FastenersPriceList3[[#This Row],[Rate / PER kg (₹)]]*FastenersPriceList3[[#This Row],[Quantity (kg)]]</f>
        <v>6650</v>
      </c>
      <c r="M100" s="4">
        <f>FastenersPriceList3[[#This Row],[SINGLE PC. WT.]]*FastenersPriceList3[[#This Row],[Rate / PER kg (₹)]]</f>
        <v>25.27</v>
      </c>
    </row>
    <row r="101" spans="1:13" ht="22.05" customHeight="1" x14ac:dyDescent="0.3">
      <c r="A101" s="2" t="s">
        <v>1424</v>
      </c>
      <c r="B101" s="12" t="s">
        <v>8</v>
      </c>
      <c r="C101" s="12">
        <v>8.8000000000000007</v>
      </c>
      <c r="D101" s="2">
        <v>53.02</v>
      </c>
      <c r="E101" s="2">
        <f>FastenersPriceList3[[#This Row],[1000 PCS/WT.]]/1000</f>
        <v>5.3020000000000005E-2</v>
      </c>
      <c r="F101" s="2" t="s">
        <v>105</v>
      </c>
      <c r="G101" s="6" t="s">
        <v>1329</v>
      </c>
      <c r="H101" s="70">
        <v>50</v>
      </c>
      <c r="I101" s="72">
        <f>FastenersPriceList3[[#This Row],[Quantity (kg)]]/FastenersPriceList3[[#This Row],[SINGLE PC. WT.]]</f>
        <v>943.04036212749895</v>
      </c>
      <c r="J101" s="3">
        <v>133</v>
      </c>
      <c r="K101" s="3">
        <f>FastenersPriceList3[[#This Row],[1000 PCS/WT.]]*FastenersPriceList3[[#This Row],[Rate / PER kg (₹)]]</f>
        <v>7051.6600000000008</v>
      </c>
      <c r="L101" s="4">
        <f>FastenersPriceList3[[#This Row],[Rate / PER kg (₹)]]*FastenersPriceList3[[#This Row],[Quantity (kg)]]</f>
        <v>6650</v>
      </c>
      <c r="M101" s="4">
        <f>FastenersPriceList3[[#This Row],[SINGLE PC. WT.]]*FastenersPriceList3[[#This Row],[Rate / PER kg (₹)]]</f>
        <v>7.0516600000000009</v>
      </c>
    </row>
    <row r="102" spans="1:13" ht="22.05" customHeight="1" x14ac:dyDescent="0.3">
      <c r="A102" s="2" t="s">
        <v>1425</v>
      </c>
      <c r="B102" s="12" t="s">
        <v>8</v>
      </c>
      <c r="C102" s="12">
        <v>8.8000000000000007</v>
      </c>
      <c r="D102" s="2">
        <v>57.94</v>
      </c>
      <c r="E102" s="2">
        <f>FastenersPriceList3[[#This Row],[1000 PCS/WT.]]/1000</f>
        <v>5.7939999999999998E-2</v>
      </c>
      <c r="F102" s="2" t="s">
        <v>106</v>
      </c>
      <c r="G102" s="6" t="s">
        <v>1329</v>
      </c>
      <c r="H102" s="70">
        <v>50</v>
      </c>
      <c r="I102" s="72">
        <f>FastenersPriceList3[[#This Row],[Quantity (kg)]]/FastenersPriceList3[[#This Row],[SINGLE PC. WT.]]</f>
        <v>862.9616845012082</v>
      </c>
      <c r="J102" s="3">
        <v>133</v>
      </c>
      <c r="K102" s="3">
        <f>FastenersPriceList3[[#This Row],[1000 PCS/WT.]]*FastenersPriceList3[[#This Row],[Rate / PER kg (₹)]]</f>
        <v>7706.0199999999995</v>
      </c>
      <c r="L102" s="4">
        <f>FastenersPriceList3[[#This Row],[Rate / PER kg (₹)]]*FastenersPriceList3[[#This Row],[Quantity (kg)]]</f>
        <v>6650</v>
      </c>
      <c r="M102" s="4">
        <f>FastenersPriceList3[[#This Row],[SINGLE PC. WT.]]*FastenersPriceList3[[#This Row],[Rate / PER kg (₹)]]</f>
        <v>7.7060199999999996</v>
      </c>
    </row>
    <row r="103" spans="1:13" ht="22.05" customHeight="1" x14ac:dyDescent="0.3">
      <c r="A103" s="2" t="s">
        <v>1426</v>
      </c>
      <c r="B103" s="12" t="s">
        <v>8</v>
      </c>
      <c r="C103" s="12">
        <v>8.8000000000000007</v>
      </c>
      <c r="D103" s="2">
        <v>62.97</v>
      </c>
      <c r="E103" s="2">
        <f>FastenersPriceList3[[#This Row],[1000 PCS/WT.]]/1000</f>
        <v>6.2969999999999998E-2</v>
      </c>
      <c r="F103" s="2" t="s">
        <v>107</v>
      </c>
      <c r="G103" s="6" t="s">
        <v>1329</v>
      </c>
      <c r="H103" s="70">
        <v>50</v>
      </c>
      <c r="I103" s="72">
        <f>FastenersPriceList3[[#This Row],[Quantity (kg)]]/FastenersPriceList3[[#This Row],[SINGLE PC. WT.]]</f>
        <v>794.02890265205656</v>
      </c>
      <c r="J103" s="3">
        <v>133</v>
      </c>
      <c r="K103" s="3">
        <f>FastenersPriceList3[[#This Row],[1000 PCS/WT.]]*FastenersPriceList3[[#This Row],[Rate / PER kg (₹)]]</f>
        <v>8375.01</v>
      </c>
      <c r="L103" s="4">
        <f>FastenersPriceList3[[#This Row],[Rate / PER kg (₹)]]*FastenersPriceList3[[#This Row],[Quantity (kg)]]</f>
        <v>6650</v>
      </c>
      <c r="M103" s="4">
        <f>FastenersPriceList3[[#This Row],[SINGLE PC. WT.]]*FastenersPriceList3[[#This Row],[Rate / PER kg (₹)]]</f>
        <v>8.3750099999999996</v>
      </c>
    </row>
    <row r="104" spans="1:13" ht="22.05" customHeight="1" x14ac:dyDescent="0.3">
      <c r="A104" s="2" t="s">
        <v>1427</v>
      </c>
      <c r="B104" s="12" t="s">
        <v>8</v>
      </c>
      <c r="C104" s="12">
        <v>8.8000000000000007</v>
      </c>
      <c r="D104" s="2">
        <v>67.930000000000007</v>
      </c>
      <c r="E104" s="2">
        <f>FastenersPriceList3[[#This Row],[1000 PCS/WT.]]/1000</f>
        <v>6.7930000000000004E-2</v>
      </c>
      <c r="F104" s="2" t="s">
        <v>108</v>
      </c>
      <c r="G104" s="6" t="s">
        <v>1329</v>
      </c>
      <c r="H104" s="70">
        <v>50</v>
      </c>
      <c r="I104" s="72">
        <f>FastenersPriceList3[[#This Row],[Quantity (kg)]]/FastenersPriceList3[[#This Row],[SINGLE PC. WT.]]</f>
        <v>736.05181804799054</v>
      </c>
      <c r="J104" s="3">
        <v>133</v>
      </c>
      <c r="K104" s="3">
        <f>FastenersPriceList3[[#This Row],[1000 PCS/WT.]]*FastenersPriceList3[[#This Row],[Rate / PER kg (₹)]]</f>
        <v>9034.69</v>
      </c>
      <c r="L104" s="4">
        <f>FastenersPriceList3[[#This Row],[Rate / PER kg (₹)]]*FastenersPriceList3[[#This Row],[Quantity (kg)]]</f>
        <v>6650</v>
      </c>
      <c r="M104" s="4">
        <f>FastenersPriceList3[[#This Row],[SINGLE PC. WT.]]*FastenersPriceList3[[#This Row],[Rate / PER kg (₹)]]</f>
        <v>9.0346900000000012</v>
      </c>
    </row>
    <row r="105" spans="1:13" ht="22.05" customHeight="1" x14ac:dyDescent="0.3">
      <c r="A105" s="2" t="s">
        <v>1428</v>
      </c>
      <c r="B105" s="12" t="s">
        <v>8</v>
      </c>
      <c r="C105" s="12">
        <v>8.8000000000000007</v>
      </c>
      <c r="D105" s="2">
        <v>72.97</v>
      </c>
      <c r="E105" s="2">
        <f>FastenersPriceList3[[#This Row],[1000 PCS/WT.]]/1000</f>
        <v>7.2969999999999993E-2</v>
      </c>
      <c r="F105" s="2" t="s">
        <v>109</v>
      </c>
      <c r="G105" s="6" t="s">
        <v>1329</v>
      </c>
      <c r="H105" s="70">
        <v>50</v>
      </c>
      <c r="I105" s="72">
        <f>FastenersPriceList3[[#This Row],[Quantity (kg)]]/FastenersPriceList3[[#This Row],[SINGLE PC. WT.]]</f>
        <v>685.21310127449647</v>
      </c>
      <c r="J105" s="3">
        <v>133</v>
      </c>
      <c r="K105" s="3">
        <f>FastenersPriceList3[[#This Row],[1000 PCS/WT.]]*FastenersPriceList3[[#This Row],[Rate / PER kg (₹)]]</f>
        <v>9705.01</v>
      </c>
      <c r="L105" s="4">
        <f>FastenersPriceList3[[#This Row],[Rate / PER kg (₹)]]*FastenersPriceList3[[#This Row],[Quantity (kg)]]</f>
        <v>6650</v>
      </c>
      <c r="M105" s="4">
        <f>FastenersPriceList3[[#This Row],[SINGLE PC. WT.]]*FastenersPriceList3[[#This Row],[Rate / PER kg (₹)]]</f>
        <v>9.7050099999999997</v>
      </c>
    </row>
    <row r="106" spans="1:13" ht="22.05" customHeight="1" x14ac:dyDescent="0.3">
      <c r="A106" s="2" t="s">
        <v>1429</v>
      </c>
      <c r="B106" s="12" t="s">
        <v>8</v>
      </c>
      <c r="C106" s="12">
        <v>8.8000000000000007</v>
      </c>
      <c r="D106" s="2">
        <v>78.010000000000005</v>
      </c>
      <c r="E106" s="2">
        <f>FastenersPriceList3[[#This Row],[1000 PCS/WT.]]/1000</f>
        <v>7.801000000000001E-2</v>
      </c>
      <c r="F106" s="2" t="s">
        <v>110</v>
      </c>
      <c r="G106" s="6" t="s">
        <v>1329</v>
      </c>
      <c r="H106" s="70">
        <v>50</v>
      </c>
      <c r="I106" s="72">
        <f>FastenersPriceList3[[#This Row],[Quantity (kg)]]/FastenersPriceList3[[#This Row],[SINGLE PC. WT.]]</f>
        <v>640.94346878605302</v>
      </c>
      <c r="J106" s="3">
        <v>133</v>
      </c>
      <c r="K106" s="3">
        <f>FastenersPriceList3[[#This Row],[1000 PCS/WT.]]*FastenersPriceList3[[#This Row],[Rate / PER kg (₹)]]</f>
        <v>10375.33</v>
      </c>
      <c r="L106" s="4">
        <f>FastenersPriceList3[[#This Row],[Rate / PER kg (₹)]]*FastenersPriceList3[[#This Row],[Quantity (kg)]]</f>
        <v>6650</v>
      </c>
      <c r="M106" s="4">
        <f>FastenersPriceList3[[#This Row],[SINGLE PC. WT.]]*FastenersPriceList3[[#This Row],[Rate / PER kg (₹)]]</f>
        <v>10.375330000000002</v>
      </c>
    </row>
    <row r="107" spans="1:13" ht="22.05" customHeight="1" x14ac:dyDescent="0.3">
      <c r="A107" s="2" t="s">
        <v>1430</v>
      </c>
      <c r="B107" s="12" t="s">
        <v>8</v>
      </c>
      <c r="C107" s="12">
        <v>8.8000000000000007</v>
      </c>
      <c r="D107" s="2">
        <v>83.05</v>
      </c>
      <c r="E107" s="2">
        <f>FastenersPriceList3[[#This Row],[1000 PCS/WT.]]/1000</f>
        <v>8.3049999999999999E-2</v>
      </c>
      <c r="F107" s="2" t="s">
        <v>111</v>
      </c>
      <c r="G107" s="6" t="s">
        <v>1329</v>
      </c>
      <c r="H107" s="70">
        <v>50</v>
      </c>
      <c r="I107" s="72">
        <f>FastenersPriceList3[[#This Row],[Quantity (kg)]]/FastenersPriceList3[[#This Row],[SINGLE PC. WT.]]</f>
        <v>602.04695966285374</v>
      </c>
      <c r="J107" s="3">
        <v>130</v>
      </c>
      <c r="K107" s="3">
        <f>FastenersPriceList3[[#This Row],[1000 PCS/WT.]]*FastenersPriceList3[[#This Row],[Rate / PER kg (₹)]]</f>
        <v>10796.5</v>
      </c>
      <c r="L107" s="4">
        <f>FastenersPriceList3[[#This Row],[Rate / PER kg (₹)]]*FastenersPriceList3[[#This Row],[Quantity (kg)]]</f>
        <v>6500</v>
      </c>
      <c r="M107" s="4">
        <f>FastenersPriceList3[[#This Row],[SINGLE PC. WT.]]*FastenersPriceList3[[#This Row],[Rate / PER kg (₹)]]</f>
        <v>10.7965</v>
      </c>
    </row>
    <row r="108" spans="1:13" ht="22.05" customHeight="1" x14ac:dyDescent="0.3">
      <c r="A108" s="2" t="s">
        <v>1431</v>
      </c>
      <c r="B108" s="12" t="s">
        <v>8</v>
      </c>
      <c r="C108" s="12">
        <v>8.8000000000000007</v>
      </c>
      <c r="D108" s="2">
        <v>88.09</v>
      </c>
      <c r="E108" s="2">
        <f>FastenersPriceList3[[#This Row],[1000 PCS/WT.]]/1000</f>
        <v>8.8090000000000002E-2</v>
      </c>
      <c r="F108" s="2" t="s">
        <v>112</v>
      </c>
      <c r="G108" s="6" t="s">
        <v>1329</v>
      </c>
      <c r="H108" s="70">
        <v>50</v>
      </c>
      <c r="I108" s="72">
        <f>FastenersPriceList3[[#This Row],[Quantity (kg)]]/FastenersPriceList3[[#This Row],[SINGLE PC. WT.]]</f>
        <v>567.60131683505506</v>
      </c>
      <c r="J108" s="3">
        <v>130</v>
      </c>
      <c r="K108" s="3">
        <f>FastenersPriceList3[[#This Row],[1000 PCS/WT.]]*FastenersPriceList3[[#This Row],[Rate / PER kg (₹)]]</f>
        <v>11451.7</v>
      </c>
      <c r="L108" s="4">
        <f>FastenersPriceList3[[#This Row],[Rate / PER kg (₹)]]*FastenersPriceList3[[#This Row],[Quantity (kg)]]</f>
        <v>6500</v>
      </c>
      <c r="M108" s="4">
        <f>FastenersPriceList3[[#This Row],[SINGLE PC. WT.]]*FastenersPriceList3[[#This Row],[Rate / PER kg (₹)]]</f>
        <v>11.451700000000001</v>
      </c>
    </row>
    <row r="109" spans="1:13" ht="22.05" customHeight="1" x14ac:dyDescent="0.3">
      <c r="A109" s="2" t="s">
        <v>1432</v>
      </c>
      <c r="B109" s="12" t="s">
        <v>8</v>
      </c>
      <c r="C109" s="12">
        <v>8.8000000000000007</v>
      </c>
      <c r="D109" s="2">
        <v>93.13</v>
      </c>
      <c r="E109" s="2">
        <f>FastenersPriceList3[[#This Row],[1000 PCS/WT.]]/1000</f>
        <v>9.3129999999999991E-2</v>
      </c>
      <c r="F109" s="2" t="s">
        <v>113</v>
      </c>
      <c r="G109" s="6" t="s">
        <v>1329</v>
      </c>
      <c r="H109" s="70">
        <v>50</v>
      </c>
      <c r="I109" s="72">
        <f>FastenersPriceList3[[#This Row],[Quantity (kg)]]/FastenersPriceList3[[#This Row],[SINGLE PC. WT.]]</f>
        <v>536.88392569526479</v>
      </c>
      <c r="J109" s="3">
        <v>130</v>
      </c>
      <c r="K109" s="3">
        <f>FastenersPriceList3[[#This Row],[1000 PCS/WT.]]*FastenersPriceList3[[#This Row],[Rate / PER kg (₹)]]</f>
        <v>12106.9</v>
      </c>
      <c r="L109" s="4">
        <f>FastenersPriceList3[[#This Row],[Rate / PER kg (₹)]]*FastenersPriceList3[[#This Row],[Quantity (kg)]]</f>
        <v>6500</v>
      </c>
      <c r="M109" s="4">
        <f>FastenersPriceList3[[#This Row],[SINGLE PC. WT.]]*FastenersPriceList3[[#This Row],[Rate / PER kg (₹)]]</f>
        <v>12.1069</v>
      </c>
    </row>
    <row r="110" spans="1:13" ht="22.05" customHeight="1" x14ac:dyDescent="0.3">
      <c r="A110" s="2" t="s">
        <v>1433</v>
      </c>
      <c r="B110" s="12" t="s">
        <v>8</v>
      </c>
      <c r="C110" s="12">
        <v>8.8000000000000007</v>
      </c>
      <c r="D110" s="2">
        <v>98.17</v>
      </c>
      <c r="E110" s="2">
        <f>FastenersPriceList3[[#This Row],[1000 PCS/WT.]]/1000</f>
        <v>9.8170000000000007E-2</v>
      </c>
      <c r="F110" s="2" t="s">
        <v>114</v>
      </c>
      <c r="G110" s="6" t="s">
        <v>1329</v>
      </c>
      <c r="H110" s="70">
        <v>50</v>
      </c>
      <c r="I110" s="72">
        <f>FastenersPriceList3[[#This Row],[Quantity (kg)]]/FastenersPriceList3[[#This Row],[SINGLE PC. WT.]]</f>
        <v>509.32056636446976</v>
      </c>
      <c r="J110" s="3">
        <v>130</v>
      </c>
      <c r="K110" s="3">
        <f>FastenersPriceList3[[#This Row],[1000 PCS/WT.]]*FastenersPriceList3[[#This Row],[Rate / PER kg (₹)]]</f>
        <v>12762.1</v>
      </c>
      <c r="L110" s="4">
        <f>FastenersPriceList3[[#This Row],[Rate / PER kg (₹)]]*FastenersPriceList3[[#This Row],[Quantity (kg)]]</f>
        <v>6500</v>
      </c>
      <c r="M110" s="4">
        <f>FastenersPriceList3[[#This Row],[SINGLE PC. WT.]]*FastenersPriceList3[[#This Row],[Rate / PER kg (₹)]]</f>
        <v>12.7621</v>
      </c>
    </row>
    <row r="111" spans="1:13" ht="22.05" customHeight="1" x14ac:dyDescent="0.3">
      <c r="A111" s="2" t="s">
        <v>1434</v>
      </c>
      <c r="B111" s="12" t="s">
        <v>8</v>
      </c>
      <c r="C111" s="12">
        <v>8.8000000000000007</v>
      </c>
      <c r="D111" s="2">
        <v>103.21</v>
      </c>
      <c r="E111" s="2">
        <f>FastenersPriceList3[[#This Row],[1000 PCS/WT.]]/1000</f>
        <v>0.10321</v>
      </c>
      <c r="F111" s="2" t="s">
        <v>115</v>
      </c>
      <c r="G111" s="6" t="s">
        <v>1329</v>
      </c>
      <c r="H111" s="70">
        <v>50</v>
      </c>
      <c r="I111" s="72">
        <f>FastenersPriceList3[[#This Row],[Quantity (kg)]]/FastenersPriceList3[[#This Row],[SINGLE PC. WT.]]</f>
        <v>484.44918128088364</v>
      </c>
      <c r="J111" s="3">
        <v>130</v>
      </c>
      <c r="K111" s="3">
        <f>FastenersPriceList3[[#This Row],[1000 PCS/WT.]]*FastenersPriceList3[[#This Row],[Rate / PER kg (₹)]]</f>
        <v>13417.3</v>
      </c>
      <c r="L111" s="4">
        <f>FastenersPriceList3[[#This Row],[Rate / PER kg (₹)]]*FastenersPriceList3[[#This Row],[Quantity (kg)]]</f>
        <v>6500</v>
      </c>
      <c r="M111" s="4">
        <f>FastenersPriceList3[[#This Row],[SINGLE PC. WT.]]*FastenersPriceList3[[#This Row],[Rate / PER kg (₹)]]</f>
        <v>13.417299999999999</v>
      </c>
    </row>
    <row r="112" spans="1:13" ht="22.05" customHeight="1" x14ac:dyDescent="0.3">
      <c r="A112" s="2" t="s">
        <v>1435</v>
      </c>
      <c r="B112" s="12" t="s">
        <v>8</v>
      </c>
      <c r="C112" s="12">
        <v>8.8000000000000007</v>
      </c>
      <c r="D112" s="2">
        <v>108.25</v>
      </c>
      <c r="E112" s="2">
        <f>FastenersPriceList3[[#This Row],[1000 PCS/WT.]]/1000</f>
        <v>0.10825</v>
      </c>
      <c r="F112" s="2" t="s">
        <v>116</v>
      </c>
      <c r="G112" s="6" t="s">
        <v>1329</v>
      </c>
      <c r="H112" s="70">
        <v>50</v>
      </c>
      <c r="I112" s="72">
        <f>FastenersPriceList3[[#This Row],[Quantity (kg)]]/FastenersPriceList3[[#This Row],[SINGLE PC. WT.]]</f>
        <v>461.89376443418013</v>
      </c>
      <c r="J112" s="3">
        <v>130</v>
      </c>
      <c r="K112" s="3">
        <f>FastenersPriceList3[[#This Row],[1000 PCS/WT.]]*FastenersPriceList3[[#This Row],[Rate / PER kg (₹)]]</f>
        <v>14072.5</v>
      </c>
      <c r="L112" s="4">
        <f>FastenersPriceList3[[#This Row],[Rate / PER kg (₹)]]*FastenersPriceList3[[#This Row],[Quantity (kg)]]</f>
        <v>6500</v>
      </c>
      <c r="M112" s="4">
        <f>FastenersPriceList3[[#This Row],[SINGLE PC. WT.]]*FastenersPriceList3[[#This Row],[Rate / PER kg (₹)]]</f>
        <v>14.0725</v>
      </c>
    </row>
    <row r="113" spans="1:13" ht="22.05" customHeight="1" x14ac:dyDescent="0.3">
      <c r="A113" s="2" t="s">
        <v>1436</v>
      </c>
      <c r="B113" s="12" t="s">
        <v>8</v>
      </c>
      <c r="C113" s="12">
        <v>8.8000000000000007</v>
      </c>
      <c r="D113" s="2">
        <v>113.29</v>
      </c>
      <c r="E113" s="2">
        <f>FastenersPriceList3[[#This Row],[1000 PCS/WT.]]/1000</f>
        <v>0.11329</v>
      </c>
      <c r="F113" s="2" t="s">
        <v>117</v>
      </c>
      <c r="G113" s="6" t="s">
        <v>1329</v>
      </c>
      <c r="H113" s="70">
        <v>50</v>
      </c>
      <c r="I113" s="72">
        <f>FastenersPriceList3[[#This Row],[Quantity (kg)]]/FastenersPriceList3[[#This Row],[SINGLE PC. WT.]]</f>
        <v>441.34522023126488</v>
      </c>
      <c r="J113" s="3">
        <v>125</v>
      </c>
      <c r="K113" s="3">
        <f>FastenersPriceList3[[#This Row],[1000 PCS/WT.]]*FastenersPriceList3[[#This Row],[Rate / PER kg (₹)]]</f>
        <v>14161.25</v>
      </c>
      <c r="L113" s="4">
        <f>FastenersPriceList3[[#This Row],[Rate / PER kg (₹)]]*FastenersPriceList3[[#This Row],[Quantity (kg)]]</f>
        <v>6250</v>
      </c>
      <c r="M113" s="4">
        <f>FastenersPriceList3[[#This Row],[SINGLE PC. WT.]]*FastenersPriceList3[[#This Row],[Rate / PER kg (₹)]]</f>
        <v>14.161250000000001</v>
      </c>
    </row>
    <row r="114" spans="1:13" ht="22.05" customHeight="1" x14ac:dyDescent="0.3">
      <c r="A114" s="2" t="s">
        <v>1437</v>
      </c>
      <c r="B114" s="12" t="s">
        <v>8</v>
      </c>
      <c r="C114" s="12">
        <v>8.8000000000000007</v>
      </c>
      <c r="D114" s="2">
        <v>118.33</v>
      </c>
      <c r="E114" s="2">
        <f>FastenersPriceList3[[#This Row],[1000 PCS/WT.]]/1000</f>
        <v>0.11833</v>
      </c>
      <c r="F114" s="2" t="s">
        <v>118</v>
      </c>
      <c r="G114" s="6" t="s">
        <v>1329</v>
      </c>
      <c r="H114" s="70">
        <v>50</v>
      </c>
      <c r="I114" s="72">
        <f>FastenersPriceList3[[#This Row],[Quantity (kg)]]/FastenersPriceList3[[#This Row],[SINGLE PC. WT.]]</f>
        <v>422.54711400321133</v>
      </c>
      <c r="J114" s="3">
        <v>125</v>
      </c>
      <c r="K114" s="3">
        <f>FastenersPriceList3[[#This Row],[1000 PCS/WT.]]*FastenersPriceList3[[#This Row],[Rate / PER kg (₹)]]</f>
        <v>14791.25</v>
      </c>
      <c r="L114" s="4">
        <f>FastenersPriceList3[[#This Row],[Rate / PER kg (₹)]]*FastenersPriceList3[[#This Row],[Quantity (kg)]]</f>
        <v>6250</v>
      </c>
      <c r="M114" s="4">
        <f>FastenersPriceList3[[#This Row],[SINGLE PC. WT.]]*FastenersPriceList3[[#This Row],[Rate / PER kg (₹)]]</f>
        <v>14.79125</v>
      </c>
    </row>
    <row r="115" spans="1:13" ht="22.05" customHeight="1" x14ac:dyDescent="0.3">
      <c r="A115" s="2" t="s">
        <v>1438</v>
      </c>
      <c r="B115" s="12" t="s">
        <v>8</v>
      </c>
      <c r="C115" s="12">
        <v>8.8000000000000007</v>
      </c>
      <c r="D115" s="2">
        <v>123.37</v>
      </c>
      <c r="E115" s="2">
        <f>FastenersPriceList3[[#This Row],[1000 PCS/WT.]]/1000</f>
        <v>0.12337000000000001</v>
      </c>
      <c r="F115" s="2" t="s">
        <v>119</v>
      </c>
      <c r="G115" s="6" t="s">
        <v>1329</v>
      </c>
      <c r="H115" s="70">
        <v>50</v>
      </c>
      <c r="I115" s="72">
        <f>FastenersPriceList3[[#This Row],[Quantity (kg)]]/FastenersPriceList3[[#This Row],[SINGLE PC. WT.]]</f>
        <v>405.28491529545266</v>
      </c>
      <c r="J115" s="3">
        <v>125</v>
      </c>
      <c r="K115" s="3">
        <f>FastenersPriceList3[[#This Row],[1000 PCS/WT.]]*FastenersPriceList3[[#This Row],[Rate / PER kg (₹)]]</f>
        <v>15421.25</v>
      </c>
      <c r="L115" s="4">
        <f>FastenersPriceList3[[#This Row],[Rate / PER kg (₹)]]*FastenersPriceList3[[#This Row],[Quantity (kg)]]</f>
        <v>6250</v>
      </c>
      <c r="M115" s="4">
        <f>FastenersPriceList3[[#This Row],[SINGLE PC. WT.]]*FastenersPriceList3[[#This Row],[Rate / PER kg (₹)]]</f>
        <v>15.421250000000001</v>
      </c>
    </row>
    <row r="116" spans="1:13" ht="22.05" customHeight="1" x14ac:dyDescent="0.3">
      <c r="A116" s="2" t="s">
        <v>1439</v>
      </c>
      <c r="B116" s="12" t="s">
        <v>8</v>
      </c>
      <c r="C116" s="12">
        <v>8.8000000000000007</v>
      </c>
      <c r="D116" s="2">
        <v>128.41</v>
      </c>
      <c r="E116" s="2">
        <f>FastenersPriceList3[[#This Row],[1000 PCS/WT.]]/1000</f>
        <v>0.12841</v>
      </c>
      <c r="F116" s="2" t="s">
        <v>120</v>
      </c>
      <c r="G116" s="6" t="s">
        <v>1329</v>
      </c>
      <c r="H116" s="70">
        <v>50</v>
      </c>
      <c r="I116" s="72">
        <f>FastenersPriceList3[[#This Row],[Quantity (kg)]]/FastenersPriceList3[[#This Row],[SINGLE PC. WT.]]</f>
        <v>389.37777431664199</v>
      </c>
      <c r="J116" s="3">
        <v>125</v>
      </c>
      <c r="K116" s="3">
        <f>FastenersPriceList3[[#This Row],[1000 PCS/WT.]]*FastenersPriceList3[[#This Row],[Rate / PER kg (₹)]]</f>
        <v>16051.25</v>
      </c>
      <c r="L116" s="4">
        <f>FastenersPriceList3[[#This Row],[Rate / PER kg (₹)]]*FastenersPriceList3[[#This Row],[Quantity (kg)]]</f>
        <v>6250</v>
      </c>
      <c r="M116" s="4">
        <f>FastenersPriceList3[[#This Row],[SINGLE PC. WT.]]*FastenersPriceList3[[#This Row],[Rate / PER kg (₹)]]</f>
        <v>16.05125</v>
      </c>
    </row>
    <row r="117" spans="1:13" ht="22.05" customHeight="1" x14ac:dyDescent="0.3">
      <c r="A117" s="2" t="s">
        <v>1440</v>
      </c>
      <c r="B117" s="12" t="s">
        <v>8</v>
      </c>
      <c r="C117" s="12">
        <v>8.8000000000000007</v>
      </c>
      <c r="D117" s="2">
        <v>138.49</v>
      </c>
      <c r="E117" s="2">
        <f>FastenersPriceList3[[#This Row],[1000 PCS/WT.]]/1000</f>
        <v>0.13849</v>
      </c>
      <c r="F117" s="2" t="s">
        <v>121</v>
      </c>
      <c r="G117" s="6" t="s">
        <v>1329</v>
      </c>
      <c r="H117" s="70">
        <v>50</v>
      </c>
      <c r="I117" s="72">
        <f>FastenersPriceList3[[#This Row],[Quantity (kg)]]/FastenersPriceList3[[#This Row],[SINGLE PC. WT.]]</f>
        <v>361.03689797097263</v>
      </c>
      <c r="J117" s="3">
        <v>125</v>
      </c>
      <c r="K117" s="3">
        <f>FastenersPriceList3[[#This Row],[1000 PCS/WT.]]*FastenersPriceList3[[#This Row],[Rate / PER kg (₹)]]</f>
        <v>17311.25</v>
      </c>
      <c r="L117" s="4">
        <f>FastenersPriceList3[[#This Row],[Rate / PER kg (₹)]]*FastenersPriceList3[[#This Row],[Quantity (kg)]]</f>
        <v>6250</v>
      </c>
      <c r="M117" s="4">
        <f>FastenersPriceList3[[#This Row],[SINGLE PC. WT.]]*FastenersPriceList3[[#This Row],[Rate / PER kg (₹)]]</f>
        <v>17.311250000000001</v>
      </c>
    </row>
    <row r="118" spans="1:13" ht="22.05" customHeight="1" x14ac:dyDescent="0.3">
      <c r="A118" s="2" t="s">
        <v>1441</v>
      </c>
      <c r="B118" s="12" t="s">
        <v>8</v>
      </c>
      <c r="C118" s="12">
        <v>8.8000000000000007</v>
      </c>
      <c r="D118" s="2">
        <v>148.57</v>
      </c>
      <c r="E118" s="2">
        <f>FastenersPriceList3[[#This Row],[1000 PCS/WT.]]/1000</f>
        <v>0.14856999999999998</v>
      </c>
      <c r="F118" s="2" t="s">
        <v>122</v>
      </c>
      <c r="G118" s="6" t="s">
        <v>1329</v>
      </c>
      <c r="H118" s="70">
        <v>50</v>
      </c>
      <c r="I118" s="72">
        <f>FastenersPriceList3[[#This Row],[Quantity (kg)]]/FastenersPriceList3[[#This Row],[SINGLE PC. WT.]]</f>
        <v>336.5416975163223</v>
      </c>
      <c r="J118" s="3">
        <v>125</v>
      </c>
      <c r="K118" s="3">
        <f>FastenersPriceList3[[#This Row],[1000 PCS/WT.]]*FastenersPriceList3[[#This Row],[Rate / PER kg (₹)]]</f>
        <v>18571.25</v>
      </c>
      <c r="L118" s="4">
        <f>FastenersPriceList3[[#This Row],[Rate / PER kg (₹)]]*FastenersPriceList3[[#This Row],[Quantity (kg)]]</f>
        <v>6250</v>
      </c>
      <c r="M118" s="4">
        <f>FastenersPriceList3[[#This Row],[SINGLE PC. WT.]]*FastenersPriceList3[[#This Row],[Rate / PER kg (₹)]]</f>
        <v>18.571249999999999</v>
      </c>
    </row>
    <row r="119" spans="1:13" ht="22.05" customHeight="1" x14ac:dyDescent="0.3">
      <c r="A119" s="2" t="s">
        <v>1753</v>
      </c>
      <c r="B119" s="12" t="s">
        <v>8</v>
      </c>
      <c r="C119" s="12">
        <v>8.8000000000000007</v>
      </c>
      <c r="D119" s="2">
        <v>158.65</v>
      </c>
      <c r="E119" s="2">
        <f>FastenersPriceList3[[#This Row],[1000 PCS/WT.]]/1000</f>
        <v>0.15865000000000001</v>
      </c>
      <c r="F119" s="2" t="s">
        <v>1326</v>
      </c>
      <c r="G119" s="6" t="s">
        <v>1329</v>
      </c>
      <c r="H119" s="70">
        <v>50</v>
      </c>
      <c r="I119" s="72">
        <f>FastenersPriceList3[[#This Row],[Quantity (kg)]]/FastenersPriceList3[[#This Row],[SINGLE PC. WT.]]</f>
        <v>315.15915537346359</v>
      </c>
      <c r="J119" s="3">
        <v>125</v>
      </c>
      <c r="K119" s="3">
        <f>FastenersPriceList3[[#This Row],[1000 PCS/WT.]]*FastenersPriceList3[[#This Row],[Rate / PER kg (₹)]]</f>
        <v>19831.25</v>
      </c>
      <c r="L119" s="4">
        <f>FastenersPriceList3[[#This Row],[Rate / PER kg (₹)]]*FastenersPriceList3[[#This Row],[Quantity (kg)]]</f>
        <v>6250</v>
      </c>
      <c r="M119" s="4">
        <f>FastenersPriceList3[[#This Row],[SINGLE PC. WT.]]*FastenersPriceList3[[#This Row],[Rate / PER kg (₹)]]</f>
        <v>19.831250000000001</v>
      </c>
    </row>
    <row r="120" spans="1:13" ht="22.05" customHeight="1" x14ac:dyDescent="0.3">
      <c r="A120" s="2" t="s">
        <v>1442</v>
      </c>
      <c r="B120" s="12" t="s">
        <v>8</v>
      </c>
      <c r="C120" s="12">
        <v>8.8000000000000007</v>
      </c>
      <c r="D120" s="2">
        <v>168.73</v>
      </c>
      <c r="E120" s="2">
        <f>FastenersPriceList3[[#This Row],[1000 PCS/WT.]]/1000</f>
        <v>0.16872999999999999</v>
      </c>
      <c r="F120" s="2" t="s">
        <v>123</v>
      </c>
      <c r="G120" s="6" t="s">
        <v>1329</v>
      </c>
      <c r="H120" s="70">
        <v>50</v>
      </c>
      <c r="I120" s="72">
        <f>FastenersPriceList3[[#This Row],[Quantity (kg)]]/FastenersPriceList3[[#This Row],[SINGLE PC. WT.]]</f>
        <v>296.33141705683636</v>
      </c>
      <c r="J120" s="3">
        <v>125</v>
      </c>
      <c r="K120" s="3">
        <f>FastenersPriceList3[[#This Row],[1000 PCS/WT.]]*FastenersPriceList3[[#This Row],[Rate / PER kg (₹)]]</f>
        <v>21091.25</v>
      </c>
      <c r="L120" s="4">
        <f>FastenersPriceList3[[#This Row],[Rate / PER kg (₹)]]*FastenersPriceList3[[#This Row],[Quantity (kg)]]</f>
        <v>6250</v>
      </c>
      <c r="M120" s="4">
        <f>FastenersPriceList3[[#This Row],[SINGLE PC. WT.]]*FastenersPriceList3[[#This Row],[Rate / PER kg (₹)]]</f>
        <v>21.091249999999999</v>
      </c>
    </row>
    <row r="121" spans="1:13" ht="22.05" customHeight="1" x14ac:dyDescent="0.3">
      <c r="A121" s="2" t="s">
        <v>1443</v>
      </c>
      <c r="B121" s="12" t="s">
        <v>8</v>
      </c>
      <c r="C121" s="12">
        <v>8.8000000000000007</v>
      </c>
      <c r="D121" s="2">
        <v>178.81</v>
      </c>
      <c r="E121" s="2">
        <f>FastenersPriceList3[[#This Row],[1000 PCS/WT.]]/1000</f>
        <v>0.17881</v>
      </c>
      <c r="F121" s="2" t="s">
        <v>124</v>
      </c>
      <c r="G121" s="6" t="s">
        <v>1329</v>
      </c>
      <c r="H121" s="70">
        <v>50</v>
      </c>
      <c r="I121" s="72">
        <f>FastenersPriceList3[[#This Row],[Quantity (kg)]]/FastenersPriceList3[[#This Row],[SINGLE PC. WT.]]</f>
        <v>279.62641910407694</v>
      </c>
      <c r="J121" s="3">
        <v>125</v>
      </c>
      <c r="K121" s="3">
        <f>FastenersPriceList3[[#This Row],[1000 PCS/WT.]]*FastenersPriceList3[[#This Row],[Rate / PER kg (₹)]]</f>
        <v>22351.25</v>
      </c>
      <c r="L121" s="4">
        <f>FastenersPriceList3[[#This Row],[Rate / PER kg (₹)]]*FastenersPriceList3[[#This Row],[Quantity (kg)]]</f>
        <v>6250</v>
      </c>
      <c r="M121" s="4">
        <f>FastenersPriceList3[[#This Row],[SINGLE PC. WT.]]*FastenersPriceList3[[#This Row],[Rate / PER kg (₹)]]</f>
        <v>22.35125</v>
      </c>
    </row>
    <row r="122" spans="1:13" ht="22.05" customHeight="1" x14ac:dyDescent="0.3">
      <c r="A122" s="2" t="s">
        <v>1444</v>
      </c>
      <c r="B122" s="12" t="s">
        <v>8</v>
      </c>
      <c r="C122" s="12">
        <v>8.8000000000000007</v>
      </c>
      <c r="D122" s="2">
        <v>188.89</v>
      </c>
      <c r="E122" s="2">
        <f>FastenersPriceList3[[#This Row],[1000 PCS/WT.]]/1000</f>
        <v>0.18888999999999997</v>
      </c>
      <c r="F122" s="2" t="s">
        <v>125</v>
      </c>
      <c r="G122" s="6" t="s">
        <v>1329</v>
      </c>
      <c r="H122" s="70">
        <v>50</v>
      </c>
      <c r="I122" s="72">
        <f>FastenersPriceList3[[#This Row],[Quantity (kg)]]/FastenersPriceList3[[#This Row],[SINGLE PC. WT.]]</f>
        <v>264.70432526867495</v>
      </c>
      <c r="J122" s="3">
        <v>125</v>
      </c>
      <c r="K122" s="3">
        <f>FastenersPriceList3[[#This Row],[1000 PCS/WT.]]*FastenersPriceList3[[#This Row],[Rate / PER kg (₹)]]</f>
        <v>23611.25</v>
      </c>
      <c r="L122" s="4">
        <f>FastenersPriceList3[[#This Row],[Rate / PER kg (₹)]]*FastenersPriceList3[[#This Row],[Quantity (kg)]]</f>
        <v>6250</v>
      </c>
      <c r="M122" s="4">
        <f>FastenersPriceList3[[#This Row],[SINGLE PC. WT.]]*FastenersPriceList3[[#This Row],[Rate / PER kg (₹)]]</f>
        <v>23.611249999999998</v>
      </c>
    </row>
    <row r="123" spans="1:13" ht="22.05" customHeight="1" x14ac:dyDescent="0.3">
      <c r="A123" s="2" t="s">
        <v>1445</v>
      </c>
      <c r="B123" s="12" t="s">
        <v>8</v>
      </c>
      <c r="C123" s="12">
        <v>8.8000000000000007</v>
      </c>
      <c r="D123" s="2">
        <v>198.97</v>
      </c>
      <c r="E123" s="2">
        <f>FastenersPriceList3[[#This Row],[1000 PCS/WT.]]/1000</f>
        <v>0.19897000000000001</v>
      </c>
      <c r="F123" s="2" t="s">
        <v>126</v>
      </c>
      <c r="G123" s="6" t="s">
        <v>1329</v>
      </c>
      <c r="H123" s="70">
        <v>50</v>
      </c>
      <c r="I123" s="72">
        <f>FastenersPriceList3[[#This Row],[Quantity (kg)]]/FastenersPriceList3[[#This Row],[SINGLE PC. WT.]]</f>
        <v>251.29416494948987</v>
      </c>
      <c r="J123" s="3">
        <v>125</v>
      </c>
      <c r="K123" s="3">
        <f>FastenersPriceList3[[#This Row],[1000 PCS/WT.]]*FastenersPriceList3[[#This Row],[Rate / PER kg (₹)]]</f>
        <v>24871.25</v>
      </c>
      <c r="L123" s="4">
        <f>FastenersPriceList3[[#This Row],[Rate / PER kg (₹)]]*FastenersPriceList3[[#This Row],[Quantity (kg)]]</f>
        <v>6250</v>
      </c>
      <c r="M123" s="4">
        <f>FastenersPriceList3[[#This Row],[SINGLE PC. WT.]]*FastenersPriceList3[[#This Row],[Rate / PER kg (₹)]]</f>
        <v>24.87125</v>
      </c>
    </row>
    <row r="124" spans="1:13" ht="22.05" customHeight="1" x14ac:dyDescent="0.3">
      <c r="A124" s="2" t="s">
        <v>1446</v>
      </c>
      <c r="B124" s="12" t="s">
        <v>8</v>
      </c>
      <c r="C124" s="12">
        <v>8.8000000000000007</v>
      </c>
      <c r="D124" s="2">
        <v>209.05</v>
      </c>
      <c r="E124" s="2">
        <f>FastenersPriceList3[[#This Row],[1000 PCS/WT.]]/1000</f>
        <v>0.20905000000000001</v>
      </c>
      <c r="F124" s="2" t="s">
        <v>127</v>
      </c>
      <c r="G124" s="6" t="s">
        <v>1329</v>
      </c>
      <c r="H124" s="70">
        <v>50</v>
      </c>
      <c r="I124" s="72">
        <f>FastenersPriceList3[[#This Row],[Quantity (kg)]]/FastenersPriceList3[[#This Row],[SINGLE PC. WT.]]</f>
        <v>239.17723032767279</v>
      </c>
      <c r="J124" s="3">
        <v>125</v>
      </c>
      <c r="K124" s="3">
        <f>FastenersPriceList3[[#This Row],[1000 PCS/WT.]]*FastenersPriceList3[[#This Row],[Rate / PER kg (₹)]]</f>
        <v>26131.25</v>
      </c>
      <c r="L124" s="4">
        <f>FastenersPriceList3[[#This Row],[Rate / PER kg (₹)]]*FastenersPriceList3[[#This Row],[Quantity (kg)]]</f>
        <v>6250</v>
      </c>
      <c r="M124" s="4">
        <f>FastenersPriceList3[[#This Row],[SINGLE PC. WT.]]*FastenersPriceList3[[#This Row],[Rate / PER kg (₹)]]</f>
        <v>26.131250000000001</v>
      </c>
    </row>
    <row r="125" spans="1:13" ht="22.05" customHeight="1" x14ac:dyDescent="0.3">
      <c r="A125" s="2" t="s">
        <v>1447</v>
      </c>
      <c r="B125" s="12" t="s">
        <v>8</v>
      </c>
      <c r="C125" s="12">
        <v>8.8000000000000007</v>
      </c>
      <c r="D125" s="2">
        <v>219.13</v>
      </c>
      <c r="E125" s="2">
        <f>FastenersPriceList3[[#This Row],[1000 PCS/WT.]]/1000</f>
        <v>0.21912999999999999</v>
      </c>
      <c r="F125" s="2" t="s">
        <v>128</v>
      </c>
      <c r="G125" s="6" t="s">
        <v>1329</v>
      </c>
      <c r="H125" s="70">
        <v>50</v>
      </c>
      <c r="I125" s="72">
        <f>FastenersPriceList3[[#This Row],[Quantity (kg)]]/FastenersPriceList3[[#This Row],[SINGLE PC. WT.]]</f>
        <v>228.17505590288872</v>
      </c>
      <c r="J125" s="3">
        <v>125</v>
      </c>
      <c r="K125" s="3">
        <f>FastenersPriceList3[[#This Row],[1000 PCS/WT.]]*FastenersPriceList3[[#This Row],[Rate / PER kg (₹)]]</f>
        <v>27391.25</v>
      </c>
      <c r="L125" s="4">
        <f>FastenersPriceList3[[#This Row],[Rate / PER kg (₹)]]*FastenersPriceList3[[#This Row],[Quantity (kg)]]</f>
        <v>6250</v>
      </c>
      <c r="M125" s="4">
        <f>FastenersPriceList3[[#This Row],[SINGLE PC. WT.]]*FastenersPriceList3[[#This Row],[Rate / PER kg (₹)]]</f>
        <v>27.391249999999999</v>
      </c>
    </row>
    <row r="126" spans="1:13" ht="22.05" customHeight="1" x14ac:dyDescent="0.3">
      <c r="A126" s="2" t="s">
        <v>1448</v>
      </c>
      <c r="B126" s="12" t="s">
        <v>8</v>
      </c>
      <c r="C126" s="12">
        <v>8.8000000000000007</v>
      </c>
      <c r="D126" s="2">
        <v>229.21</v>
      </c>
      <c r="E126" s="2">
        <f>FastenersPriceList3[[#This Row],[1000 PCS/WT.]]/1000</f>
        <v>0.22921</v>
      </c>
      <c r="F126" s="2" t="s">
        <v>129</v>
      </c>
      <c r="G126" s="6" t="s">
        <v>1329</v>
      </c>
      <c r="H126" s="70">
        <v>50</v>
      </c>
      <c r="I126" s="72">
        <f>FastenersPriceList3[[#This Row],[Quantity (kg)]]/FastenersPriceList3[[#This Row],[SINGLE PC. WT.]]</f>
        <v>218.14056978316827</v>
      </c>
      <c r="J126" s="3">
        <v>125</v>
      </c>
      <c r="K126" s="3">
        <f>FastenersPriceList3[[#This Row],[1000 PCS/WT.]]*FastenersPriceList3[[#This Row],[Rate / PER kg (₹)]]</f>
        <v>28651.25</v>
      </c>
      <c r="L126" s="4">
        <f>FastenersPriceList3[[#This Row],[Rate / PER kg (₹)]]*FastenersPriceList3[[#This Row],[Quantity (kg)]]</f>
        <v>6250</v>
      </c>
      <c r="M126" s="4">
        <f>FastenersPriceList3[[#This Row],[SINGLE PC. WT.]]*FastenersPriceList3[[#This Row],[Rate / PER kg (₹)]]</f>
        <v>28.651250000000001</v>
      </c>
    </row>
    <row r="127" spans="1:13" ht="22.05" customHeight="1" x14ac:dyDescent="0.3">
      <c r="A127" s="2" t="s">
        <v>1449</v>
      </c>
      <c r="B127" s="12" t="s">
        <v>8</v>
      </c>
      <c r="C127" s="12">
        <v>8.8000000000000007</v>
      </c>
      <c r="D127" s="2">
        <v>72</v>
      </c>
      <c r="E127" s="2">
        <f>FastenersPriceList3[[#This Row],[1000 PCS/WT.]]/1000</f>
        <v>7.1999999999999995E-2</v>
      </c>
      <c r="F127" s="2" t="s">
        <v>130</v>
      </c>
      <c r="G127" s="6" t="s">
        <v>1329</v>
      </c>
      <c r="H127" s="70">
        <v>50</v>
      </c>
      <c r="I127" s="72">
        <f>FastenersPriceList3[[#This Row],[Quantity (kg)]]/FastenersPriceList3[[#This Row],[SINGLE PC. WT.]]</f>
        <v>694.44444444444446</v>
      </c>
      <c r="J127" s="3">
        <v>125</v>
      </c>
      <c r="K127" s="3">
        <f>FastenersPriceList3[[#This Row],[1000 PCS/WT.]]*FastenersPriceList3[[#This Row],[Rate / PER kg (₹)]]</f>
        <v>9000</v>
      </c>
      <c r="L127" s="4">
        <f>FastenersPriceList3[[#This Row],[Rate / PER kg (₹)]]*FastenersPriceList3[[#This Row],[Quantity (kg)]]</f>
        <v>6250</v>
      </c>
      <c r="M127" s="4">
        <f>FastenersPriceList3[[#This Row],[SINGLE PC. WT.]]*FastenersPriceList3[[#This Row],[Rate / PER kg (₹)]]</f>
        <v>9</v>
      </c>
    </row>
    <row r="128" spans="1:13" ht="22.05" customHeight="1" x14ac:dyDescent="0.3">
      <c r="A128" s="2" t="s">
        <v>1450</v>
      </c>
      <c r="B128" s="12" t="s">
        <v>8</v>
      </c>
      <c r="C128" s="12">
        <v>8.8000000000000007</v>
      </c>
      <c r="D128" s="2">
        <v>79</v>
      </c>
      <c r="E128" s="2">
        <f>FastenersPriceList3[[#This Row],[1000 PCS/WT.]]/1000</f>
        <v>7.9000000000000001E-2</v>
      </c>
      <c r="F128" s="2" t="s">
        <v>131</v>
      </c>
      <c r="G128" s="6" t="s">
        <v>1329</v>
      </c>
      <c r="H128" s="70">
        <v>50</v>
      </c>
      <c r="I128" s="72">
        <f>FastenersPriceList3[[#This Row],[Quantity (kg)]]/FastenersPriceList3[[#This Row],[SINGLE PC. WT.]]</f>
        <v>632.91139240506334</v>
      </c>
      <c r="J128" s="3">
        <v>125</v>
      </c>
      <c r="K128" s="3">
        <f>FastenersPriceList3[[#This Row],[1000 PCS/WT.]]*FastenersPriceList3[[#This Row],[Rate / PER kg (₹)]]</f>
        <v>9875</v>
      </c>
      <c r="L128" s="4">
        <f>FastenersPriceList3[[#This Row],[Rate / PER kg (₹)]]*FastenersPriceList3[[#This Row],[Quantity (kg)]]</f>
        <v>6250</v>
      </c>
      <c r="M128" s="4">
        <f>FastenersPriceList3[[#This Row],[SINGLE PC. WT.]]*FastenersPriceList3[[#This Row],[Rate / PER kg (₹)]]</f>
        <v>9.875</v>
      </c>
    </row>
    <row r="129" spans="1:13" ht="22.05" customHeight="1" x14ac:dyDescent="0.3">
      <c r="A129" s="2" t="s">
        <v>1451</v>
      </c>
      <c r="B129" s="12" t="s">
        <v>8</v>
      </c>
      <c r="C129" s="12">
        <v>8.8000000000000007</v>
      </c>
      <c r="D129" s="2">
        <v>86</v>
      </c>
      <c r="E129" s="2">
        <f>FastenersPriceList3[[#This Row],[1000 PCS/WT.]]/1000</f>
        <v>8.5999999999999993E-2</v>
      </c>
      <c r="F129" s="2" t="s">
        <v>132</v>
      </c>
      <c r="G129" s="6" t="s">
        <v>1329</v>
      </c>
      <c r="H129" s="70">
        <v>50</v>
      </c>
      <c r="I129" s="72">
        <f>FastenersPriceList3[[#This Row],[Quantity (kg)]]/FastenersPriceList3[[#This Row],[SINGLE PC. WT.]]</f>
        <v>581.39534883720933</v>
      </c>
      <c r="J129" s="3">
        <v>125</v>
      </c>
      <c r="K129" s="3">
        <f>FastenersPriceList3[[#This Row],[1000 PCS/WT.]]*FastenersPriceList3[[#This Row],[Rate / PER kg (₹)]]</f>
        <v>10750</v>
      </c>
      <c r="L129" s="4">
        <f>FastenersPriceList3[[#This Row],[Rate / PER kg (₹)]]*FastenersPriceList3[[#This Row],[Quantity (kg)]]</f>
        <v>6250</v>
      </c>
      <c r="M129" s="4">
        <f>FastenersPriceList3[[#This Row],[SINGLE PC. WT.]]*FastenersPriceList3[[#This Row],[Rate / PER kg (₹)]]</f>
        <v>10.75</v>
      </c>
    </row>
    <row r="130" spans="1:13" ht="22.05" customHeight="1" x14ac:dyDescent="0.3">
      <c r="A130" s="2" t="s">
        <v>1452</v>
      </c>
      <c r="B130" s="12" t="s">
        <v>8</v>
      </c>
      <c r="C130" s="12">
        <v>8.8000000000000007</v>
      </c>
      <c r="D130" s="2">
        <v>93</v>
      </c>
      <c r="E130" s="2">
        <f>FastenersPriceList3[[#This Row],[1000 PCS/WT.]]/1000</f>
        <v>9.2999999999999999E-2</v>
      </c>
      <c r="F130" s="2" t="s">
        <v>133</v>
      </c>
      <c r="G130" s="6" t="s">
        <v>1329</v>
      </c>
      <c r="H130" s="70">
        <v>50</v>
      </c>
      <c r="I130" s="72">
        <f>FastenersPriceList3[[#This Row],[Quantity (kg)]]/FastenersPriceList3[[#This Row],[SINGLE PC. WT.]]</f>
        <v>537.63440860215053</v>
      </c>
      <c r="J130" s="3">
        <v>125</v>
      </c>
      <c r="K130" s="3">
        <f>FastenersPriceList3[[#This Row],[1000 PCS/WT.]]*FastenersPriceList3[[#This Row],[Rate / PER kg (₹)]]</f>
        <v>11625</v>
      </c>
      <c r="L130" s="4">
        <f>FastenersPriceList3[[#This Row],[Rate / PER kg (₹)]]*FastenersPriceList3[[#This Row],[Quantity (kg)]]</f>
        <v>6250</v>
      </c>
      <c r="M130" s="4">
        <f>FastenersPriceList3[[#This Row],[SINGLE PC. WT.]]*FastenersPriceList3[[#This Row],[Rate / PER kg (₹)]]</f>
        <v>11.625</v>
      </c>
    </row>
    <row r="131" spans="1:13" ht="22.05" customHeight="1" x14ac:dyDescent="0.3">
      <c r="A131" s="2" t="s">
        <v>1453</v>
      </c>
      <c r="B131" s="12" t="s">
        <v>8</v>
      </c>
      <c r="C131" s="12">
        <v>8.8000000000000007</v>
      </c>
      <c r="D131" s="2">
        <v>100</v>
      </c>
      <c r="E131" s="2">
        <f>FastenersPriceList3[[#This Row],[1000 PCS/WT.]]/1000</f>
        <v>0.1</v>
      </c>
      <c r="F131" s="2" t="s">
        <v>134</v>
      </c>
      <c r="G131" s="6" t="s">
        <v>1329</v>
      </c>
      <c r="H131" s="70">
        <v>50</v>
      </c>
      <c r="I131" s="72">
        <f>FastenersPriceList3[[#This Row],[Quantity (kg)]]/FastenersPriceList3[[#This Row],[SINGLE PC. WT.]]</f>
        <v>500</v>
      </c>
      <c r="J131" s="3">
        <v>125</v>
      </c>
      <c r="K131" s="3">
        <f>FastenersPriceList3[[#This Row],[1000 PCS/WT.]]*FastenersPriceList3[[#This Row],[Rate / PER kg (₹)]]</f>
        <v>12500</v>
      </c>
      <c r="L131" s="4">
        <f>FastenersPriceList3[[#This Row],[Rate / PER kg (₹)]]*FastenersPriceList3[[#This Row],[Quantity (kg)]]</f>
        <v>6250</v>
      </c>
      <c r="M131" s="4">
        <f>FastenersPriceList3[[#This Row],[SINGLE PC. WT.]]*FastenersPriceList3[[#This Row],[Rate / PER kg (₹)]]</f>
        <v>12.5</v>
      </c>
    </row>
    <row r="132" spans="1:13" ht="22.05" customHeight="1" x14ac:dyDescent="0.3">
      <c r="A132" s="2" t="s">
        <v>1454</v>
      </c>
      <c r="B132" s="12" t="s">
        <v>8</v>
      </c>
      <c r="C132" s="12">
        <v>8.8000000000000007</v>
      </c>
      <c r="D132" s="2">
        <v>107</v>
      </c>
      <c r="E132" s="2">
        <f>FastenersPriceList3[[#This Row],[1000 PCS/WT.]]/1000</f>
        <v>0.107</v>
      </c>
      <c r="F132" s="2" t="s">
        <v>135</v>
      </c>
      <c r="G132" s="6" t="s">
        <v>1329</v>
      </c>
      <c r="H132" s="70">
        <v>50</v>
      </c>
      <c r="I132" s="72">
        <f>FastenersPriceList3[[#This Row],[Quantity (kg)]]/FastenersPriceList3[[#This Row],[SINGLE PC. WT.]]</f>
        <v>467.28971962616822</v>
      </c>
      <c r="J132" s="3">
        <v>125</v>
      </c>
      <c r="K132" s="3">
        <f>FastenersPriceList3[[#This Row],[1000 PCS/WT.]]*FastenersPriceList3[[#This Row],[Rate / PER kg (₹)]]</f>
        <v>13375</v>
      </c>
      <c r="L132" s="4">
        <f>FastenersPriceList3[[#This Row],[Rate / PER kg (₹)]]*FastenersPriceList3[[#This Row],[Quantity (kg)]]</f>
        <v>6250</v>
      </c>
      <c r="M132" s="4">
        <f>FastenersPriceList3[[#This Row],[SINGLE PC. WT.]]*FastenersPriceList3[[#This Row],[Rate / PER kg (₹)]]</f>
        <v>13.375</v>
      </c>
    </row>
    <row r="133" spans="1:13" ht="22.05" customHeight="1" x14ac:dyDescent="0.3">
      <c r="A133" s="2" t="s">
        <v>1455</v>
      </c>
      <c r="B133" s="12" t="s">
        <v>8</v>
      </c>
      <c r="C133" s="12">
        <v>8.8000000000000007</v>
      </c>
      <c r="D133" s="2">
        <v>114</v>
      </c>
      <c r="E133" s="2">
        <f>FastenersPriceList3[[#This Row],[1000 PCS/WT.]]/1000</f>
        <v>0.114</v>
      </c>
      <c r="F133" s="2" t="s">
        <v>136</v>
      </c>
      <c r="G133" s="6" t="s">
        <v>1329</v>
      </c>
      <c r="H133" s="70">
        <v>50</v>
      </c>
      <c r="I133" s="72">
        <f>FastenersPriceList3[[#This Row],[Quantity (kg)]]/FastenersPriceList3[[#This Row],[SINGLE PC. WT.]]</f>
        <v>438.59649122807014</v>
      </c>
      <c r="J133" s="3">
        <v>123</v>
      </c>
      <c r="K133" s="3">
        <f>FastenersPriceList3[[#This Row],[1000 PCS/WT.]]*FastenersPriceList3[[#This Row],[Rate / PER kg (₹)]]</f>
        <v>14022</v>
      </c>
      <c r="L133" s="4">
        <f>FastenersPriceList3[[#This Row],[Rate / PER kg (₹)]]*FastenersPriceList3[[#This Row],[Quantity (kg)]]</f>
        <v>6150</v>
      </c>
      <c r="M133" s="4">
        <f>FastenersPriceList3[[#This Row],[SINGLE PC. WT.]]*FastenersPriceList3[[#This Row],[Rate / PER kg (₹)]]</f>
        <v>14.022</v>
      </c>
    </row>
    <row r="134" spans="1:13" ht="22.05" customHeight="1" x14ac:dyDescent="0.3">
      <c r="A134" s="2" t="s">
        <v>1456</v>
      </c>
      <c r="B134" s="12" t="s">
        <v>8</v>
      </c>
      <c r="C134" s="12">
        <v>8.8000000000000007</v>
      </c>
      <c r="D134" s="2">
        <v>121</v>
      </c>
      <c r="E134" s="2">
        <f>FastenersPriceList3[[#This Row],[1000 PCS/WT.]]/1000</f>
        <v>0.121</v>
      </c>
      <c r="F134" s="2" t="s">
        <v>137</v>
      </c>
      <c r="G134" s="6" t="s">
        <v>1329</v>
      </c>
      <c r="H134" s="70">
        <v>50</v>
      </c>
      <c r="I134" s="72">
        <f>FastenersPriceList3[[#This Row],[Quantity (kg)]]/FastenersPriceList3[[#This Row],[SINGLE PC. WT.]]</f>
        <v>413.22314049586777</v>
      </c>
      <c r="J134" s="3">
        <v>123</v>
      </c>
      <c r="K134" s="3">
        <f>FastenersPriceList3[[#This Row],[1000 PCS/WT.]]*FastenersPriceList3[[#This Row],[Rate / PER kg (₹)]]</f>
        <v>14883</v>
      </c>
      <c r="L134" s="4">
        <f>FastenersPriceList3[[#This Row],[Rate / PER kg (₹)]]*FastenersPriceList3[[#This Row],[Quantity (kg)]]</f>
        <v>6150</v>
      </c>
      <c r="M134" s="4">
        <f>FastenersPriceList3[[#This Row],[SINGLE PC. WT.]]*FastenersPriceList3[[#This Row],[Rate / PER kg (₹)]]</f>
        <v>14.882999999999999</v>
      </c>
    </row>
    <row r="135" spans="1:13" ht="22.05" customHeight="1" x14ac:dyDescent="0.3">
      <c r="A135" s="2" t="s">
        <v>1457</v>
      </c>
      <c r="B135" s="12" t="s">
        <v>8</v>
      </c>
      <c r="C135" s="12">
        <v>8.8000000000000007</v>
      </c>
      <c r="D135" s="2">
        <v>136</v>
      </c>
      <c r="E135" s="2">
        <f>FastenersPriceList3[[#This Row],[1000 PCS/WT.]]/1000</f>
        <v>0.13600000000000001</v>
      </c>
      <c r="F135" s="2" t="s">
        <v>138</v>
      </c>
      <c r="G135" s="6" t="s">
        <v>1329</v>
      </c>
      <c r="H135" s="70">
        <v>50</v>
      </c>
      <c r="I135" s="72">
        <f>FastenersPriceList3[[#This Row],[Quantity (kg)]]/FastenersPriceList3[[#This Row],[SINGLE PC. WT.]]</f>
        <v>367.64705882352939</v>
      </c>
      <c r="J135" s="3">
        <v>123</v>
      </c>
      <c r="K135" s="3">
        <f>FastenersPriceList3[[#This Row],[1000 PCS/WT.]]*FastenersPriceList3[[#This Row],[Rate / PER kg (₹)]]</f>
        <v>16728</v>
      </c>
      <c r="L135" s="4">
        <f>FastenersPriceList3[[#This Row],[Rate / PER kg (₹)]]*FastenersPriceList3[[#This Row],[Quantity (kg)]]</f>
        <v>6150</v>
      </c>
      <c r="M135" s="4">
        <f>FastenersPriceList3[[#This Row],[SINGLE PC. WT.]]*FastenersPriceList3[[#This Row],[Rate / PER kg (₹)]]</f>
        <v>16.728000000000002</v>
      </c>
    </row>
    <row r="136" spans="1:13" ht="22.05" customHeight="1" x14ac:dyDescent="0.3">
      <c r="A136" s="2" t="s">
        <v>1458</v>
      </c>
      <c r="B136" s="12" t="s">
        <v>8</v>
      </c>
      <c r="C136" s="12">
        <v>8.8000000000000007</v>
      </c>
      <c r="D136" s="2">
        <v>144</v>
      </c>
      <c r="E136" s="2">
        <f>FastenersPriceList3[[#This Row],[1000 PCS/WT.]]/1000</f>
        <v>0.14399999999999999</v>
      </c>
      <c r="F136" s="2" t="s">
        <v>139</v>
      </c>
      <c r="G136" s="6" t="s">
        <v>1329</v>
      </c>
      <c r="H136" s="70">
        <v>50</v>
      </c>
      <c r="I136" s="72">
        <f>FastenersPriceList3[[#This Row],[Quantity (kg)]]/FastenersPriceList3[[#This Row],[SINGLE PC. WT.]]</f>
        <v>347.22222222222223</v>
      </c>
      <c r="J136" s="3">
        <v>123</v>
      </c>
      <c r="K136" s="3">
        <f>FastenersPriceList3[[#This Row],[1000 PCS/WT.]]*FastenersPriceList3[[#This Row],[Rate / PER kg (₹)]]</f>
        <v>17712</v>
      </c>
      <c r="L136" s="4">
        <f>FastenersPriceList3[[#This Row],[Rate / PER kg (₹)]]*FastenersPriceList3[[#This Row],[Quantity (kg)]]</f>
        <v>6150</v>
      </c>
      <c r="M136" s="4">
        <f>FastenersPriceList3[[#This Row],[SINGLE PC. WT.]]*FastenersPriceList3[[#This Row],[Rate / PER kg (₹)]]</f>
        <v>17.712</v>
      </c>
    </row>
    <row r="137" spans="1:13" ht="22.05" customHeight="1" x14ac:dyDescent="0.3">
      <c r="A137" s="2" t="s">
        <v>1459</v>
      </c>
      <c r="B137" s="12" t="s">
        <v>8</v>
      </c>
      <c r="C137" s="12">
        <v>8.8000000000000007</v>
      </c>
      <c r="D137" s="2">
        <v>152</v>
      </c>
      <c r="E137" s="2">
        <f>FastenersPriceList3[[#This Row],[1000 PCS/WT.]]/1000</f>
        <v>0.152</v>
      </c>
      <c r="F137" s="2" t="s">
        <v>140</v>
      </c>
      <c r="G137" s="6" t="s">
        <v>1329</v>
      </c>
      <c r="H137" s="70">
        <v>50</v>
      </c>
      <c r="I137" s="72">
        <f>FastenersPriceList3[[#This Row],[Quantity (kg)]]/FastenersPriceList3[[#This Row],[SINGLE PC. WT.]]</f>
        <v>328.94736842105266</v>
      </c>
      <c r="J137" s="3">
        <v>123</v>
      </c>
      <c r="K137" s="3">
        <f>FastenersPriceList3[[#This Row],[1000 PCS/WT.]]*FastenersPriceList3[[#This Row],[Rate / PER kg (₹)]]</f>
        <v>18696</v>
      </c>
      <c r="L137" s="4">
        <f>FastenersPriceList3[[#This Row],[Rate / PER kg (₹)]]*FastenersPriceList3[[#This Row],[Quantity (kg)]]</f>
        <v>6150</v>
      </c>
      <c r="M137" s="4">
        <f>FastenersPriceList3[[#This Row],[SINGLE PC. WT.]]*FastenersPriceList3[[#This Row],[Rate / PER kg (₹)]]</f>
        <v>18.695999999999998</v>
      </c>
    </row>
    <row r="138" spans="1:13" ht="22.05" customHeight="1" x14ac:dyDescent="0.3">
      <c r="A138" s="2" t="s">
        <v>1460</v>
      </c>
      <c r="B138" s="12" t="s">
        <v>8</v>
      </c>
      <c r="C138" s="12">
        <v>8.8000000000000007</v>
      </c>
      <c r="D138" s="2">
        <v>160</v>
      </c>
      <c r="E138" s="2">
        <f>FastenersPriceList3[[#This Row],[1000 PCS/WT.]]/1000</f>
        <v>0.16</v>
      </c>
      <c r="F138" s="2" t="s">
        <v>141</v>
      </c>
      <c r="G138" s="6" t="s">
        <v>1329</v>
      </c>
      <c r="H138" s="70">
        <v>50</v>
      </c>
      <c r="I138" s="72">
        <f>FastenersPriceList3[[#This Row],[Quantity (kg)]]/FastenersPriceList3[[#This Row],[SINGLE PC. WT.]]</f>
        <v>312.5</v>
      </c>
      <c r="J138" s="3">
        <v>123</v>
      </c>
      <c r="K138" s="3">
        <f>FastenersPriceList3[[#This Row],[1000 PCS/WT.]]*FastenersPriceList3[[#This Row],[Rate / PER kg (₹)]]</f>
        <v>19680</v>
      </c>
      <c r="L138" s="4">
        <f>FastenersPriceList3[[#This Row],[Rate / PER kg (₹)]]*FastenersPriceList3[[#This Row],[Quantity (kg)]]</f>
        <v>6150</v>
      </c>
      <c r="M138" s="4">
        <f>FastenersPriceList3[[#This Row],[SINGLE PC. WT.]]*FastenersPriceList3[[#This Row],[Rate / PER kg (₹)]]</f>
        <v>19.68</v>
      </c>
    </row>
    <row r="139" spans="1:13" ht="22.05" customHeight="1" x14ac:dyDescent="0.3">
      <c r="A139" s="2" t="s">
        <v>1461</v>
      </c>
      <c r="B139" s="12" t="s">
        <v>8</v>
      </c>
      <c r="C139" s="12">
        <v>8.8000000000000007</v>
      </c>
      <c r="D139" s="2">
        <v>168</v>
      </c>
      <c r="E139" s="2">
        <f>FastenersPriceList3[[#This Row],[1000 PCS/WT.]]/1000</f>
        <v>0.16800000000000001</v>
      </c>
      <c r="F139" s="2" t="s">
        <v>142</v>
      </c>
      <c r="G139" s="6" t="s">
        <v>1329</v>
      </c>
      <c r="H139" s="70">
        <v>50</v>
      </c>
      <c r="I139" s="72">
        <f>FastenersPriceList3[[#This Row],[Quantity (kg)]]/FastenersPriceList3[[#This Row],[SINGLE PC. WT.]]</f>
        <v>297.61904761904759</v>
      </c>
      <c r="J139" s="3">
        <v>123</v>
      </c>
      <c r="K139" s="3">
        <f>FastenersPriceList3[[#This Row],[1000 PCS/WT.]]*FastenersPriceList3[[#This Row],[Rate / PER kg (₹)]]</f>
        <v>20664</v>
      </c>
      <c r="L139" s="4">
        <f>FastenersPriceList3[[#This Row],[Rate / PER kg (₹)]]*FastenersPriceList3[[#This Row],[Quantity (kg)]]</f>
        <v>6150</v>
      </c>
      <c r="M139" s="4">
        <f>FastenersPriceList3[[#This Row],[SINGLE PC. WT.]]*FastenersPriceList3[[#This Row],[Rate / PER kg (₹)]]</f>
        <v>20.664000000000001</v>
      </c>
    </row>
    <row r="140" spans="1:13" ht="22.05" customHeight="1" x14ac:dyDescent="0.3">
      <c r="A140" s="2" t="s">
        <v>1462</v>
      </c>
      <c r="B140" s="12" t="s">
        <v>8</v>
      </c>
      <c r="C140" s="12">
        <v>8.8000000000000007</v>
      </c>
      <c r="D140" s="2">
        <v>176</v>
      </c>
      <c r="E140" s="2">
        <f>FastenersPriceList3[[#This Row],[1000 PCS/WT.]]/1000</f>
        <v>0.17599999999999999</v>
      </c>
      <c r="F140" s="2" t="s">
        <v>143</v>
      </c>
      <c r="G140" s="6" t="s">
        <v>1329</v>
      </c>
      <c r="H140" s="70">
        <v>50</v>
      </c>
      <c r="I140" s="72">
        <f>FastenersPriceList3[[#This Row],[Quantity (kg)]]/FastenersPriceList3[[#This Row],[SINGLE PC. WT.]]</f>
        <v>284.09090909090912</v>
      </c>
      <c r="J140" s="3">
        <v>123</v>
      </c>
      <c r="K140" s="3">
        <f>FastenersPriceList3[[#This Row],[1000 PCS/WT.]]*FastenersPriceList3[[#This Row],[Rate / PER kg (₹)]]</f>
        <v>21648</v>
      </c>
      <c r="L140" s="4">
        <f>FastenersPriceList3[[#This Row],[Rate / PER kg (₹)]]*FastenersPriceList3[[#This Row],[Quantity (kg)]]</f>
        <v>6150</v>
      </c>
      <c r="M140" s="4">
        <f>FastenersPriceList3[[#This Row],[SINGLE PC. WT.]]*FastenersPriceList3[[#This Row],[Rate / PER kg (₹)]]</f>
        <v>21.648</v>
      </c>
    </row>
    <row r="141" spans="1:13" ht="22.05" customHeight="1" x14ac:dyDescent="0.3">
      <c r="A141" s="2" t="s">
        <v>1463</v>
      </c>
      <c r="B141" s="12" t="s">
        <v>8</v>
      </c>
      <c r="C141" s="12">
        <v>8.8000000000000007</v>
      </c>
      <c r="D141" s="2">
        <v>184</v>
      </c>
      <c r="E141" s="2">
        <f>FastenersPriceList3[[#This Row],[1000 PCS/WT.]]/1000</f>
        <v>0.184</v>
      </c>
      <c r="F141" s="2" t="s">
        <v>144</v>
      </c>
      <c r="G141" s="6" t="s">
        <v>1329</v>
      </c>
      <c r="H141" s="70">
        <v>50</v>
      </c>
      <c r="I141" s="72">
        <f>FastenersPriceList3[[#This Row],[Quantity (kg)]]/FastenersPriceList3[[#This Row],[SINGLE PC. WT.]]</f>
        <v>271.73913043478262</v>
      </c>
      <c r="J141" s="3">
        <v>123</v>
      </c>
      <c r="K141" s="3">
        <f>FastenersPriceList3[[#This Row],[1000 PCS/WT.]]*FastenersPriceList3[[#This Row],[Rate / PER kg (₹)]]</f>
        <v>22632</v>
      </c>
      <c r="L141" s="4">
        <f>FastenersPriceList3[[#This Row],[Rate / PER kg (₹)]]*FastenersPriceList3[[#This Row],[Quantity (kg)]]</f>
        <v>6150</v>
      </c>
      <c r="M141" s="4">
        <f>FastenersPriceList3[[#This Row],[SINGLE PC. WT.]]*FastenersPriceList3[[#This Row],[Rate / PER kg (₹)]]</f>
        <v>22.631999999999998</v>
      </c>
    </row>
    <row r="142" spans="1:13" ht="22.05" customHeight="1" x14ac:dyDescent="0.3">
      <c r="A142" s="2" t="s">
        <v>1464</v>
      </c>
      <c r="B142" s="12" t="s">
        <v>8</v>
      </c>
      <c r="C142" s="12">
        <v>8.8000000000000007</v>
      </c>
      <c r="D142" s="2">
        <v>200</v>
      </c>
      <c r="E142" s="2">
        <f>FastenersPriceList3[[#This Row],[1000 PCS/WT.]]/1000</f>
        <v>0.2</v>
      </c>
      <c r="F142" s="2" t="s">
        <v>145</v>
      </c>
      <c r="G142" s="6" t="s">
        <v>1329</v>
      </c>
      <c r="H142" s="70">
        <v>50</v>
      </c>
      <c r="I142" s="72">
        <f>FastenersPriceList3[[#This Row],[Quantity (kg)]]/FastenersPriceList3[[#This Row],[SINGLE PC. WT.]]</f>
        <v>250</v>
      </c>
      <c r="J142" s="3">
        <v>125</v>
      </c>
      <c r="K142" s="3">
        <f>FastenersPriceList3[[#This Row],[1000 PCS/WT.]]*FastenersPriceList3[[#This Row],[Rate / PER kg (₹)]]</f>
        <v>25000</v>
      </c>
      <c r="L142" s="4">
        <f>FastenersPriceList3[[#This Row],[Rate / PER kg (₹)]]*FastenersPriceList3[[#This Row],[Quantity (kg)]]</f>
        <v>6250</v>
      </c>
      <c r="M142" s="4">
        <f>FastenersPriceList3[[#This Row],[SINGLE PC. WT.]]*FastenersPriceList3[[#This Row],[Rate / PER kg (₹)]]</f>
        <v>25</v>
      </c>
    </row>
    <row r="143" spans="1:13" ht="22.05" customHeight="1" x14ac:dyDescent="0.3">
      <c r="A143" s="2" t="s">
        <v>1465</v>
      </c>
      <c r="B143" s="12" t="s">
        <v>8</v>
      </c>
      <c r="C143" s="12">
        <v>8.8000000000000007</v>
      </c>
      <c r="D143" s="2">
        <v>216</v>
      </c>
      <c r="E143" s="2">
        <f>FastenersPriceList3[[#This Row],[1000 PCS/WT.]]/1000</f>
        <v>0.216</v>
      </c>
      <c r="F143" s="2" t="s">
        <v>146</v>
      </c>
      <c r="G143" s="6" t="s">
        <v>1329</v>
      </c>
      <c r="H143" s="70">
        <v>50</v>
      </c>
      <c r="I143" s="72">
        <f>FastenersPriceList3[[#This Row],[Quantity (kg)]]/FastenersPriceList3[[#This Row],[SINGLE PC. WT.]]</f>
        <v>231.4814814814815</v>
      </c>
      <c r="J143" s="3">
        <v>125</v>
      </c>
      <c r="K143" s="3">
        <f>FastenersPriceList3[[#This Row],[1000 PCS/WT.]]*FastenersPriceList3[[#This Row],[Rate / PER kg (₹)]]</f>
        <v>27000</v>
      </c>
      <c r="L143" s="4">
        <f>FastenersPriceList3[[#This Row],[Rate / PER kg (₹)]]*FastenersPriceList3[[#This Row],[Quantity (kg)]]</f>
        <v>6250</v>
      </c>
      <c r="M143" s="4">
        <f>FastenersPriceList3[[#This Row],[SINGLE PC. WT.]]*FastenersPriceList3[[#This Row],[Rate / PER kg (₹)]]</f>
        <v>27</v>
      </c>
    </row>
    <row r="144" spans="1:13" ht="22.05" customHeight="1" x14ac:dyDescent="0.3">
      <c r="A144" s="2" t="s">
        <v>1466</v>
      </c>
      <c r="B144" s="12" t="s">
        <v>8</v>
      </c>
      <c r="C144" s="12">
        <v>8.8000000000000007</v>
      </c>
      <c r="D144" s="2">
        <v>232</v>
      </c>
      <c r="E144" s="2">
        <f>FastenersPriceList3[[#This Row],[1000 PCS/WT.]]/1000</f>
        <v>0.23200000000000001</v>
      </c>
      <c r="F144" s="2" t="s">
        <v>147</v>
      </c>
      <c r="G144" s="6" t="s">
        <v>1329</v>
      </c>
      <c r="H144" s="70">
        <v>50</v>
      </c>
      <c r="I144" s="72">
        <f>FastenersPriceList3[[#This Row],[Quantity (kg)]]/FastenersPriceList3[[#This Row],[SINGLE PC. WT.]]</f>
        <v>215.51724137931032</v>
      </c>
      <c r="J144" s="3">
        <v>125</v>
      </c>
      <c r="K144" s="3">
        <f>FastenersPriceList3[[#This Row],[1000 PCS/WT.]]*FastenersPriceList3[[#This Row],[Rate / PER kg (₹)]]</f>
        <v>29000</v>
      </c>
      <c r="L144" s="4">
        <f>FastenersPriceList3[[#This Row],[Rate / PER kg (₹)]]*FastenersPriceList3[[#This Row],[Quantity (kg)]]</f>
        <v>6250</v>
      </c>
      <c r="M144" s="4">
        <f>FastenersPriceList3[[#This Row],[SINGLE PC. WT.]]*FastenersPriceList3[[#This Row],[Rate / PER kg (₹)]]</f>
        <v>29</v>
      </c>
    </row>
    <row r="145" spans="1:13" ht="22.05" customHeight="1" x14ac:dyDescent="0.3">
      <c r="A145" s="2" t="s">
        <v>1467</v>
      </c>
      <c r="B145" s="12" t="s">
        <v>8</v>
      </c>
      <c r="C145" s="12">
        <v>8.8000000000000007</v>
      </c>
      <c r="D145" s="2">
        <v>248</v>
      </c>
      <c r="E145" s="2">
        <f>FastenersPriceList3[[#This Row],[1000 PCS/WT.]]/1000</f>
        <v>0.248</v>
      </c>
      <c r="F145" s="2" t="s">
        <v>148</v>
      </c>
      <c r="G145" s="6" t="s">
        <v>1329</v>
      </c>
      <c r="H145" s="70">
        <v>50</v>
      </c>
      <c r="I145" s="72">
        <f>FastenersPriceList3[[#This Row],[Quantity (kg)]]/FastenersPriceList3[[#This Row],[SINGLE PC. WT.]]</f>
        <v>201.61290322580646</v>
      </c>
      <c r="J145" s="3">
        <v>125</v>
      </c>
      <c r="K145" s="3">
        <f>FastenersPriceList3[[#This Row],[1000 PCS/WT.]]*FastenersPriceList3[[#This Row],[Rate / PER kg (₹)]]</f>
        <v>31000</v>
      </c>
      <c r="L145" s="4">
        <f>FastenersPriceList3[[#This Row],[Rate / PER kg (₹)]]*FastenersPriceList3[[#This Row],[Quantity (kg)]]</f>
        <v>6250</v>
      </c>
      <c r="M145" s="4">
        <f>FastenersPriceList3[[#This Row],[SINGLE PC. WT.]]*FastenersPriceList3[[#This Row],[Rate / PER kg (₹)]]</f>
        <v>31</v>
      </c>
    </row>
    <row r="146" spans="1:13" ht="22.05" customHeight="1" x14ac:dyDescent="0.3">
      <c r="A146" s="2" t="s">
        <v>1468</v>
      </c>
      <c r="B146" s="12" t="s">
        <v>8</v>
      </c>
      <c r="C146" s="12">
        <v>8.8000000000000007</v>
      </c>
      <c r="D146" s="2">
        <v>264</v>
      </c>
      <c r="E146" s="2">
        <f>FastenersPriceList3[[#This Row],[1000 PCS/WT.]]/1000</f>
        <v>0.26400000000000001</v>
      </c>
      <c r="F146" s="2" t="s">
        <v>149</v>
      </c>
      <c r="G146" s="6" t="s">
        <v>1329</v>
      </c>
      <c r="H146" s="70">
        <v>50</v>
      </c>
      <c r="I146" s="72">
        <f>FastenersPriceList3[[#This Row],[Quantity (kg)]]/FastenersPriceList3[[#This Row],[SINGLE PC. WT.]]</f>
        <v>189.39393939393938</v>
      </c>
      <c r="J146" s="3">
        <v>125</v>
      </c>
      <c r="K146" s="3">
        <f>FastenersPriceList3[[#This Row],[1000 PCS/WT.]]*FastenersPriceList3[[#This Row],[Rate / PER kg (₹)]]</f>
        <v>33000</v>
      </c>
      <c r="L146" s="4">
        <f>FastenersPriceList3[[#This Row],[Rate / PER kg (₹)]]*FastenersPriceList3[[#This Row],[Quantity (kg)]]</f>
        <v>6250</v>
      </c>
      <c r="M146" s="4">
        <f>FastenersPriceList3[[#This Row],[SINGLE PC. WT.]]*FastenersPriceList3[[#This Row],[Rate / PER kg (₹)]]</f>
        <v>33</v>
      </c>
    </row>
    <row r="147" spans="1:13" ht="22.05" customHeight="1" x14ac:dyDescent="0.3">
      <c r="A147" s="2" t="s">
        <v>1469</v>
      </c>
      <c r="B147" s="12" t="s">
        <v>8</v>
      </c>
      <c r="C147" s="12">
        <v>8.8000000000000007</v>
      </c>
      <c r="D147" s="2">
        <v>280</v>
      </c>
      <c r="E147" s="2">
        <f>FastenersPriceList3[[#This Row],[1000 PCS/WT.]]/1000</f>
        <v>0.28000000000000003</v>
      </c>
      <c r="F147" s="2" t="s">
        <v>150</v>
      </c>
      <c r="G147" s="6" t="s">
        <v>1329</v>
      </c>
      <c r="H147" s="70">
        <v>50</v>
      </c>
      <c r="I147" s="72">
        <f>FastenersPriceList3[[#This Row],[Quantity (kg)]]/FastenersPriceList3[[#This Row],[SINGLE PC. WT.]]</f>
        <v>178.57142857142856</v>
      </c>
      <c r="J147" s="3">
        <v>125</v>
      </c>
      <c r="K147" s="3">
        <f>FastenersPriceList3[[#This Row],[1000 PCS/WT.]]*FastenersPriceList3[[#This Row],[Rate / PER kg (₹)]]</f>
        <v>35000</v>
      </c>
      <c r="L147" s="4">
        <f>FastenersPriceList3[[#This Row],[Rate / PER kg (₹)]]*FastenersPriceList3[[#This Row],[Quantity (kg)]]</f>
        <v>6250</v>
      </c>
      <c r="M147" s="4">
        <f>FastenersPriceList3[[#This Row],[SINGLE PC. WT.]]*FastenersPriceList3[[#This Row],[Rate / PER kg (₹)]]</f>
        <v>35</v>
      </c>
    </row>
    <row r="148" spans="1:13" ht="22.05" customHeight="1" x14ac:dyDescent="0.3">
      <c r="A148" s="2" t="s">
        <v>1470</v>
      </c>
      <c r="B148" s="12" t="s">
        <v>8</v>
      </c>
      <c r="C148" s="12">
        <v>8.8000000000000007</v>
      </c>
      <c r="D148" s="2">
        <v>296</v>
      </c>
      <c r="E148" s="2">
        <f>FastenersPriceList3[[#This Row],[1000 PCS/WT.]]/1000</f>
        <v>0.29599999999999999</v>
      </c>
      <c r="F148" s="2" t="s">
        <v>151</v>
      </c>
      <c r="G148" s="6" t="s">
        <v>1329</v>
      </c>
      <c r="H148" s="70">
        <v>50</v>
      </c>
      <c r="I148" s="72">
        <f>FastenersPriceList3[[#This Row],[Quantity (kg)]]/FastenersPriceList3[[#This Row],[SINGLE PC. WT.]]</f>
        <v>168.91891891891893</v>
      </c>
      <c r="J148" s="3">
        <v>125</v>
      </c>
      <c r="K148" s="3">
        <f>FastenersPriceList3[[#This Row],[1000 PCS/WT.]]*FastenersPriceList3[[#This Row],[Rate / PER kg (₹)]]</f>
        <v>37000</v>
      </c>
      <c r="L148" s="4">
        <f>FastenersPriceList3[[#This Row],[Rate / PER kg (₹)]]*FastenersPriceList3[[#This Row],[Quantity (kg)]]</f>
        <v>6250</v>
      </c>
      <c r="M148" s="4">
        <f>FastenersPriceList3[[#This Row],[SINGLE PC. WT.]]*FastenersPriceList3[[#This Row],[Rate / PER kg (₹)]]</f>
        <v>37</v>
      </c>
    </row>
    <row r="149" spans="1:13" ht="22.05" customHeight="1" x14ac:dyDescent="0.3">
      <c r="A149" s="2" t="s">
        <v>1471</v>
      </c>
      <c r="B149" s="12" t="s">
        <v>8</v>
      </c>
      <c r="C149" s="12">
        <v>8.8000000000000007</v>
      </c>
      <c r="D149" s="2">
        <v>312</v>
      </c>
      <c r="E149" s="2">
        <f>FastenersPriceList3[[#This Row],[1000 PCS/WT.]]/1000</f>
        <v>0.312</v>
      </c>
      <c r="F149" s="2" t="s">
        <v>152</v>
      </c>
      <c r="G149" s="6" t="s">
        <v>1329</v>
      </c>
      <c r="H149" s="70">
        <v>50</v>
      </c>
      <c r="I149" s="72">
        <f>FastenersPriceList3[[#This Row],[Quantity (kg)]]/FastenersPriceList3[[#This Row],[SINGLE PC. WT.]]</f>
        <v>160.25641025641025</v>
      </c>
      <c r="J149" s="3">
        <v>125</v>
      </c>
      <c r="K149" s="3">
        <f>FastenersPriceList3[[#This Row],[1000 PCS/WT.]]*FastenersPriceList3[[#This Row],[Rate / PER kg (₹)]]</f>
        <v>39000</v>
      </c>
      <c r="L149" s="4">
        <f>FastenersPriceList3[[#This Row],[Rate / PER kg (₹)]]*FastenersPriceList3[[#This Row],[Quantity (kg)]]</f>
        <v>6250</v>
      </c>
      <c r="M149" s="4">
        <f>FastenersPriceList3[[#This Row],[SINGLE PC. WT.]]*FastenersPriceList3[[#This Row],[Rate / PER kg (₹)]]</f>
        <v>39</v>
      </c>
    </row>
    <row r="150" spans="1:13" ht="22.05" customHeight="1" x14ac:dyDescent="0.3">
      <c r="A150" s="2" t="s">
        <v>1472</v>
      </c>
      <c r="B150" s="12" t="s">
        <v>8</v>
      </c>
      <c r="C150" s="12">
        <v>8.8000000000000007</v>
      </c>
      <c r="D150" s="2">
        <v>328</v>
      </c>
      <c r="E150" s="2">
        <f>FastenersPriceList3[[#This Row],[1000 PCS/WT.]]/1000</f>
        <v>0.32800000000000001</v>
      </c>
      <c r="F150" s="2" t="s">
        <v>153</v>
      </c>
      <c r="G150" s="6" t="s">
        <v>1329</v>
      </c>
      <c r="H150" s="70">
        <v>50</v>
      </c>
      <c r="I150" s="72">
        <f>FastenersPriceList3[[#This Row],[Quantity (kg)]]/FastenersPriceList3[[#This Row],[SINGLE PC. WT.]]</f>
        <v>152.4390243902439</v>
      </c>
      <c r="J150" s="3">
        <v>130</v>
      </c>
      <c r="K150" s="3">
        <f>FastenersPriceList3[[#This Row],[1000 PCS/WT.]]*FastenersPriceList3[[#This Row],[Rate / PER kg (₹)]]</f>
        <v>42640</v>
      </c>
      <c r="L150" s="4">
        <f>FastenersPriceList3[[#This Row],[Rate / PER kg (₹)]]*FastenersPriceList3[[#This Row],[Quantity (kg)]]</f>
        <v>6500</v>
      </c>
      <c r="M150" s="4">
        <f>FastenersPriceList3[[#This Row],[SINGLE PC. WT.]]*FastenersPriceList3[[#This Row],[Rate / PER kg (₹)]]</f>
        <v>42.64</v>
      </c>
    </row>
    <row r="151" spans="1:13" ht="22.05" customHeight="1" x14ac:dyDescent="0.3">
      <c r="A151" s="2" t="s">
        <v>1473</v>
      </c>
      <c r="B151" s="12" t="s">
        <v>8</v>
      </c>
      <c r="C151" s="12">
        <v>8.8000000000000007</v>
      </c>
      <c r="D151" s="2">
        <v>344</v>
      </c>
      <c r="E151" s="2">
        <f>FastenersPriceList3[[#This Row],[1000 PCS/WT.]]/1000</f>
        <v>0.34399999999999997</v>
      </c>
      <c r="F151" s="2" t="s">
        <v>154</v>
      </c>
      <c r="G151" s="6" t="s">
        <v>1329</v>
      </c>
      <c r="H151" s="70">
        <v>50</v>
      </c>
      <c r="I151" s="72">
        <f>FastenersPriceList3[[#This Row],[Quantity (kg)]]/FastenersPriceList3[[#This Row],[SINGLE PC. WT.]]</f>
        <v>145.34883720930233</v>
      </c>
      <c r="J151" s="3">
        <v>130</v>
      </c>
      <c r="K151" s="3">
        <f>FastenersPriceList3[[#This Row],[1000 PCS/WT.]]*FastenersPriceList3[[#This Row],[Rate / PER kg (₹)]]</f>
        <v>44720</v>
      </c>
      <c r="L151" s="4">
        <f>FastenersPriceList3[[#This Row],[Rate / PER kg (₹)]]*FastenersPriceList3[[#This Row],[Quantity (kg)]]</f>
        <v>6500</v>
      </c>
      <c r="M151" s="4">
        <f>FastenersPriceList3[[#This Row],[SINGLE PC. WT.]]*FastenersPriceList3[[#This Row],[Rate / PER kg (₹)]]</f>
        <v>44.72</v>
      </c>
    </row>
    <row r="152" spans="1:13" ht="22.05" customHeight="1" x14ac:dyDescent="0.3">
      <c r="A152" s="2" t="s">
        <v>1474</v>
      </c>
      <c r="B152" s="12" t="s">
        <v>8</v>
      </c>
      <c r="C152" s="12">
        <v>8.8000000000000007</v>
      </c>
      <c r="D152" s="2">
        <v>147.5</v>
      </c>
      <c r="E152" s="2">
        <f>FastenersPriceList3[[#This Row],[1000 PCS/WT.]]/1000</f>
        <v>0.14749999999999999</v>
      </c>
      <c r="F152" s="2" t="s">
        <v>155</v>
      </c>
      <c r="G152" s="6" t="s">
        <v>1329</v>
      </c>
      <c r="H152" s="70">
        <v>50</v>
      </c>
      <c r="I152" s="72">
        <f>FastenersPriceList3[[#This Row],[Quantity (kg)]]/FastenersPriceList3[[#This Row],[SINGLE PC. WT.]]</f>
        <v>338.98305084745766</v>
      </c>
      <c r="J152" s="3">
        <v>128</v>
      </c>
      <c r="K152" s="3">
        <f>FastenersPriceList3[[#This Row],[1000 PCS/WT.]]*FastenersPriceList3[[#This Row],[Rate / PER kg (₹)]]</f>
        <v>18880</v>
      </c>
      <c r="L152" s="4">
        <f>FastenersPriceList3[[#This Row],[Rate / PER kg (₹)]]*FastenersPriceList3[[#This Row],[Quantity (kg)]]</f>
        <v>6400</v>
      </c>
      <c r="M152" s="4">
        <f>FastenersPriceList3[[#This Row],[SINGLE PC. WT.]]*FastenersPriceList3[[#This Row],[Rate / PER kg (₹)]]</f>
        <v>18.88</v>
      </c>
    </row>
    <row r="153" spans="1:13" ht="22.05" customHeight="1" x14ac:dyDescent="0.3">
      <c r="A153" s="2" t="s">
        <v>1475</v>
      </c>
      <c r="B153" s="12" t="s">
        <v>8</v>
      </c>
      <c r="C153" s="12">
        <v>8.8000000000000007</v>
      </c>
      <c r="D153" s="2">
        <v>157.75</v>
      </c>
      <c r="E153" s="2">
        <f>FastenersPriceList3[[#This Row],[1000 PCS/WT.]]/1000</f>
        <v>0.15775</v>
      </c>
      <c r="F153" s="2" t="s">
        <v>156</v>
      </c>
      <c r="G153" s="6" t="s">
        <v>1329</v>
      </c>
      <c r="H153" s="70">
        <v>50</v>
      </c>
      <c r="I153" s="72">
        <f>FastenersPriceList3[[#This Row],[Quantity (kg)]]/FastenersPriceList3[[#This Row],[SINGLE PC. WT.]]</f>
        <v>316.95721077654514</v>
      </c>
      <c r="J153" s="3">
        <v>128</v>
      </c>
      <c r="K153" s="3">
        <f>FastenersPriceList3[[#This Row],[1000 PCS/WT.]]*FastenersPriceList3[[#This Row],[Rate / PER kg (₹)]]</f>
        <v>20192</v>
      </c>
      <c r="L153" s="4">
        <f>FastenersPriceList3[[#This Row],[Rate / PER kg (₹)]]*FastenersPriceList3[[#This Row],[Quantity (kg)]]</f>
        <v>6400</v>
      </c>
      <c r="M153" s="4">
        <f>FastenersPriceList3[[#This Row],[SINGLE PC. WT.]]*FastenersPriceList3[[#This Row],[Rate / PER kg (₹)]]</f>
        <v>20.192</v>
      </c>
    </row>
    <row r="154" spans="1:13" ht="22.05" customHeight="1" x14ac:dyDescent="0.3">
      <c r="A154" s="2" t="s">
        <v>1476</v>
      </c>
      <c r="B154" s="12" t="s">
        <v>8</v>
      </c>
      <c r="C154" s="12">
        <v>8.8000000000000007</v>
      </c>
      <c r="D154" s="2">
        <v>168</v>
      </c>
      <c r="E154" s="2">
        <f>FastenersPriceList3[[#This Row],[1000 PCS/WT.]]/1000</f>
        <v>0.16800000000000001</v>
      </c>
      <c r="F154" s="2" t="s">
        <v>157</v>
      </c>
      <c r="G154" s="6" t="s">
        <v>1329</v>
      </c>
      <c r="H154" s="70">
        <v>50</v>
      </c>
      <c r="I154" s="72">
        <f>FastenersPriceList3[[#This Row],[Quantity (kg)]]/FastenersPriceList3[[#This Row],[SINGLE PC. WT.]]</f>
        <v>297.61904761904759</v>
      </c>
      <c r="J154" s="3">
        <v>128</v>
      </c>
      <c r="K154" s="3">
        <f>FastenersPriceList3[[#This Row],[1000 PCS/WT.]]*FastenersPriceList3[[#This Row],[Rate / PER kg (₹)]]</f>
        <v>21504</v>
      </c>
      <c r="L154" s="4">
        <f>FastenersPriceList3[[#This Row],[Rate / PER kg (₹)]]*FastenersPriceList3[[#This Row],[Quantity (kg)]]</f>
        <v>6400</v>
      </c>
      <c r="M154" s="4">
        <f>FastenersPriceList3[[#This Row],[SINGLE PC. WT.]]*FastenersPriceList3[[#This Row],[Rate / PER kg (₹)]]</f>
        <v>21.504000000000001</v>
      </c>
    </row>
    <row r="155" spans="1:13" ht="22.05" customHeight="1" x14ac:dyDescent="0.3">
      <c r="A155" s="2" t="s">
        <v>1477</v>
      </c>
      <c r="B155" s="12" t="s">
        <v>8</v>
      </c>
      <c r="C155" s="12">
        <v>8.8000000000000007</v>
      </c>
      <c r="D155" s="2">
        <v>178.25</v>
      </c>
      <c r="E155" s="2">
        <f>FastenersPriceList3[[#This Row],[1000 PCS/WT.]]/1000</f>
        <v>0.17824999999999999</v>
      </c>
      <c r="F155" s="2" t="s">
        <v>158</v>
      </c>
      <c r="G155" s="6" t="s">
        <v>1329</v>
      </c>
      <c r="H155" s="70">
        <v>50</v>
      </c>
      <c r="I155" s="72">
        <f>FastenersPriceList3[[#This Row],[Quantity (kg)]]/FastenersPriceList3[[#This Row],[SINGLE PC. WT.]]</f>
        <v>280.50490883590464</v>
      </c>
      <c r="J155" s="3">
        <v>128</v>
      </c>
      <c r="K155" s="3">
        <f>FastenersPriceList3[[#This Row],[1000 PCS/WT.]]*FastenersPriceList3[[#This Row],[Rate / PER kg (₹)]]</f>
        <v>22816</v>
      </c>
      <c r="L155" s="4">
        <f>FastenersPriceList3[[#This Row],[Rate / PER kg (₹)]]*FastenersPriceList3[[#This Row],[Quantity (kg)]]</f>
        <v>6400</v>
      </c>
      <c r="M155" s="4">
        <f>FastenersPriceList3[[#This Row],[SINGLE PC. WT.]]*FastenersPriceList3[[#This Row],[Rate / PER kg (₹)]]</f>
        <v>22.815999999999999</v>
      </c>
    </row>
    <row r="156" spans="1:13" ht="22.05" customHeight="1" x14ac:dyDescent="0.3">
      <c r="A156" s="2" t="s">
        <v>1478</v>
      </c>
      <c r="B156" s="12" t="s">
        <v>8</v>
      </c>
      <c r="C156" s="12">
        <v>8.8000000000000007</v>
      </c>
      <c r="D156" s="2">
        <v>188.5</v>
      </c>
      <c r="E156" s="2">
        <f>FastenersPriceList3[[#This Row],[1000 PCS/WT.]]/1000</f>
        <v>0.1885</v>
      </c>
      <c r="F156" s="2" t="s">
        <v>159</v>
      </c>
      <c r="G156" s="6" t="s">
        <v>1329</v>
      </c>
      <c r="H156" s="70">
        <v>50</v>
      </c>
      <c r="I156" s="72">
        <f>FastenersPriceList3[[#This Row],[Quantity (kg)]]/FastenersPriceList3[[#This Row],[SINGLE PC. WT.]]</f>
        <v>265.25198938992042</v>
      </c>
      <c r="J156" s="3">
        <v>126</v>
      </c>
      <c r="K156" s="3">
        <f>FastenersPriceList3[[#This Row],[1000 PCS/WT.]]*FastenersPriceList3[[#This Row],[Rate / PER kg (₹)]]</f>
        <v>23751</v>
      </c>
      <c r="L156" s="4">
        <f>FastenersPriceList3[[#This Row],[Rate / PER kg (₹)]]*FastenersPriceList3[[#This Row],[Quantity (kg)]]</f>
        <v>6300</v>
      </c>
      <c r="M156" s="4">
        <f>FastenersPriceList3[[#This Row],[SINGLE PC. WT.]]*FastenersPriceList3[[#This Row],[Rate / PER kg (₹)]]</f>
        <v>23.751000000000001</v>
      </c>
    </row>
    <row r="157" spans="1:13" ht="22.05" customHeight="1" x14ac:dyDescent="0.3">
      <c r="A157" s="2" t="s">
        <v>1479</v>
      </c>
      <c r="B157" s="12" t="s">
        <v>8</v>
      </c>
      <c r="C157" s="12">
        <v>8.8000000000000007</v>
      </c>
      <c r="D157" s="2">
        <v>198.75</v>
      </c>
      <c r="E157" s="2">
        <f>FastenersPriceList3[[#This Row],[1000 PCS/WT.]]/1000</f>
        <v>0.19875000000000001</v>
      </c>
      <c r="F157" s="2" t="s">
        <v>160</v>
      </c>
      <c r="G157" s="6" t="s">
        <v>1329</v>
      </c>
      <c r="H157" s="70">
        <v>50</v>
      </c>
      <c r="I157" s="72">
        <f>FastenersPriceList3[[#This Row],[Quantity (kg)]]/FastenersPriceList3[[#This Row],[SINGLE PC. WT.]]</f>
        <v>251.57232704402514</v>
      </c>
      <c r="J157" s="3">
        <v>126</v>
      </c>
      <c r="K157" s="3">
        <f>FastenersPriceList3[[#This Row],[1000 PCS/WT.]]*FastenersPriceList3[[#This Row],[Rate / PER kg (₹)]]</f>
        <v>25042.5</v>
      </c>
      <c r="L157" s="4">
        <f>FastenersPriceList3[[#This Row],[Rate / PER kg (₹)]]*FastenersPriceList3[[#This Row],[Quantity (kg)]]</f>
        <v>6300</v>
      </c>
      <c r="M157" s="4">
        <f>FastenersPriceList3[[#This Row],[SINGLE PC. WT.]]*FastenersPriceList3[[#This Row],[Rate / PER kg (₹)]]</f>
        <v>25.0425</v>
      </c>
    </row>
    <row r="158" spans="1:13" ht="22.05" customHeight="1" x14ac:dyDescent="0.3">
      <c r="A158" s="2" t="s">
        <v>1480</v>
      </c>
      <c r="B158" s="12" t="s">
        <v>8</v>
      </c>
      <c r="C158" s="12">
        <v>8.8000000000000007</v>
      </c>
      <c r="D158" s="2">
        <v>209</v>
      </c>
      <c r="E158" s="2">
        <f>FastenersPriceList3[[#This Row],[1000 PCS/WT.]]/1000</f>
        <v>0.20899999999999999</v>
      </c>
      <c r="F158" s="2" t="s">
        <v>161</v>
      </c>
      <c r="G158" s="6" t="s">
        <v>1329</v>
      </c>
      <c r="H158" s="70">
        <v>50</v>
      </c>
      <c r="I158" s="72">
        <f>FastenersPriceList3[[#This Row],[Quantity (kg)]]/FastenersPriceList3[[#This Row],[SINGLE PC. WT.]]</f>
        <v>239.23444976076556</v>
      </c>
      <c r="J158" s="3">
        <v>126</v>
      </c>
      <c r="K158" s="3">
        <f>FastenersPriceList3[[#This Row],[1000 PCS/WT.]]*FastenersPriceList3[[#This Row],[Rate / PER kg (₹)]]</f>
        <v>26334</v>
      </c>
      <c r="L158" s="4">
        <f>FastenersPriceList3[[#This Row],[Rate / PER kg (₹)]]*FastenersPriceList3[[#This Row],[Quantity (kg)]]</f>
        <v>6300</v>
      </c>
      <c r="M158" s="4">
        <f>FastenersPriceList3[[#This Row],[SINGLE PC. WT.]]*FastenersPriceList3[[#This Row],[Rate / PER kg (₹)]]</f>
        <v>26.334</v>
      </c>
    </row>
    <row r="159" spans="1:13" ht="22.05" customHeight="1" x14ac:dyDescent="0.3">
      <c r="A159" s="2" t="s">
        <v>1481</v>
      </c>
      <c r="B159" s="12" t="s">
        <v>8</v>
      </c>
      <c r="C159" s="12">
        <v>8.8000000000000007</v>
      </c>
      <c r="D159" s="2">
        <v>219.25</v>
      </c>
      <c r="E159" s="2">
        <f>FastenersPriceList3[[#This Row],[1000 PCS/WT.]]/1000</f>
        <v>0.21925</v>
      </c>
      <c r="F159" s="2" t="s">
        <v>162</v>
      </c>
      <c r="G159" s="6" t="s">
        <v>1329</v>
      </c>
      <c r="H159" s="70">
        <v>50</v>
      </c>
      <c r="I159" s="72">
        <f>FastenersPriceList3[[#This Row],[Quantity (kg)]]/FastenersPriceList3[[#This Row],[SINGLE PC. WT.]]</f>
        <v>228.05017103762827</v>
      </c>
      <c r="J159" s="3">
        <v>126</v>
      </c>
      <c r="K159" s="3">
        <f>FastenersPriceList3[[#This Row],[1000 PCS/WT.]]*FastenersPriceList3[[#This Row],[Rate / PER kg (₹)]]</f>
        <v>27625.5</v>
      </c>
      <c r="L159" s="4">
        <f>FastenersPriceList3[[#This Row],[Rate / PER kg (₹)]]*FastenersPriceList3[[#This Row],[Quantity (kg)]]</f>
        <v>6300</v>
      </c>
      <c r="M159" s="4">
        <f>FastenersPriceList3[[#This Row],[SINGLE PC. WT.]]*FastenersPriceList3[[#This Row],[Rate / PER kg (₹)]]</f>
        <v>27.625499999999999</v>
      </c>
    </row>
    <row r="160" spans="1:13" ht="22.05" customHeight="1" x14ac:dyDescent="0.3">
      <c r="A160" s="2" t="s">
        <v>1482</v>
      </c>
      <c r="B160" s="12" t="s">
        <v>8</v>
      </c>
      <c r="C160" s="12">
        <v>8.8000000000000007</v>
      </c>
      <c r="D160" s="2">
        <v>229.5</v>
      </c>
      <c r="E160" s="2">
        <f>FastenersPriceList3[[#This Row],[1000 PCS/WT.]]/1000</f>
        <v>0.22950000000000001</v>
      </c>
      <c r="F160" s="2" t="s">
        <v>163</v>
      </c>
      <c r="G160" s="6" t="s">
        <v>1329</v>
      </c>
      <c r="H160" s="70">
        <v>50</v>
      </c>
      <c r="I160" s="72">
        <f>FastenersPriceList3[[#This Row],[Quantity (kg)]]/FastenersPriceList3[[#This Row],[SINGLE PC. WT.]]</f>
        <v>217.86492374727669</v>
      </c>
      <c r="J160" s="3">
        <v>126</v>
      </c>
      <c r="K160" s="3">
        <f>FastenersPriceList3[[#This Row],[1000 PCS/WT.]]*FastenersPriceList3[[#This Row],[Rate / PER kg (₹)]]</f>
        <v>28917</v>
      </c>
      <c r="L160" s="4">
        <f>FastenersPriceList3[[#This Row],[Rate / PER kg (₹)]]*FastenersPriceList3[[#This Row],[Quantity (kg)]]</f>
        <v>6300</v>
      </c>
      <c r="M160" s="4">
        <f>FastenersPriceList3[[#This Row],[SINGLE PC. WT.]]*FastenersPriceList3[[#This Row],[Rate / PER kg (₹)]]</f>
        <v>28.917000000000002</v>
      </c>
    </row>
    <row r="161" spans="1:13" ht="22.05" customHeight="1" x14ac:dyDescent="0.3">
      <c r="A161" s="2" t="s">
        <v>1483</v>
      </c>
      <c r="B161" s="12" t="s">
        <v>8</v>
      </c>
      <c r="C161" s="12">
        <v>8.8000000000000007</v>
      </c>
      <c r="D161" s="2">
        <v>239.75</v>
      </c>
      <c r="E161" s="2">
        <f>FastenersPriceList3[[#This Row],[1000 PCS/WT.]]/1000</f>
        <v>0.23974999999999999</v>
      </c>
      <c r="F161" s="2" t="s">
        <v>164</v>
      </c>
      <c r="G161" s="6" t="s">
        <v>1329</v>
      </c>
      <c r="H161" s="70">
        <v>50</v>
      </c>
      <c r="I161" s="72">
        <f>FastenersPriceList3[[#This Row],[Quantity (kg)]]/FastenersPriceList3[[#This Row],[SINGLE PC. WT.]]</f>
        <v>208.55057351407717</v>
      </c>
      <c r="J161" s="3">
        <v>126</v>
      </c>
      <c r="K161" s="3">
        <f>FastenersPriceList3[[#This Row],[1000 PCS/WT.]]*FastenersPriceList3[[#This Row],[Rate / PER kg (₹)]]</f>
        <v>30208.5</v>
      </c>
      <c r="L161" s="4">
        <f>FastenersPriceList3[[#This Row],[Rate / PER kg (₹)]]*FastenersPriceList3[[#This Row],[Quantity (kg)]]</f>
        <v>6300</v>
      </c>
      <c r="M161" s="4">
        <f>FastenersPriceList3[[#This Row],[SINGLE PC. WT.]]*FastenersPriceList3[[#This Row],[Rate / PER kg (₹)]]</f>
        <v>30.208499999999997</v>
      </c>
    </row>
    <row r="162" spans="1:13" ht="22.05" customHeight="1" x14ac:dyDescent="0.3">
      <c r="A162" s="2" t="s">
        <v>1484</v>
      </c>
      <c r="B162" s="12" t="s">
        <v>8</v>
      </c>
      <c r="C162" s="12">
        <v>8.8000000000000007</v>
      </c>
      <c r="D162" s="2">
        <v>250</v>
      </c>
      <c r="E162" s="2">
        <f>FastenersPriceList3[[#This Row],[1000 PCS/WT.]]/1000</f>
        <v>0.25</v>
      </c>
      <c r="F162" s="2" t="s">
        <v>165</v>
      </c>
      <c r="G162" s="6" t="s">
        <v>1329</v>
      </c>
      <c r="H162" s="70">
        <v>50</v>
      </c>
      <c r="I162" s="72">
        <f>FastenersPriceList3[[#This Row],[Quantity (kg)]]/FastenersPriceList3[[#This Row],[SINGLE PC. WT.]]</f>
        <v>200</v>
      </c>
      <c r="J162" s="3">
        <v>128</v>
      </c>
      <c r="K162" s="3">
        <f>FastenersPriceList3[[#This Row],[1000 PCS/WT.]]*FastenersPriceList3[[#This Row],[Rate / PER kg (₹)]]</f>
        <v>32000</v>
      </c>
      <c r="L162" s="4">
        <f>FastenersPriceList3[[#This Row],[Rate / PER kg (₹)]]*FastenersPriceList3[[#This Row],[Quantity (kg)]]</f>
        <v>6400</v>
      </c>
      <c r="M162" s="4">
        <f>FastenersPriceList3[[#This Row],[SINGLE PC. WT.]]*FastenersPriceList3[[#This Row],[Rate / PER kg (₹)]]</f>
        <v>32</v>
      </c>
    </row>
    <row r="163" spans="1:13" ht="22.05" customHeight="1" x14ac:dyDescent="0.3">
      <c r="A163" s="2" t="s">
        <v>1485</v>
      </c>
      <c r="B163" s="12" t="s">
        <v>8</v>
      </c>
      <c r="C163" s="12">
        <v>8.8000000000000007</v>
      </c>
      <c r="D163" s="2">
        <v>260.25</v>
      </c>
      <c r="E163" s="2">
        <f>FastenersPriceList3[[#This Row],[1000 PCS/WT.]]/1000</f>
        <v>0.26024999999999998</v>
      </c>
      <c r="F163" s="2" t="s">
        <v>166</v>
      </c>
      <c r="G163" s="6" t="s">
        <v>1329</v>
      </c>
      <c r="H163" s="70">
        <v>50</v>
      </c>
      <c r="I163" s="72">
        <f>FastenersPriceList3[[#This Row],[Quantity (kg)]]/FastenersPriceList3[[#This Row],[SINGLE PC. WT.]]</f>
        <v>192.1229586935639</v>
      </c>
      <c r="J163" s="3">
        <v>128</v>
      </c>
      <c r="K163" s="3">
        <f>FastenersPriceList3[[#This Row],[1000 PCS/WT.]]*FastenersPriceList3[[#This Row],[Rate / PER kg (₹)]]</f>
        <v>33312</v>
      </c>
      <c r="L163" s="4">
        <f>FastenersPriceList3[[#This Row],[Rate / PER kg (₹)]]*FastenersPriceList3[[#This Row],[Quantity (kg)]]</f>
        <v>6400</v>
      </c>
      <c r="M163" s="4">
        <f>FastenersPriceList3[[#This Row],[SINGLE PC. WT.]]*FastenersPriceList3[[#This Row],[Rate / PER kg (₹)]]</f>
        <v>33.311999999999998</v>
      </c>
    </row>
    <row r="164" spans="1:13" ht="22.05" customHeight="1" x14ac:dyDescent="0.3">
      <c r="A164" s="2" t="s">
        <v>1486</v>
      </c>
      <c r="B164" s="12" t="s">
        <v>8</v>
      </c>
      <c r="C164" s="12">
        <v>8.8000000000000007</v>
      </c>
      <c r="D164" s="2">
        <v>270.5</v>
      </c>
      <c r="E164" s="2">
        <f>FastenersPriceList3[[#This Row],[1000 PCS/WT.]]/1000</f>
        <v>0.27050000000000002</v>
      </c>
      <c r="F164" s="2" t="s">
        <v>167</v>
      </c>
      <c r="G164" s="6" t="s">
        <v>1329</v>
      </c>
      <c r="H164" s="70">
        <v>50</v>
      </c>
      <c r="I164" s="72">
        <f>FastenersPriceList3[[#This Row],[Quantity (kg)]]/FastenersPriceList3[[#This Row],[SINGLE PC. WT.]]</f>
        <v>184.84288354898334</v>
      </c>
      <c r="J164" s="3">
        <v>128</v>
      </c>
      <c r="K164" s="3">
        <f>FastenersPriceList3[[#This Row],[1000 PCS/WT.]]*FastenersPriceList3[[#This Row],[Rate / PER kg (₹)]]</f>
        <v>34624</v>
      </c>
      <c r="L164" s="4">
        <f>FastenersPriceList3[[#This Row],[Rate / PER kg (₹)]]*FastenersPriceList3[[#This Row],[Quantity (kg)]]</f>
        <v>6400</v>
      </c>
      <c r="M164" s="4">
        <f>FastenersPriceList3[[#This Row],[SINGLE PC. WT.]]*FastenersPriceList3[[#This Row],[Rate / PER kg (₹)]]</f>
        <v>34.624000000000002</v>
      </c>
    </row>
    <row r="165" spans="1:13" ht="22.05" customHeight="1" x14ac:dyDescent="0.3">
      <c r="A165" s="2" t="s">
        <v>1487</v>
      </c>
      <c r="B165" s="12" t="s">
        <v>8</v>
      </c>
      <c r="C165" s="12">
        <v>8.8000000000000007</v>
      </c>
      <c r="D165" s="2">
        <v>280.75</v>
      </c>
      <c r="E165" s="2">
        <f>FastenersPriceList3[[#This Row],[1000 PCS/WT.]]/1000</f>
        <v>0.28075</v>
      </c>
      <c r="F165" s="2" t="s">
        <v>168</v>
      </c>
      <c r="G165" s="6" t="s">
        <v>1329</v>
      </c>
      <c r="H165" s="70">
        <v>50</v>
      </c>
      <c r="I165" s="72">
        <f>FastenersPriceList3[[#This Row],[Quantity (kg)]]/FastenersPriceList3[[#This Row],[SINGLE PC. WT.]]</f>
        <v>178.09439002671417</v>
      </c>
      <c r="J165" s="3">
        <v>128</v>
      </c>
      <c r="K165" s="3">
        <f>FastenersPriceList3[[#This Row],[1000 PCS/WT.]]*FastenersPriceList3[[#This Row],[Rate / PER kg (₹)]]</f>
        <v>35936</v>
      </c>
      <c r="L165" s="4">
        <f>FastenersPriceList3[[#This Row],[Rate / PER kg (₹)]]*FastenersPriceList3[[#This Row],[Quantity (kg)]]</f>
        <v>6400</v>
      </c>
      <c r="M165" s="4">
        <f>FastenersPriceList3[[#This Row],[SINGLE PC. WT.]]*FastenersPriceList3[[#This Row],[Rate / PER kg (₹)]]</f>
        <v>35.936</v>
      </c>
    </row>
    <row r="166" spans="1:13" ht="22.05" customHeight="1" x14ac:dyDescent="0.3">
      <c r="A166" s="2" t="s">
        <v>1488</v>
      </c>
      <c r="B166" s="12" t="s">
        <v>8</v>
      </c>
      <c r="C166" s="12">
        <v>8.8000000000000007</v>
      </c>
      <c r="D166" s="2">
        <v>301.25</v>
      </c>
      <c r="E166" s="2">
        <f>FastenersPriceList3[[#This Row],[1000 PCS/WT.]]/1000</f>
        <v>0.30125000000000002</v>
      </c>
      <c r="F166" s="2" t="s">
        <v>169</v>
      </c>
      <c r="G166" s="6" t="s">
        <v>1329</v>
      </c>
      <c r="H166" s="70">
        <v>50</v>
      </c>
      <c r="I166" s="72">
        <f>FastenersPriceList3[[#This Row],[Quantity (kg)]]/FastenersPriceList3[[#This Row],[SINGLE PC. WT.]]</f>
        <v>165.97510373443981</v>
      </c>
      <c r="J166" s="3">
        <v>130</v>
      </c>
      <c r="K166" s="3">
        <f>FastenersPriceList3[[#This Row],[1000 PCS/WT.]]*FastenersPriceList3[[#This Row],[Rate / PER kg (₹)]]</f>
        <v>39162.5</v>
      </c>
      <c r="L166" s="4">
        <f>FastenersPriceList3[[#This Row],[Rate / PER kg (₹)]]*FastenersPriceList3[[#This Row],[Quantity (kg)]]</f>
        <v>6500</v>
      </c>
      <c r="M166" s="4">
        <f>FastenersPriceList3[[#This Row],[SINGLE PC. WT.]]*FastenersPriceList3[[#This Row],[Rate / PER kg (₹)]]</f>
        <v>39.162500000000001</v>
      </c>
    </row>
    <row r="167" spans="1:13" ht="22.05" customHeight="1" x14ac:dyDescent="0.3">
      <c r="A167" s="2" t="s">
        <v>1489</v>
      </c>
      <c r="B167" s="12" t="s">
        <v>8</v>
      </c>
      <c r="C167" s="12">
        <v>8.8000000000000007</v>
      </c>
      <c r="D167" s="2">
        <v>321.75</v>
      </c>
      <c r="E167" s="2">
        <f>FastenersPriceList3[[#This Row],[1000 PCS/WT.]]/1000</f>
        <v>0.32174999999999998</v>
      </c>
      <c r="F167" s="2" t="s">
        <v>170</v>
      </c>
      <c r="G167" s="6" t="s">
        <v>1329</v>
      </c>
      <c r="H167" s="70">
        <v>50</v>
      </c>
      <c r="I167" s="72">
        <f>FastenersPriceList3[[#This Row],[Quantity (kg)]]/FastenersPriceList3[[#This Row],[SINGLE PC. WT.]]</f>
        <v>155.4001554001554</v>
      </c>
      <c r="J167" s="3">
        <v>130</v>
      </c>
      <c r="K167" s="3">
        <f>FastenersPriceList3[[#This Row],[1000 PCS/WT.]]*FastenersPriceList3[[#This Row],[Rate / PER kg (₹)]]</f>
        <v>41827.5</v>
      </c>
      <c r="L167" s="4">
        <f>FastenersPriceList3[[#This Row],[Rate / PER kg (₹)]]*FastenersPriceList3[[#This Row],[Quantity (kg)]]</f>
        <v>6500</v>
      </c>
      <c r="M167" s="4">
        <f>FastenersPriceList3[[#This Row],[SINGLE PC. WT.]]*FastenersPriceList3[[#This Row],[Rate / PER kg (₹)]]</f>
        <v>41.827500000000001</v>
      </c>
    </row>
    <row r="168" spans="1:13" ht="22.05" customHeight="1" x14ac:dyDescent="0.3">
      <c r="A168" s="2" t="s">
        <v>1490</v>
      </c>
      <c r="B168" s="12" t="s">
        <v>8</v>
      </c>
      <c r="C168" s="12">
        <v>8.8000000000000007</v>
      </c>
      <c r="D168" s="2">
        <v>342.25</v>
      </c>
      <c r="E168" s="2">
        <f>FastenersPriceList3[[#This Row],[1000 PCS/WT.]]/1000</f>
        <v>0.34225</v>
      </c>
      <c r="F168" s="2" t="s">
        <v>171</v>
      </c>
      <c r="G168" s="6" t="s">
        <v>1329</v>
      </c>
      <c r="H168" s="70">
        <v>50</v>
      </c>
      <c r="I168" s="72">
        <f>FastenersPriceList3[[#This Row],[Quantity (kg)]]/FastenersPriceList3[[#This Row],[SINGLE PC. WT.]]</f>
        <v>146.09203798392988</v>
      </c>
      <c r="J168" s="3">
        <v>130</v>
      </c>
      <c r="K168" s="3">
        <f>FastenersPriceList3[[#This Row],[1000 PCS/WT.]]*FastenersPriceList3[[#This Row],[Rate / PER kg (₹)]]</f>
        <v>44492.5</v>
      </c>
      <c r="L168" s="4">
        <f>FastenersPriceList3[[#This Row],[Rate / PER kg (₹)]]*FastenersPriceList3[[#This Row],[Quantity (kg)]]</f>
        <v>6500</v>
      </c>
      <c r="M168" s="4">
        <f>FastenersPriceList3[[#This Row],[SINGLE PC. WT.]]*FastenersPriceList3[[#This Row],[Rate / PER kg (₹)]]</f>
        <v>44.4925</v>
      </c>
    </row>
    <row r="169" spans="1:13" ht="22.05" customHeight="1" x14ac:dyDescent="0.3">
      <c r="A169" s="2" t="s">
        <v>1491</v>
      </c>
      <c r="B169" s="12" t="s">
        <v>8</v>
      </c>
      <c r="C169" s="12">
        <v>8.8000000000000007</v>
      </c>
      <c r="D169" s="2">
        <v>362.75</v>
      </c>
      <c r="E169" s="2">
        <f>FastenersPriceList3[[#This Row],[1000 PCS/WT.]]/1000</f>
        <v>0.36275000000000002</v>
      </c>
      <c r="F169" s="2" t="s">
        <v>172</v>
      </c>
      <c r="G169" s="6" t="s">
        <v>1329</v>
      </c>
      <c r="H169" s="70">
        <v>50</v>
      </c>
      <c r="I169" s="72">
        <f>FastenersPriceList3[[#This Row],[Quantity (kg)]]/FastenersPriceList3[[#This Row],[SINGLE PC. WT.]]</f>
        <v>137.83597518952445</v>
      </c>
      <c r="J169" s="3">
        <v>130</v>
      </c>
      <c r="K169" s="3">
        <f>FastenersPriceList3[[#This Row],[1000 PCS/WT.]]*FastenersPriceList3[[#This Row],[Rate / PER kg (₹)]]</f>
        <v>47157.5</v>
      </c>
      <c r="L169" s="4">
        <f>FastenersPriceList3[[#This Row],[Rate / PER kg (₹)]]*FastenersPriceList3[[#This Row],[Quantity (kg)]]</f>
        <v>6500</v>
      </c>
      <c r="M169" s="4">
        <f>FastenersPriceList3[[#This Row],[SINGLE PC. WT.]]*FastenersPriceList3[[#This Row],[Rate / PER kg (₹)]]</f>
        <v>47.157499999999999</v>
      </c>
    </row>
    <row r="170" spans="1:13" ht="22.05" customHeight="1" x14ac:dyDescent="0.3">
      <c r="A170" s="2" t="s">
        <v>1492</v>
      </c>
      <c r="B170" s="12" t="s">
        <v>8</v>
      </c>
      <c r="C170" s="12">
        <v>8.8000000000000007</v>
      </c>
      <c r="D170" s="2">
        <v>383.25</v>
      </c>
      <c r="E170" s="2">
        <f>FastenersPriceList3[[#This Row],[1000 PCS/WT.]]/1000</f>
        <v>0.38324999999999998</v>
      </c>
      <c r="F170" s="2" t="s">
        <v>173</v>
      </c>
      <c r="G170" s="6" t="s">
        <v>1329</v>
      </c>
      <c r="H170" s="70">
        <v>50</v>
      </c>
      <c r="I170" s="72">
        <f>FastenersPriceList3[[#This Row],[Quantity (kg)]]/FastenersPriceList3[[#This Row],[SINGLE PC. WT.]]</f>
        <v>130.4631441617743</v>
      </c>
      <c r="J170" s="3">
        <v>130</v>
      </c>
      <c r="K170" s="3">
        <f>FastenersPriceList3[[#This Row],[1000 PCS/WT.]]*FastenersPriceList3[[#This Row],[Rate / PER kg (₹)]]</f>
        <v>49822.5</v>
      </c>
      <c r="L170" s="4">
        <f>FastenersPriceList3[[#This Row],[Rate / PER kg (₹)]]*FastenersPriceList3[[#This Row],[Quantity (kg)]]</f>
        <v>6500</v>
      </c>
      <c r="M170" s="4">
        <f>FastenersPriceList3[[#This Row],[SINGLE PC. WT.]]*FastenersPriceList3[[#This Row],[Rate / PER kg (₹)]]</f>
        <v>49.822499999999998</v>
      </c>
    </row>
    <row r="171" spans="1:13" ht="22.05" customHeight="1" x14ac:dyDescent="0.3">
      <c r="A171" s="2" t="s">
        <v>1493</v>
      </c>
      <c r="B171" s="12" t="s">
        <v>8</v>
      </c>
      <c r="C171" s="12">
        <v>8.8000000000000007</v>
      </c>
      <c r="D171" s="2">
        <v>403.75</v>
      </c>
      <c r="E171" s="2">
        <f>FastenersPriceList3[[#This Row],[1000 PCS/WT.]]/1000</f>
        <v>0.40375</v>
      </c>
      <c r="F171" s="2" t="s">
        <v>174</v>
      </c>
      <c r="G171" s="6" t="s">
        <v>1329</v>
      </c>
      <c r="H171" s="70">
        <v>50</v>
      </c>
      <c r="I171" s="72">
        <f>FastenersPriceList3[[#This Row],[Quantity (kg)]]/FastenersPriceList3[[#This Row],[SINGLE PC. WT.]]</f>
        <v>123.83900928792569</v>
      </c>
      <c r="J171" s="3">
        <v>130</v>
      </c>
      <c r="K171" s="3">
        <f>FastenersPriceList3[[#This Row],[1000 PCS/WT.]]*FastenersPriceList3[[#This Row],[Rate / PER kg (₹)]]</f>
        <v>52487.5</v>
      </c>
      <c r="L171" s="4">
        <f>FastenersPriceList3[[#This Row],[Rate / PER kg (₹)]]*FastenersPriceList3[[#This Row],[Quantity (kg)]]</f>
        <v>6500</v>
      </c>
      <c r="M171" s="4">
        <f>FastenersPriceList3[[#This Row],[SINGLE PC. WT.]]*FastenersPriceList3[[#This Row],[Rate / PER kg (₹)]]</f>
        <v>52.487499999999997</v>
      </c>
    </row>
    <row r="172" spans="1:13" ht="22.05" customHeight="1" x14ac:dyDescent="0.3">
      <c r="A172" s="2" t="s">
        <v>1494</v>
      </c>
      <c r="B172" s="12" t="s">
        <v>8</v>
      </c>
      <c r="C172" s="12">
        <v>8.8000000000000007</v>
      </c>
      <c r="D172" s="2">
        <v>444.75</v>
      </c>
      <c r="E172" s="2">
        <f>FastenersPriceList3[[#This Row],[1000 PCS/WT.]]/1000</f>
        <v>0.44474999999999998</v>
      </c>
      <c r="F172" s="2" t="s">
        <v>175</v>
      </c>
      <c r="G172" s="6" t="s">
        <v>1329</v>
      </c>
      <c r="H172" s="70">
        <v>50</v>
      </c>
      <c r="I172" s="72">
        <f>FastenersPriceList3[[#This Row],[Quantity (kg)]]/FastenersPriceList3[[#This Row],[SINGLE PC. WT.]]</f>
        <v>112.42270938729624</v>
      </c>
      <c r="J172" s="3">
        <v>130</v>
      </c>
      <c r="K172" s="3">
        <f>FastenersPriceList3[[#This Row],[1000 PCS/WT.]]*FastenersPriceList3[[#This Row],[Rate / PER kg (₹)]]</f>
        <v>57817.5</v>
      </c>
      <c r="L172" s="4">
        <f>FastenersPriceList3[[#This Row],[Rate / PER kg (₹)]]*FastenersPriceList3[[#This Row],[Quantity (kg)]]</f>
        <v>6500</v>
      </c>
      <c r="M172" s="4">
        <f>FastenersPriceList3[[#This Row],[SINGLE PC. WT.]]*FastenersPriceList3[[#This Row],[Rate / PER kg (₹)]]</f>
        <v>57.817499999999995</v>
      </c>
    </row>
    <row r="173" spans="1:13" ht="22.05" customHeight="1" x14ac:dyDescent="0.3">
      <c r="A173" s="2" t="s">
        <v>1495</v>
      </c>
      <c r="B173" s="12" t="s">
        <v>8</v>
      </c>
      <c r="C173" s="12">
        <v>8.8000000000000007</v>
      </c>
      <c r="D173" s="2">
        <v>465.25</v>
      </c>
      <c r="E173" s="2">
        <f>FastenersPriceList3[[#This Row],[1000 PCS/WT.]]/1000</f>
        <v>0.46525</v>
      </c>
      <c r="F173" s="2" t="s">
        <v>176</v>
      </c>
      <c r="G173" s="6" t="s">
        <v>1329</v>
      </c>
      <c r="H173" s="70">
        <v>50</v>
      </c>
      <c r="I173" s="72">
        <f>FastenersPriceList3[[#This Row],[Quantity (kg)]]/FastenersPriceList3[[#This Row],[SINGLE PC. WT.]]</f>
        <v>107.46910263299301</v>
      </c>
      <c r="J173" s="3">
        <v>135</v>
      </c>
      <c r="K173" s="3">
        <f>FastenersPriceList3[[#This Row],[1000 PCS/WT.]]*FastenersPriceList3[[#This Row],[Rate / PER kg (₹)]]</f>
        <v>62808.75</v>
      </c>
      <c r="L173" s="4">
        <f>FastenersPriceList3[[#This Row],[Rate / PER kg (₹)]]*FastenersPriceList3[[#This Row],[Quantity (kg)]]</f>
        <v>6750</v>
      </c>
      <c r="M173" s="4">
        <f>FastenersPriceList3[[#This Row],[SINGLE PC. WT.]]*FastenersPriceList3[[#This Row],[Rate / PER kg (₹)]]</f>
        <v>62.808749999999996</v>
      </c>
    </row>
    <row r="174" spans="1:13" ht="22.05" customHeight="1" x14ac:dyDescent="0.3">
      <c r="A174" s="2" t="s">
        <v>1496</v>
      </c>
      <c r="B174" s="12" t="s">
        <v>8</v>
      </c>
      <c r="C174" s="12">
        <v>8.8000000000000007</v>
      </c>
      <c r="D174" s="2">
        <v>485.75</v>
      </c>
      <c r="E174" s="2">
        <f>FastenersPriceList3[[#This Row],[1000 PCS/WT.]]/1000</f>
        <v>0.48575000000000002</v>
      </c>
      <c r="F174" s="2" t="s">
        <v>177</v>
      </c>
      <c r="G174" s="6" t="s">
        <v>1329</v>
      </c>
      <c r="H174" s="70">
        <v>50</v>
      </c>
      <c r="I174" s="72">
        <f>FastenersPriceList3[[#This Row],[Quantity (kg)]]/FastenersPriceList3[[#This Row],[SINGLE PC. WT.]]</f>
        <v>102.93360782295419</v>
      </c>
      <c r="J174" s="3">
        <v>135</v>
      </c>
      <c r="K174" s="3">
        <f>FastenersPriceList3[[#This Row],[1000 PCS/WT.]]*FastenersPriceList3[[#This Row],[Rate / PER kg (₹)]]</f>
        <v>65576.25</v>
      </c>
      <c r="L174" s="4">
        <f>FastenersPriceList3[[#This Row],[Rate / PER kg (₹)]]*FastenersPriceList3[[#This Row],[Quantity (kg)]]</f>
        <v>6750</v>
      </c>
      <c r="M174" s="4">
        <f>FastenersPriceList3[[#This Row],[SINGLE PC. WT.]]*FastenersPriceList3[[#This Row],[Rate / PER kg (₹)]]</f>
        <v>65.576250000000002</v>
      </c>
    </row>
    <row r="175" spans="1:13" ht="22.05" customHeight="1" x14ac:dyDescent="0.3">
      <c r="A175" s="2" t="s">
        <v>1497</v>
      </c>
      <c r="B175" s="12" t="s">
        <v>8</v>
      </c>
      <c r="C175" s="12">
        <v>8.8000000000000007</v>
      </c>
      <c r="D175" s="2">
        <v>183</v>
      </c>
      <c r="E175" s="2">
        <f>FastenersPriceList3[[#This Row],[1000 PCS/WT.]]/1000</f>
        <v>0.183</v>
      </c>
      <c r="F175" s="2" t="s">
        <v>636</v>
      </c>
      <c r="G175" s="6" t="s">
        <v>1329</v>
      </c>
      <c r="H175" s="70">
        <v>50</v>
      </c>
      <c r="I175" s="72">
        <f>FastenersPriceList3[[#This Row],[Quantity (kg)]]/FastenersPriceList3[[#This Row],[SINGLE PC. WT.]]</f>
        <v>273.22404371584702</v>
      </c>
      <c r="J175" s="3">
        <v>130</v>
      </c>
      <c r="K175" s="3">
        <f>FastenersPriceList3[[#This Row],[1000 PCS/WT.]]*FastenersPriceList3[[#This Row],[Rate / PER kg (₹)]]</f>
        <v>23790</v>
      </c>
      <c r="L175" s="4">
        <f>FastenersPriceList3[[#This Row],[Rate / PER kg (₹)]]*FastenersPriceList3[[#This Row],[Quantity (kg)]]</f>
        <v>6500</v>
      </c>
      <c r="M175" s="4">
        <f>FastenersPriceList3[[#This Row],[SINGLE PC. WT.]]*FastenersPriceList3[[#This Row],[Rate / PER kg (₹)]]</f>
        <v>23.79</v>
      </c>
    </row>
    <row r="176" spans="1:13" ht="22.05" customHeight="1" x14ac:dyDescent="0.3">
      <c r="A176" s="2" t="s">
        <v>1498</v>
      </c>
      <c r="B176" s="12" t="s">
        <v>8</v>
      </c>
      <c r="C176" s="12">
        <v>8.8000000000000007</v>
      </c>
      <c r="D176" s="2">
        <v>196</v>
      </c>
      <c r="E176" s="2">
        <f>FastenersPriceList3[[#This Row],[1000 PCS/WT.]]/1000</f>
        <v>0.19600000000000001</v>
      </c>
      <c r="F176" s="2" t="s">
        <v>637</v>
      </c>
      <c r="G176" s="6" t="s">
        <v>1329</v>
      </c>
      <c r="H176" s="70">
        <v>50</v>
      </c>
      <c r="I176" s="72">
        <f>FastenersPriceList3[[#This Row],[Quantity (kg)]]/FastenersPriceList3[[#This Row],[SINGLE PC. WT.]]</f>
        <v>255.10204081632651</v>
      </c>
      <c r="J176" s="3">
        <v>130</v>
      </c>
      <c r="K176" s="3">
        <f>FastenersPriceList3[[#This Row],[1000 PCS/WT.]]*FastenersPriceList3[[#This Row],[Rate / PER kg (₹)]]</f>
        <v>25480</v>
      </c>
      <c r="L176" s="4">
        <f>FastenersPriceList3[[#This Row],[Rate / PER kg (₹)]]*FastenersPriceList3[[#This Row],[Quantity (kg)]]</f>
        <v>6500</v>
      </c>
      <c r="M176" s="4">
        <f>FastenersPriceList3[[#This Row],[SINGLE PC. WT.]]*FastenersPriceList3[[#This Row],[Rate / PER kg (₹)]]</f>
        <v>25.48</v>
      </c>
    </row>
    <row r="177" spans="1:13" ht="22.05" customHeight="1" x14ac:dyDescent="0.3">
      <c r="A177" s="2" t="s">
        <v>1499</v>
      </c>
      <c r="B177" s="12" t="s">
        <v>8</v>
      </c>
      <c r="C177" s="12">
        <v>8.8000000000000007</v>
      </c>
      <c r="D177" s="2">
        <v>209</v>
      </c>
      <c r="E177" s="2">
        <f>FastenersPriceList3[[#This Row],[1000 PCS/WT.]]/1000</f>
        <v>0.20899999999999999</v>
      </c>
      <c r="F177" s="2" t="s">
        <v>638</v>
      </c>
      <c r="G177" s="6" t="s">
        <v>1329</v>
      </c>
      <c r="H177" s="70">
        <v>50</v>
      </c>
      <c r="I177" s="72">
        <f>FastenersPriceList3[[#This Row],[Quantity (kg)]]/FastenersPriceList3[[#This Row],[SINGLE PC. WT.]]</f>
        <v>239.23444976076556</v>
      </c>
      <c r="J177" s="3">
        <v>130</v>
      </c>
      <c r="K177" s="3">
        <f>FastenersPriceList3[[#This Row],[1000 PCS/WT.]]*FastenersPriceList3[[#This Row],[Rate / PER kg (₹)]]</f>
        <v>27170</v>
      </c>
      <c r="L177" s="4">
        <f>FastenersPriceList3[[#This Row],[Rate / PER kg (₹)]]*FastenersPriceList3[[#This Row],[Quantity (kg)]]</f>
        <v>6500</v>
      </c>
      <c r="M177" s="4">
        <f>FastenersPriceList3[[#This Row],[SINGLE PC. WT.]]*FastenersPriceList3[[#This Row],[Rate / PER kg (₹)]]</f>
        <v>27.169999999999998</v>
      </c>
    </row>
    <row r="178" spans="1:13" ht="22.05" customHeight="1" x14ac:dyDescent="0.3">
      <c r="A178" s="2" t="s">
        <v>1500</v>
      </c>
      <c r="B178" s="12" t="s">
        <v>8</v>
      </c>
      <c r="C178" s="12">
        <v>8.8000000000000007</v>
      </c>
      <c r="D178" s="2">
        <v>222</v>
      </c>
      <c r="E178" s="2">
        <f>FastenersPriceList3[[#This Row],[1000 PCS/WT.]]/1000</f>
        <v>0.222</v>
      </c>
      <c r="F178" s="2" t="s">
        <v>639</v>
      </c>
      <c r="G178" s="6" t="s">
        <v>1329</v>
      </c>
      <c r="H178" s="70">
        <v>50</v>
      </c>
      <c r="I178" s="72">
        <f>FastenersPriceList3[[#This Row],[Quantity (kg)]]/FastenersPriceList3[[#This Row],[SINGLE PC. WT.]]</f>
        <v>225.22522522522522</v>
      </c>
      <c r="J178" s="3">
        <v>130</v>
      </c>
      <c r="K178" s="3">
        <f>FastenersPriceList3[[#This Row],[1000 PCS/WT.]]*FastenersPriceList3[[#This Row],[Rate / PER kg (₹)]]</f>
        <v>28860</v>
      </c>
      <c r="L178" s="4">
        <f>FastenersPriceList3[[#This Row],[Rate / PER kg (₹)]]*FastenersPriceList3[[#This Row],[Quantity (kg)]]</f>
        <v>6500</v>
      </c>
      <c r="M178" s="4">
        <f>FastenersPriceList3[[#This Row],[SINGLE PC. WT.]]*FastenersPriceList3[[#This Row],[Rate / PER kg (₹)]]</f>
        <v>28.86</v>
      </c>
    </row>
    <row r="179" spans="1:13" ht="22.05" customHeight="1" x14ac:dyDescent="0.3">
      <c r="A179" s="2" t="s">
        <v>1501</v>
      </c>
      <c r="B179" s="12" t="s">
        <v>8</v>
      </c>
      <c r="C179" s="12">
        <v>8.8000000000000007</v>
      </c>
      <c r="D179" s="2">
        <v>235</v>
      </c>
      <c r="E179" s="2">
        <f>FastenersPriceList3[[#This Row],[1000 PCS/WT.]]/1000</f>
        <v>0.23499999999999999</v>
      </c>
      <c r="F179" s="2" t="s">
        <v>640</v>
      </c>
      <c r="G179" s="6" t="s">
        <v>1329</v>
      </c>
      <c r="H179" s="70">
        <v>50</v>
      </c>
      <c r="I179" s="72">
        <f>FastenersPriceList3[[#This Row],[Quantity (kg)]]/FastenersPriceList3[[#This Row],[SINGLE PC. WT.]]</f>
        <v>212.76595744680853</v>
      </c>
      <c r="J179" s="3">
        <v>130</v>
      </c>
      <c r="K179" s="3">
        <f>FastenersPriceList3[[#This Row],[1000 PCS/WT.]]*FastenersPriceList3[[#This Row],[Rate / PER kg (₹)]]</f>
        <v>30550</v>
      </c>
      <c r="L179" s="4">
        <f>FastenersPriceList3[[#This Row],[Rate / PER kg (₹)]]*FastenersPriceList3[[#This Row],[Quantity (kg)]]</f>
        <v>6500</v>
      </c>
      <c r="M179" s="4">
        <f>FastenersPriceList3[[#This Row],[SINGLE PC. WT.]]*FastenersPriceList3[[#This Row],[Rate / PER kg (₹)]]</f>
        <v>30.549999999999997</v>
      </c>
    </row>
    <row r="180" spans="1:13" ht="22.05" customHeight="1" x14ac:dyDescent="0.3">
      <c r="A180" s="2" t="s">
        <v>1502</v>
      </c>
      <c r="B180" s="12" t="s">
        <v>8</v>
      </c>
      <c r="C180" s="12">
        <v>8.8000000000000007</v>
      </c>
      <c r="D180" s="2">
        <v>248</v>
      </c>
      <c r="E180" s="2">
        <f>FastenersPriceList3[[#This Row],[1000 PCS/WT.]]/1000</f>
        <v>0.248</v>
      </c>
      <c r="F180" s="2" t="s">
        <v>641</v>
      </c>
      <c r="G180" s="6" t="s">
        <v>1329</v>
      </c>
      <c r="H180" s="70">
        <v>50</v>
      </c>
      <c r="I180" s="72">
        <f>FastenersPriceList3[[#This Row],[Quantity (kg)]]/FastenersPriceList3[[#This Row],[SINGLE PC. WT.]]</f>
        <v>201.61290322580646</v>
      </c>
      <c r="J180" s="3">
        <v>130</v>
      </c>
      <c r="K180" s="3">
        <f>FastenersPriceList3[[#This Row],[1000 PCS/WT.]]*FastenersPriceList3[[#This Row],[Rate / PER kg (₹)]]</f>
        <v>32240</v>
      </c>
      <c r="L180" s="4">
        <f>FastenersPriceList3[[#This Row],[Rate / PER kg (₹)]]*FastenersPriceList3[[#This Row],[Quantity (kg)]]</f>
        <v>6500</v>
      </c>
      <c r="M180" s="4">
        <f>FastenersPriceList3[[#This Row],[SINGLE PC. WT.]]*FastenersPriceList3[[#This Row],[Rate / PER kg (₹)]]</f>
        <v>32.24</v>
      </c>
    </row>
    <row r="181" spans="1:13" ht="22.05" customHeight="1" x14ac:dyDescent="0.3">
      <c r="A181" s="2" t="s">
        <v>1503</v>
      </c>
      <c r="B181" s="12" t="s">
        <v>8</v>
      </c>
      <c r="C181" s="12">
        <v>8.8000000000000007</v>
      </c>
      <c r="D181" s="2">
        <v>261</v>
      </c>
      <c r="E181" s="2">
        <f>FastenersPriceList3[[#This Row],[1000 PCS/WT.]]/1000</f>
        <v>0.26100000000000001</v>
      </c>
      <c r="F181" s="2" t="s">
        <v>642</v>
      </c>
      <c r="G181" s="6" t="s">
        <v>1329</v>
      </c>
      <c r="H181" s="70">
        <v>50</v>
      </c>
      <c r="I181" s="72">
        <f>FastenersPriceList3[[#This Row],[Quantity (kg)]]/FastenersPriceList3[[#This Row],[SINGLE PC. WT.]]</f>
        <v>191.57088122605364</v>
      </c>
      <c r="J181" s="3">
        <v>130</v>
      </c>
      <c r="K181" s="3">
        <f>FastenersPriceList3[[#This Row],[1000 PCS/WT.]]*FastenersPriceList3[[#This Row],[Rate / PER kg (₹)]]</f>
        <v>33930</v>
      </c>
      <c r="L181" s="4">
        <f>FastenersPriceList3[[#This Row],[Rate / PER kg (₹)]]*FastenersPriceList3[[#This Row],[Quantity (kg)]]</f>
        <v>6500</v>
      </c>
      <c r="M181" s="4">
        <f>FastenersPriceList3[[#This Row],[SINGLE PC. WT.]]*FastenersPriceList3[[#This Row],[Rate / PER kg (₹)]]</f>
        <v>33.93</v>
      </c>
    </row>
    <row r="182" spans="1:13" ht="22.05" customHeight="1" x14ac:dyDescent="0.3">
      <c r="A182" s="2" t="s">
        <v>1504</v>
      </c>
      <c r="B182" s="12" t="s">
        <v>8</v>
      </c>
      <c r="C182" s="12">
        <v>8.8000000000000007</v>
      </c>
      <c r="D182" s="2">
        <v>274</v>
      </c>
      <c r="E182" s="2">
        <f>FastenersPriceList3[[#This Row],[1000 PCS/WT.]]/1000</f>
        <v>0.27400000000000002</v>
      </c>
      <c r="F182" s="2" t="s">
        <v>643</v>
      </c>
      <c r="G182" s="6" t="s">
        <v>1329</v>
      </c>
      <c r="H182" s="70">
        <v>50</v>
      </c>
      <c r="I182" s="72">
        <f>FastenersPriceList3[[#This Row],[Quantity (kg)]]/FastenersPriceList3[[#This Row],[SINGLE PC. WT.]]</f>
        <v>182.48175182481751</v>
      </c>
      <c r="J182" s="3">
        <v>130</v>
      </c>
      <c r="K182" s="3">
        <f>FastenersPriceList3[[#This Row],[1000 PCS/WT.]]*FastenersPriceList3[[#This Row],[Rate / PER kg (₹)]]</f>
        <v>35620</v>
      </c>
      <c r="L182" s="4">
        <f>FastenersPriceList3[[#This Row],[Rate / PER kg (₹)]]*FastenersPriceList3[[#This Row],[Quantity (kg)]]</f>
        <v>6500</v>
      </c>
      <c r="M182" s="4">
        <f>FastenersPriceList3[[#This Row],[SINGLE PC. WT.]]*FastenersPriceList3[[#This Row],[Rate / PER kg (₹)]]</f>
        <v>35.620000000000005</v>
      </c>
    </row>
    <row r="183" spans="1:13" ht="22.05" customHeight="1" x14ac:dyDescent="0.3">
      <c r="A183" s="2" t="s">
        <v>1505</v>
      </c>
      <c r="B183" s="12" t="s">
        <v>8</v>
      </c>
      <c r="C183" s="12">
        <v>8.8000000000000007</v>
      </c>
      <c r="D183" s="2">
        <v>287</v>
      </c>
      <c r="E183" s="2">
        <f>FastenersPriceList3[[#This Row],[1000 PCS/WT.]]/1000</f>
        <v>0.28699999999999998</v>
      </c>
      <c r="F183" s="2" t="s">
        <v>644</v>
      </c>
      <c r="G183" s="6" t="s">
        <v>1329</v>
      </c>
      <c r="H183" s="70">
        <v>50</v>
      </c>
      <c r="I183" s="72">
        <f>FastenersPriceList3[[#This Row],[Quantity (kg)]]/FastenersPriceList3[[#This Row],[SINGLE PC. WT.]]</f>
        <v>174.21602787456447</v>
      </c>
      <c r="J183" s="3">
        <v>130</v>
      </c>
      <c r="K183" s="3">
        <f>FastenersPriceList3[[#This Row],[1000 PCS/WT.]]*FastenersPriceList3[[#This Row],[Rate / PER kg (₹)]]</f>
        <v>37310</v>
      </c>
      <c r="L183" s="4">
        <f>FastenersPriceList3[[#This Row],[Rate / PER kg (₹)]]*FastenersPriceList3[[#This Row],[Quantity (kg)]]</f>
        <v>6500</v>
      </c>
      <c r="M183" s="4">
        <f>FastenersPriceList3[[#This Row],[SINGLE PC. WT.]]*FastenersPriceList3[[#This Row],[Rate / PER kg (₹)]]</f>
        <v>37.309999999999995</v>
      </c>
    </row>
    <row r="184" spans="1:13" ht="22.05" customHeight="1" x14ac:dyDescent="0.3">
      <c r="A184" s="2" t="s">
        <v>1506</v>
      </c>
      <c r="B184" s="12" t="s">
        <v>8</v>
      </c>
      <c r="C184" s="12">
        <v>8.8000000000000007</v>
      </c>
      <c r="D184" s="2">
        <v>300</v>
      </c>
      <c r="E184" s="2">
        <f>FastenersPriceList3[[#This Row],[1000 PCS/WT.]]/1000</f>
        <v>0.3</v>
      </c>
      <c r="F184" s="2" t="s">
        <v>645</v>
      </c>
      <c r="G184" s="6" t="s">
        <v>1329</v>
      </c>
      <c r="H184" s="70">
        <v>50</v>
      </c>
      <c r="I184" s="72">
        <f>FastenersPriceList3[[#This Row],[Quantity (kg)]]/FastenersPriceList3[[#This Row],[SINGLE PC. WT.]]</f>
        <v>166.66666666666669</v>
      </c>
      <c r="J184" s="3">
        <v>130</v>
      </c>
      <c r="K184" s="3">
        <f>FastenersPriceList3[[#This Row],[1000 PCS/WT.]]*FastenersPriceList3[[#This Row],[Rate / PER kg (₹)]]</f>
        <v>39000</v>
      </c>
      <c r="L184" s="4">
        <f>FastenersPriceList3[[#This Row],[Rate / PER kg (₹)]]*FastenersPriceList3[[#This Row],[Quantity (kg)]]</f>
        <v>6500</v>
      </c>
      <c r="M184" s="4">
        <f>FastenersPriceList3[[#This Row],[SINGLE PC. WT.]]*FastenersPriceList3[[#This Row],[Rate / PER kg (₹)]]</f>
        <v>39</v>
      </c>
    </row>
    <row r="185" spans="1:13" ht="22.05" customHeight="1" x14ac:dyDescent="0.3">
      <c r="A185" s="2" t="s">
        <v>1507</v>
      </c>
      <c r="B185" s="12" t="s">
        <v>8</v>
      </c>
      <c r="C185" s="12">
        <v>8.8000000000000007</v>
      </c>
      <c r="D185" s="2">
        <v>313</v>
      </c>
      <c r="E185" s="2">
        <f>FastenersPriceList3[[#This Row],[1000 PCS/WT.]]/1000</f>
        <v>0.313</v>
      </c>
      <c r="F185" s="2" t="s">
        <v>646</v>
      </c>
      <c r="G185" s="6" t="s">
        <v>1329</v>
      </c>
      <c r="H185" s="70">
        <v>50</v>
      </c>
      <c r="I185" s="72">
        <f>FastenersPriceList3[[#This Row],[Quantity (kg)]]/FastenersPriceList3[[#This Row],[SINGLE PC. WT.]]</f>
        <v>159.7444089456869</v>
      </c>
      <c r="J185" s="3">
        <v>130</v>
      </c>
      <c r="K185" s="3">
        <f>FastenersPriceList3[[#This Row],[1000 PCS/WT.]]*FastenersPriceList3[[#This Row],[Rate / PER kg (₹)]]</f>
        <v>40690</v>
      </c>
      <c r="L185" s="4">
        <f>FastenersPriceList3[[#This Row],[Rate / PER kg (₹)]]*FastenersPriceList3[[#This Row],[Quantity (kg)]]</f>
        <v>6500</v>
      </c>
      <c r="M185" s="4">
        <f>FastenersPriceList3[[#This Row],[SINGLE PC. WT.]]*FastenersPriceList3[[#This Row],[Rate / PER kg (₹)]]</f>
        <v>40.69</v>
      </c>
    </row>
    <row r="186" spans="1:13" ht="22.05" customHeight="1" x14ac:dyDescent="0.3">
      <c r="A186" s="2" t="s">
        <v>1508</v>
      </c>
      <c r="B186" s="12" t="s">
        <v>8</v>
      </c>
      <c r="C186" s="12">
        <v>8.8000000000000007</v>
      </c>
      <c r="D186" s="2">
        <v>326</v>
      </c>
      <c r="E186" s="2">
        <f>FastenersPriceList3[[#This Row],[1000 PCS/WT.]]/1000</f>
        <v>0.32600000000000001</v>
      </c>
      <c r="F186" s="2" t="s">
        <v>647</v>
      </c>
      <c r="G186" s="6" t="s">
        <v>1329</v>
      </c>
      <c r="H186" s="70">
        <v>50</v>
      </c>
      <c r="I186" s="72">
        <f>FastenersPriceList3[[#This Row],[Quantity (kg)]]/FastenersPriceList3[[#This Row],[SINGLE PC. WT.]]</f>
        <v>153.37423312883436</v>
      </c>
      <c r="J186" s="3">
        <v>130</v>
      </c>
      <c r="K186" s="3">
        <f>FastenersPriceList3[[#This Row],[1000 PCS/WT.]]*FastenersPriceList3[[#This Row],[Rate / PER kg (₹)]]</f>
        <v>42380</v>
      </c>
      <c r="L186" s="4">
        <f>FastenersPriceList3[[#This Row],[Rate / PER kg (₹)]]*FastenersPriceList3[[#This Row],[Quantity (kg)]]</f>
        <v>6500</v>
      </c>
      <c r="M186" s="4">
        <f>FastenersPriceList3[[#This Row],[SINGLE PC. WT.]]*FastenersPriceList3[[#This Row],[Rate / PER kg (₹)]]</f>
        <v>42.38</v>
      </c>
    </row>
    <row r="187" spans="1:13" ht="22.05" customHeight="1" x14ac:dyDescent="0.3">
      <c r="A187" s="2" t="s">
        <v>1509</v>
      </c>
      <c r="B187" s="12" t="s">
        <v>8</v>
      </c>
      <c r="C187" s="12">
        <v>8.8000000000000007</v>
      </c>
      <c r="D187" s="2">
        <v>339</v>
      </c>
      <c r="E187" s="2">
        <f>FastenersPriceList3[[#This Row],[1000 PCS/WT.]]/1000</f>
        <v>0.33900000000000002</v>
      </c>
      <c r="F187" s="2" t="s">
        <v>648</v>
      </c>
      <c r="G187" s="6" t="s">
        <v>1329</v>
      </c>
      <c r="H187" s="70">
        <v>50</v>
      </c>
      <c r="I187" s="72">
        <f>FastenersPriceList3[[#This Row],[Quantity (kg)]]/FastenersPriceList3[[#This Row],[SINGLE PC. WT.]]</f>
        <v>147.49262536873155</v>
      </c>
      <c r="J187" s="3">
        <v>130</v>
      </c>
      <c r="K187" s="3">
        <f>FastenersPriceList3[[#This Row],[1000 PCS/WT.]]*FastenersPriceList3[[#This Row],[Rate / PER kg (₹)]]</f>
        <v>44070</v>
      </c>
      <c r="L187" s="4">
        <f>FastenersPriceList3[[#This Row],[Rate / PER kg (₹)]]*FastenersPriceList3[[#This Row],[Quantity (kg)]]</f>
        <v>6500</v>
      </c>
      <c r="M187" s="4">
        <f>FastenersPriceList3[[#This Row],[SINGLE PC. WT.]]*FastenersPriceList3[[#This Row],[Rate / PER kg (₹)]]</f>
        <v>44.07</v>
      </c>
    </row>
    <row r="188" spans="1:13" ht="22.05" customHeight="1" x14ac:dyDescent="0.3">
      <c r="A188" s="2" t="s">
        <v>1510</v>
      </c>
      <c r="B188" s="12" t="s">
        <v>8</v>
      </c>
      <c r="C188" s="12">
        <v>8.8000000000000007</v>
      </c>
      <c r="D188" s="2">
        <v>352</v>
      </c>
      <c r="E188" s="2">
        <f>FastenersPriceList3[[#This Row],[1000 PCS/WT.]]/1000</f>
        <v>0.35199999999999998</v>
      </c>
      <c r="F188" s="2" t="s">
        <v>649</v>
      </c>
      <c r="G188" s="6" t="s">
        <v>1329</v>
      </c>
      <c r="H188" s="70">
        <v>50</v>
      </c>
      <c r="I188" s="72">
        <f>FastenersPriceList3[[#This Row],[Quantity (kg)]]/FastenersPriceList3[[#This Row],[SINGLE PC. WT.]]</f>
        <v>142.04545454545456</v>
      </c>
      <c r="J188" s="3">
        <v>130</v>
      </c>
      <c r="K188" s="3">
        <f>FastenersPriceList3[[#This Row],[1000 PCS/WT.]]*FastenersPriceList3[[#This Row],[Rate / PER kg (₹)]]</f>
        <v>45760</v>
      </c>
      <c r="L188" s="4">
        <f>FastenersPriceList3[[#This Row],[Rate / PER kg (₹)]]*FastenersPriceList3[[#This Row],[Quantity (kg)]]</f>
        <v>6500</v>
      </c>
      <c r="M188" s="4">
        <f>FastenersPriceList3[[#This Row],[SINGLE PC. WT.]]*FastenersPriceList3[[#This Row],[Rate / PER kg (₹)]]</f>
        <v>45.76</v>
      </c>
    </row>
    <row r="189" spans="1:13" ht="22.05" customHeight="1" x14ac:dyDescent="0.3">
      <c r="A189" s="2" t="s">
        <v>1511</v>
      </c>
      <c r="B189" s="12" t="s">
        <v>8</v>
      </c>
      <c r="C189" s="12">
        <v>8.8000000000000007</v>
      </c>
      <c r="D189" s="2">
        <v>377</v>
      </c>
      <c r="E189" s="2">
        <f>FastenersPriceList3[[#This Row],[1000 PCS/WT.]]/1000</f>
        <v>0.377</v>
      </c>
      <c r="F189" s="2" t="s">
        <v>650</v>
      </c>
      <c r="G189" s="6" t="s">
        <v>1329</v>
      </c>
      <c r="H189" s="70">
        <v>50</v>
      </c>
      <c r="I189" s="72">
        <f>FastenersPriceList3[[#This Row],[Quantity (kg)]]/FastenersPriceList3[[#This Row],[SINGLE PC. WT.]]</f>
        <v>132.62599469496021</v>
      </c>
      <c r="J189" s="3">
        <v>135</v>
      </c>
      <c r="K189" s="3">
        <f>FastenersPriceList3[[#This Row],[1000 PCS/WT.]]*FastenersPriceList3[[#This Row],[Rate / PER kg (₹)]]</f>
        <v>50895</v>
      </c>
      <c r="L189" s="4">
        <f>FastenersPriceList3[[#This Row],[Rate / PER kg (₹)]]*FastenersPriceList3[[#This Row],[Quantity (kg)]]</f>
        <v>6750</v>
      </c>
      <c r="M189" s="4">
        <f>FastenersPriceList3[[#This Row],[SINGLE PC. WT.]]*FastenersPriceList3[[#This Row],[Rate / PER kg (₹)]]</f>
        <v>50.895000000000003</v>
      </c>
    </row>
    <row r="190" spans="1:13" ht="22.05" customHeight="1" x14ac:dyDescent="0.3">
      <c r="A190" s="2" t="s">
        <v>1512</v>
      </c>
      <c r="B190" s="12" t="s">
        <v>8</v>
      </c>
      <c r="C190" s="12">
        <v>8.8000000000000007</v>
      </c>
      <c r="D190" s="2">
        <v>402</v>
      </c>
      <c r="E190" s="2">
        <f>FastenersPriceList3[[#This Row],[1000 PCS/WT.]]/1000</f>
        <v>0.40200000000000002</v>
      </c>
      <c r="F190" s="2" t="s">
        <v>651</v>
      </c>
      <c r="G190" s="6" t="s">
        <v>1329</v>
      </c>
      <c r="H190" s="70">
        <v>50</v>
      </c>
      <c r="I190" s="72">
        <f>FastenersPriceList3[[#This Row],[Quantity (kg)]]/FastenersPriceList3[[#This Row],[SINGLE PC. WT.]]</f>
        <v>124.37810945273631</v>
      </c>
      <c r="J190" s="3">
        <v>135</v>
      </c>
      <c r="K190" s="3">
        <f>FastenersPriceList3[[#This Row],[1000 PCS/WT.]]*FastenersPriceList3[[#This Row],[Rate / PER kg (₹)]]</f>
        <v>54270</v>
      </c>
      <c r="L190" s="4">
        <f>FastenersPriceList3[[#This Row],[Rate / PER kg (₹)]]*FastenersPriceList3[[#This Row],[Quantity (kg)]]</f>
        <v>6750</v>
      </c>
      <c r="M190" s="4">
        <f>FastenersPriceList3[[#This Row],[SINGLE PC. WT.]]*FastenersPriceList3[[#This Row],[Rate / PER kg (₹)]]</f>
        <v>54.27</v>
      </c>
    </row>
    <row r="191" spans="1:13" ht="22.05" customHeight="1" x14ac:dyDescent="0.3">
      <c r="A191" s="2" t="s">
        <v>1513</v>
      </c>
      <c r="B191" s="12" t="s">
        <v>8</v>
      </c>
      <c r="C191" s="12">
        <v>8.8000000000000007</v>
      </c>
      <c r="D191" s="2">
        <v>427</v>
      </c>
      <c r="E191" s="2">
        <f>FastenersPriceList3[[#This Row],[1000 PCS/WT.]]/1000</f>
        <v>0.42699999999999999</v>
      </c>
      <c r="F191" s="2" t="s">
        <v>652</v>
      </c>
      <c r="G191" s="6" t="s">
        <v>1329</v>
      </c>
      <c r="H191" s="70">
        <v>50</v>
      </c>
      <c r="I191" s="72">
        <f>FastenersPriceList3[[#This Row],[Quantity (kg)]]/FastenersPriceList3[[#This Row],[SINGLE PC. WT.]]</f>
        <v>117.096018735363</v>
      </c>
      <c r="J191" s="3">
        <v>135</v>
      </c>
      <c r="K191" s="3">
        <f>FastenersPriceList3[[#This Row],[1000 PCS/WT.]]*FastenersPriceList3[[#This Row],[Rate / PER kg (₹)]]</f>
        <v>57645</v>
      </c>
      <c r="L191" s="4">
        <f>FastenersPriceList3[[#This Row],[Rate / PER kg (₹)]]*FastenersPriceList3[[#This Row],[Quantity (kg)]]</f>
        <v>6750</v>
      </c>
      <c r="M191" s="4">
        <f>FastenersPriceList3[[#This Row],[SINGLE PC. WT.]]*FastenersPriceList3[[#This Row],[Rate / PER kg (₹)]]</f>
        <v>57.644999999999996</v>
      </c>
    </row>
    <row r="192" spans="1:13" ht="22.05" customHeight="1" x14ac:dyDescent="0.3">
      <c r="A192" s="2" t="s">
        <v>1514</v>
      </c>
      <c r="B192" s="12" t="s">
        <v>8</v>
      </c>
      <c r="C192" s="12">
        <v>8.8000000000000007</v>
      </c>
      <c r="D192" s="2">
        <v>452</v>
      </c>
      <c r="E192" s="2">
        <f>FastenersPriceList3[[#This Row],[1000 PCS/WT.]]/1000</f>
        <v>0.45200000000000001</v>
      </c>
      <c r="F192" s="2" t="s">
        <v>653</v>
      </c>
      <c r="G192" s="6" t="s">
        <v>1329</v>
      </c>
      <c r="H192" s="70">
        <v>50</v>
      </c>
      <c r="I192" s="72">
        <f>FastenersPriceList3[[#This Row],[Quantity (kg)]]/FastenersPriceList3[[#This Row],[SINGLE PC. WT.]]</f>
        <v>110.61946902654867</v>
      </c>
      <c r="J192" s="3">
        <v>135</v>
      </c>
      <c r="K192" s="3">
        <f>FastenersPriceList3[[#This Row],[1000 PCS/WT.]]*FastenersPriceList3[[#This Row],[Rate / PER kg (₹)]]</f>
        <v>61020</v>
      </c>
      <c r="L192" s="4">
        <f>FastenersPriceList3[[#This Row],[Rate / PER kg (₹)]]*FastenersPriceList3[[#This Row],[Quantity (kg)]]</f>
        <v>6750</v>
      </c>
      <c r="M192" s="4">
        <f>FastenersPriceList3[[#This Row],[SINGLE PC. WT.]]*FastenersPriceList3[[#This Row],[Rate / PER kg (₹)]]</f>
        <v>61.02</v>
      </c>
    </row>
    <row r="193" spans="1:13" ht="22.05" customHeight="1" x14ac:dyDescent="0.3">
      <c r="A193" s="2" t="s">
        <v>1515</v>
      </c>
      <c r="B193" s="12" t="s">
        <v>8</v>
      </c>
      <c r="C193" s="12">
        <v>8.8000000000000007</v>
      </c>
      <c r="D193" s="2">
        <v>477</v>
      </c>
      <c r="E193" s="2">
        <f>FastenersPriceList3[[#This Row],[1000 PCS/WT.]]/1000</f>
        <v>0.47699999999999998</v>
      </c>
      <c r="F193" s="2" t="s">
        <v>654</v>
      </c>
      <c r="G193" s="6" t="s">
        <v>1329</v>
      </c>
      <c r="H193" s="70">
        <v>50</v>
      </c>
      <c r="I193" s="72">
        <f>FastenersPriceList3[[#This Row],[Quantity (kg)]]/FastenersPriceList3[[#This Row],[SINGLE PC. WT.]]</f>
        <v>104.82180293501048</v>
      </c>
      <c r="J193" s="3">
        <v>135</v>
      </c>
      <c r="K193" s="3">
        <f>FastenersPriceList3[[#This Row],[1000 PCS/WT.]]*FastenersPriceList3[[#This Row],[Rate / PER kg (₹)]]</f>
        <v>64395</v>
      </c>
      <c r="L193" s="4">
        <f>FastenersPriceList3[[#This Row],[Rate / PER kg (₹)]]*FastenersPriceList3[[#This Row],[Quantity (kg)]]</f>
        <v>6750</v>
      </c>
      <c r="M193" s="4">
        <f>FastenersPriceList3[[#This Row],[SINGLE PC. WT.]]*FastenersPriceList3[[#This Row],[Rate / PER kg (₹)]]</f>
        <v>64.394999999999996</v>
      </c>
    </row>
    <row r="194" spans="1:13" ht="22.05" customHeight="1" x14ac:dyDescent="0.3">
      <c r="A194" s="2" t="s">
        <v>1516</v>
      </c>
      <c r="B194" s="12" t="s">
        <v>8</v>
      </c>
      <c r="C194" s="12">
        <v>8.8000000000000007</v>
      </c>
      <c r="D194" s="2">
        <v>502</v>
      </c>
      <c r="E194" s="2">
        <f>FastenersPriceList3[[#This Row],[1000 PCS/WT.]]/1000</f>
        <v>0.502</v>
      </c>
      <c r="F194" s="2" t="s">
        <v>655</v>
      </c>
      <c r="G194" s="6" t="s">
        <v>1329</v>
      </c>
      <c r="H194" s="70">
        <v>50</v>
      </c>
      <c r="I194" s="72">
        <f>FastenersPriceList3[[#This Row],[Quantity (kg)]]/FastenersPriceList3[[#This Row],[SINGLE PC. WT.]]</f>
        <v>99.601593625498012</v>
      </c>
      <c r="J194" s="3">
        <v>135</v>
      </c>
      <c r="K194" s="3">
        <f>FastenersPriceList3[[#This Row],[1000 PCS/WT.]]*FastenersPriceList3[[#This Row],[Rate / PER kg (₹)]]</f>
        <v>67770</v>
      </c>
      <c r="L194" s="4">
        <f>FastenersPriceList3[[#This Row],[Rate / PER kg (₹)]]*FastenersPriceList3[[#This Row],[Quantity (kg)]]</f>
        <v>6750</v>
      </c>
      <c r="M194" s="4">
        <f>FastenersPriceList3[[#This Row],[SINGLE PC. WT.]]*FastenersPriceList3[[#This Row],[Rate / PER kg (₹)]]</f>
        <v>67.77</v>
      </c>
    </row>
    <row r="195" spans="1:13" ht="22.05" customHeight="1" x14ac:dyDescent="0.3">
      <c r="A195" s="2" t="s">
        <v>1517</v>
      </c>
      <c r="B195" s="12" t="s">
        <v>8</v>
      </c>
      <c r="C195" s="12">
        <v>8.8000000000000007</v>
      </c>
      <c r="D195" s="2">
        <v>527</v>
      </c>
      <c r="E195" s="2">
        <f>FastenersPriceList3[[#This Row],[1000 PCS/WT.]]/1000</f>
        <v>0.52700000000000002</v>
      </c>
      <c r="F195" s="2" t="s">
        <v>656</v>
      </c>
      <c r="G195" s="6" t="s">
        <v>1329</v>
      </c>
      <c r="H195" s="70">
        <v>50</v>
      </c>
      <c r="I195" s="72">
        <f>FastenersPriceList3[[#This Row],[Quantity (kg)]]/FastenersPriceList3[[#This Row],[SINGLE PC. WT.]]</f>
        <v>94.876660341555976</v>
      </c>
      <c r="J195" s="3">
        <v>135</v>
      </c>
      <c r="K195" s="3">
        <f>FastenersPriceList3[[#This Row],[1000 PCS/WT.]]*FastenersPriceList3[[#This Row],[Rate / PER kg (₹)]]</f>
        <v>71145</v>
      </c>
      <c r="L195" s="4">
        <f>FastenersPriceList3[[#This Row],[Rate / PER kg (₹)]]*FastenersPriceList3[[#This Row],[Quantity (kg)]]</f>
        <v>6750</v>
      </c>
      <c r="M195" s="4">
        <f>FastenersPriceList3[[#This Row],[SINGLE PC. WT.]]*FastenersPriceList3[[#This Row],[Rate / PER kg (₹)]]</f>
        <v>71.14500000000001</v>
      </c>
    </row>
    <row r="196" spans="1:13" ht="22.05" customHeight="1" x14ac:dyDescent="0.3">
      <c r="A196" s="2" t="s">
        <v>1518</v>
      </c>
      <c r="B196" s="12" t="s">
        <v>8</v>
      </c>
      <c r="C196" s="12">
        <v>8.8000000000000007</v>
      </c>
      <c r="D196" s="2">
        <v>552</v>
      </c>
      <c r="E196" s="2">
        <f>FastenersPriceList3[[#This Row],[1000 PCS/WT.]]/1000</f>
        <v>0.55200000000000005</v>
      </c>
      <c r="F196" s="2" t="s">
        <v>657</v>
      </c>
      <c r="G196" s="6" t="s">
        <v>1329</v>
      </c>
      <c r="H196" s="70">
        <v>50</v>
      </c>
      <c r="I196" s="72">
        <f>FastenersPriceList3[[#This Row],[Quantity (kg)]]/FastenersPriceList3[[#This Row],[SINGLE PC. WT.]]</f>
        <v>90.579710144927532</v>
      </c>
      <c r="J196" s="3">
        <v>135</v>
      </c>
      <c r="K196" s="3">
        <f>FastenersPriceList3[[#This Row],[1000 PCS/WT.]]*FastenersPriceList3[[#This Row],[Rate / PER kg (₹)]]</f>
        <v>74520</v>
      </c>
      <c r="L196" s="4">
        <f>FastenersPriceList3[[#This Row],[Rate / PER kg (₹)]]*FastenersPriceList3[[#This Row],[Quantity (kg)]]</f>
        <v>6750</v>
      </c>
      <c r="M196" s="4">
        <f>FastenersPriceList3[[#This Row],[SINGLE PC. WT.]]*FastenersPriceList3[[#This Row],[Rate / PER kg (₹)]]</f>
        <v>74.52000000000001</v>
      </c>
    </row>
    <row r="197" spans="1:13" ht="22.05" customHeight="1" x14ac:dyDescent="0.3">
      <c r="A197" s="2" t="s">
        <v>1519</v>
      </c>
      <c r="B197" s="12" t="s">
        <v>8</v>
      </c>
      <c r="C197" s="12">
        <v>8.8000000000000007</v>
      </c>
      <c r="D197" s="2">
        <v>577</v>
      </c>
      <c r="E197" s="2">
        <f>FastenersPriceList3[[#This Row],[1000 PCS/WT.]]/1000</f>
        <v>0.57699999999999996</v>
      </c>
      <c r="F197" s="2" t="s">
        <v>658</v>
      </c>
      <c r="G197" s="6" t="s">
        <v>1329</v>
      </c>
      <c r="H197" s="70">
        <v>50</v>
      </c>
      <c r="I197" s="72">
        <f>FastenersPriceList3[[#This Row],[Quantity (kg)]]/FastenersPriceList3[[#This Row],[SINGLE PC. WT.]]</f>
        <v>86.655112651646448</v>
      </c>
      <c r="J197" s="3">
        <v>135</v>
      </c>
      <c r="K197" s="3">
        <f>FastenersPriceList3[[#This Row],[1000 PCS/WT.]]*FastenersPriceList3[[#This Row],[Rate / PER kg (₹)]]</f>
        <v>77895</v>
      </c>
      <c r="L197" s="4">
        <f>FastenersPriceList3[[#This Row],[Rate / PER kg (₹)]]*FastenersPriceList3[[#This Row],[Quantity (kg)]]</f>
        <v>6750</v>
      </c>
      <c r="M197" s="4">
        <f>FastenersPriceList3[[#This Row],[SINGLE PC. WT.]]*FastenersPriceList3[[#This Row],[Rate / PER kg (₹)]]</f>
        <v>77.894999999999996</v>
      </c>
    </row>
    <row r="198" spans="1:13" ht="22.05" customHeight="1" x14ac:dyDescent="0.3">
      <c r="A198" s="2" t="s">
        <v>1520</v>
      </c>
      <c r="B198" s="12" t="s">
        <v>8</v>
      </c>
      <c r="C198" s="12">
        <v>8.8000000000000007</v>
      </c>
      <c r="D198" s="2">
        <v>602</v>
      </c>
      <c r="E198" s="2">
        <f>FastenersPriceList3[[#This Row],[1000 PCS/WT.]]/1000</f>
        <v>0.60199999999999998</v>
      </c>
      <c r="F198" s="2" t="s">
        <v>659</v>
      </c>
      <c r="G198" s="6" t="s">
        <v>1329</v>
      </c>
      <c r="H198" s="70">
        <v>50</v>
      </c>
      <c r="I198" s="72">
        <f>FastenersPriceList3[[#This Row],[Quantity (kg)]]/FastenersPriceList3[[#This Row],[SINGLE PC. WT.]]</f>
        <v>83.056478405315616</v>
      </c>
      <c r="J198" s="3">
        <v>135</v>
      </c>
      <c r="K198" s="3">
        <f>FastenersPriceList3[[#This Row],[1000 PCS/WT.]]*FastenersPriceList3[[#This Row],[Rate / PER kg (₹)]]</f>
        <v>81270</v>
      </c>
      <c r="L198" s="4">
        <f>FastenersPriceList3[[#This Row],[Rate / PER kg (₹)]]*FastenersPriceList3[[#This Row],[Quantity (kg)]]</f>
        <v>6750</v>
      </c>
      <c r="M198" s="4">
        <f>FastenersPriceList3[[#This Row],[SINGLE PC. WT.]]*FastenersPriceList3[[#This Row],[Rate / PER kg (₹)]]</f>
        <v>81.27</v>
      </c>
    </row>
    <row r="199" spans="1:13" ht="22.05" customHeight="1" x14ac:dyDescent="0.3">
      <c r="A199" s="2" t="s">
        <v>1521</v>
      </c>
      <c r="B199" s="12" t="s">
        <v>8</v>
      </c>
      <c r="C199" s="12">
        <v>8.8000000000000007</v>
      </c>
      <c r="D199" s="2">
        <v>247</v>
      </c>
      <c r="E199" s="2">
        <f>FastenersPriceList3[[#This Row],[1000 PCS/WT.]]/1000</f>
        <v>0.247</v>
      </c>
      <c r="F199" s="2" t="s">
        <v>660</v>
      </c>
      <c r="G199" s="6" t="s">
        <v>1329</v>
      </c>
      <c r="H199" s="70">
        <v>50</v>
      </c>
      <c r="I199" s="72">
        <f>FastenersPriceList3[[#This Row],[Quantity (kg)]]/FastenersPriceList3[[#This Row],[SINGLE PC. WT.]]</f>
        <v>202.42914979757086</v>
      </c>
      <c r="J199" s="3">
        <v>130</v>
      </c>
      <c r="K199" s="3">
        <f>FastenersPriceList3[[#This Row],[1000 PCS/WT.]]*FastenersPriceList3[[#This Row],[Rate / PER kg (₹)]]</f>
        <v>32110</v>
      </c>
      <c r="L199" s="4">
        <f>FastenersPriceList3[[#This Row],[Rate / PER kg (₹)]]*FastenersPriceList3[[#This Row],[Quantity (kg)]]</f>
        <v>6500</v>
      </c>
      <c r="M199" s="4">
        <f>FastenersPriceList3[[#This Row],[SINGLE PC. WT.]]*FastenersPriceList3[[#This Row],[Rate / PER kg (₹)]]</f>
        <v>32.11</v>
      </c>
    </row>
    <row r="200" spans="1:13" ht="22.05" customHeight="1" x14ac:dyDescent="0.3">
      <c r="A200" s="2" t="s">
        <v>1522</v>
      </c>
      <c r="B200" s="12" t="s">
        <v>8</v>
      </c>
      <c r="C200" s="12">
        <v>8.8000000000000007</v>
      </c>
      <c r="D200" s="2">
        <v>265</v>
      </c>
      <c r="E200" s="2">
        <f>FastenersPriceList3[[#This Row],[1000 PCS/WT.]]/1000</f>
        <v>0.26500000000000001</v>
      </c>
      <c r="F200" s="2" t="s">
        <v>661</v>
      </c>
      <c r="G200" s="6" t="s">
        <v>1329</v>
      </c>
      <c r="H200" s="70">
        <v>50</v>
      </c>
      <c r="I200" s="72">
        <f>FastenersPriceList3[[#This Row],[Quantity (kg)]]/FastenersPriceList3[[#This Row],[SINGLE PC. WT.]]</f>
        <v>188.67924528301887</v>
      </c>
      <c r="J200" s="3">
        <v>130</v>
      </c>
      <c r="K200" s="3">
        <f>FastenersPriceList3[[#This Row],[1000 PCS/WT.]]*FastenersPriceList3[[#This Row],[Rate / PER kg (₹)]]</f>
        <v>34450</v>
      </c>
      <c r="L200" s="4">
        <f>FastenersPriceList3[[#This Row],[Rate / PER kg (₹)]]*FastenersPriceList3[[#This Row],[Quantity (kg)]]</f>
        <v>6500</v>
      </c>
      <c r="M200" s="4">
        <f>FastenersPriceList3[[#This Row],[SINGLE PC. WT.]]*FastenersPriceList3[[#This Row],[Rate / PER kg (₹)]]</f>
        <v>34.450000000000003</v>
      </c>
    </row>
    <row r="201" spans="1:13" ht="22.05" customHeight="1" x14ac:dyDescent="0.3">
      <c r="A201" s="2" t="s">
        <v>1523</v>
      </c>
      <c r="B201" s="12" t="s">
        <v>8</v>
      </c>
      <c r="C201" s="12">
        <v>8.8000000000000007</v>
      </c>
      <c r="D201" s="2">
        <v>283</v>
      </c>
      <c r="E201" s="2">
        <f>FastenersPriceList3[[#This Row],[1000 PCS/WT.]]/1000</f>
        <v>0.28299999999999997</v>
      </c>
      <c r="F201" s="2" t="s">
        <v>662</v>
      </c>
      <c r="G201" s="6" t="s">
        <v>1329</v>
      </c>
      <c r="H201" s="70">
        <v>50</v>
      </c>
      <c r="I201" s="72">
        <f>FastenersPriceList3[[#This Row],[Quantity (kg)]]/FastenersPriceList3[[#This Row],[SINGLE PC. WT.]]</f>
        <v>176.67844522968198</v>
      </c>
      <c r="J201" s="3">
        <v>130</v>
      </c>
      <c r="K201" s="3">
        <f>FastenersPriceList3[[#This Row],[1000 PCS/WT.]]*FastenersPriceList3[[#This Row],[Rate / PER kg (₹)]]</f>
        <v>36790</v>
      </c>
      <c r="L201" s="4">
        <f>FastenersPriceList3[[#This Row],[Rate / PER kg (₹)]]*FastenersPriceList3[[#This Row],[Quantity (kg)]]</f>
        <v>6500</v>
      </c>
      <c r="M201" s="4">
        <f>FastenersPriceList3[[#This Row],[SINGLE PC. WT.]]*FastenersPriceList3[[#This Row],[Rate / PER kg (₹)]]</f>
        <v>36.79</v>
      </c>
    </row>
    <row r="202" spans="1:13" ht="22.05" customHeight="1" x14ac:dyDescent="0.3">
      <c r="A202" s="2" t="s">
        <v>1524</v>
      </c>
      <c r="B202" s="12" t="s">
        <v>8</v>
      </c>
      <c r="C202" s="12">
        <v>8.8000000000000007</v>
      </c>
      <c r="D202" s="2">
        <v>301</v>
      </c>
      <c r="E202" s="2">
        <f>FastenersPriceList3[[#This Row],[1000 PCS/WT.]]/1000</f>
        <v>0.30099999999999999</v>
      </c>
      <c r="F202" s="2" t="s">
        <v>663</v>
      </c>
      <c r="G202" s="6" t="s">
        <v>1329</v>
      </c>
      <c r="H202" s="70">
        <v>50</v>
      </c>
      <c r="I202" s="72">
        <f>FastenersPriceList3[[#This Row],[Quantity (kg)]]/FastenersPriceList3[[#This Row],[SINGLE PC. WT.]]</f>
        <v>166.11295681063123</v>
      </c>
      <c r="J202" s="3">
        <v>130</v>
      </c>
      <c r="K202" s="3">
        <f>FastenersPriceList3[[#This Row],[1000 PCS/WT.]]*FastenersPriceList3[[#This Row],[Rate / PER kg (₹)]]</f>
        <v>39130</v>
      </c>
      <c r="L202" s="4">
        <f>FastenersPriceList3[[#This Row],[Rate / PER kg (₹)]]*FastenersPriceList3[[#This Row],[Quantity (kg)]]</f>
        <v>6500</v>
      </c>
      <c r="M202" s="4">
        <f>FastenersPriceList3[[#This Row],[SINGLE PC. WT.]]*FastenersPriceList3[[#This Row],[Rate / PER kg (₹)]]</f>
        <v>39.129999999999995</v>
      </c>
    </row>
    <row r="203" spans="1:13" ht="22.05" customHeight="1" x14ac:dyDescent="0.3">
      <c r="A203" s="2" t="s">
        <v>1525</v>
      </c>
      <c r="B203" s="12" t="s">
        <v>8</v>
      </c>
      <c r="C203" s="12">
        <v>8.8000000000000007</v>
      </c>
      <c r="D203" s="2">
        <v>319</v>
      </c>
      <c r="E203" s="2">
        <f>FastenersPriceList3[[#This Row],[1000 PCS/WT.]]/1000</f>
        <v>0.31900000000000001</v>
      </c>
      <c r="F203" s="2" t="s">
        <v>664</v>
      </c>
      <c r="G203" s="6" t="s">
        <v>1329</v>
      </c>
      <c r="H203" s="70">
        <v>50</v>
      </c>
      <c r="I203" s="72">
        <f>FastenersPriceList3[[#This Row],[Quantity (kg)]]/FastenersPriceList3[[#This Row],[SINGLE PC. WT.]]</f>
        <v>156.73981191222569</v>
      </c>
      <c r="J203" s="3">
        <v>130</v>
      </c>
      <c r="K203" s="3">
        <f>FastenersPriceList3[[#This Row],[1000 PCS/WT.]]*FastenersPriceList3[[#This Row],[Rate / PER kg (₹)]]</f>
        <v>41470</v>
      </c>
      <c r="L203" s="4">
        <f>FastenersPriceList3[[#This Row],[Rate / PER kg (₹)]]*FastenersPriceList3[[#This Row],[Quantity (kg)]]</f>
        <v>6500</v>
      </c>
      <c r="M203" s="4">
        <f>FastenersPriceList3[[#This Row],[SINGLE PC. WT.]]*FastenersPriceList3[[#This Row],[Rate / PER kg (₹)]]</f>
        <v>41.47</v>
      </c>
    </row>
    <row r="204" spans="1:13" ht="22.05" customHeight="1" x14ac:dyDescent="0.3">
      <c r="A204" s="2" t="s">
        <v>1526</v>
      </c>
      <c r="B204" s="12" t="s">
        <v>8</v>
      </c>
      <c r="C204" s="12">
        <v>8.8000000000000007</v>
      </c>
      <c r="D204" s="2">
        <v>337</v>
      </c>
      <c r="E204" s="2">
        <f>FastenersPriceList3[[#This Row],[1000 PCS/WT.]]/1000</f>
        <v>0.33700000000000002</v>
      </c>
      <c r="F204" s="2" t="s">
        <v>665</v>
      </c>
      <c r="G204" s="6" t="s">
        <v>1329</v>
      </c>
      <c r="H204" s="70">
        <v>50</v>
      </c>
      <c r="I204" s="72">
        <f>FastenersPriceList3[[#This Row],[Quantity (kg)]]/FastenersPriceList3[[#This Row],[SINGLE PC. WT.]]</f>
        <v>148.36795252225519</v>
      </c>
      <c r="J204" s="3">
        <v>130</v>
      </c>
      <c r="K204" s="3">
        <f>FastenersPriceList3[[#This Row],[1000 PCS/WT.]]*FastenersPriceList3[[#This Row],[Rate / PER kg (₹)]]</f>
        <v>43810</v>
      </c>
      <c r="L204" s="4">
        <f>FastenersPriceList3[[#This Row],[Rate / PER kg (₹)]]*FastenersPriceList3[[#This Row],[Quantity (kg)]]</f>
        <v>6500</v>
      </c>
      <c r="M204" s="4">
        <f>FastenersPriceList3[[#This Row],[SINGLE PC. WT.]]*FastenersPriceList3[[#This Row],[Rate / PER kg (₹)]]</f>
        <v>43.81</v>
      </c>
    </row>
    <row r="205" spans="1:13" ht="22.05" customHeight="1" x14ac:dyDescent="0.3">
      <c r="A205" s="2" t="s">
        <v>1527</v>
      </c>
      <c r="B205" s="12" t="s">
        <v>8</v>
      </c>
      <c r="C205" s="12">
        <v>8.8000000000000007</v>
      </c>
      <c r="D205" s="2">
        <v>355</v>
      </c>
      <c r="E205" s="2">
        <f>FastenersPriceList3[[#This Row],[1000 PCS/WT.]]/1000</f>
        <v>0.35499999999999998</v>
      </c>
      <c r="F205" s="2" t="s">
        <v>666</v>
      </c>
      <c r="G205" s="6" t="s">
        <v>1329</v>
      </c>
      <c r="H205" s="70">
        <v>50</v>
      </c>
      <c r="I205" s="72">
        <f>FastenersPriceList3[[#This Row],[Quantity (kg)]]/FastenersPriceList3[[#This Row],[SINGLE PC. WT.]]</f>
        <v>140.84507042253523</v>
      </c>
      <c r="J205" s="3">
        <v>135</v>
      </c>
      <c r="K205" s="3">
        <f>FastenersPriceList3[[#This Row],[1000 PCS/WT.]]*FastenersPriceList3[[#This Row],[Rate / PER kg (₹)]]</f>
        <v>47925</v>
      </c>
      <c r="L205" s="4">
        <f>FastenersPriceList3[[#This Row],[Rate / PER kg (₹)]]*FastenersPriceList3[[#This Row],[Quantity (kg)]]</f>
        <v>6750</v>
      </c>
      <c r="M205" s="4">
        <f>FastenersPriceList3[[#This Row],[SINGLE PC. WT.]]*FastenersPriceList3[[#This Row],[Rate / PER kg (₹)]]</f>
        <v>47.924999999999997</v>
      </c>
    </row>
    <row r="206" spans="1:13" ht="22.05" customHeight="1" x14ac:dyDescent="0.3">
      <c r="A206" s="2" t="s">
        <v>1528</v>
      </c>
      <c r="B206" s="12" t="s">
        <v>8</v>
      </c>
      <c r="C206" s="12">
        <v>8.8000000000000007</v>
      </c>
      <c r="D206" s="2">
        <v>373</v>
      </c>
      <c r="E206" s="2">
        <f>FastenersPriceList3[[#This Row],[1000 PCS/WT.]]/1000</f>
        <v>0.373</v>
      </c>
      <c r="F206" s="2" t="s">
        <v>667</v>
      </c>
      <c r="G206" s="6" t="s">
        <v>1329</v>
      </c>
      <c r="H206" s="70">
        <v>50</v>
      </c>
      <c r="I206" s="72">
        <f>FastenersPriceList3[[#This Row],[Quantity (kg)]]/FastenersPriceList3[[#This Row],[SINGLE PC. WT.]]</f>
        <v>134.04825737265415</v>
      </c>
      <c r="J206" s="3">
        <v>135</v>
      </c>
      <c r="K206" s="3">
        <f>FastenersPriceList3[[#This Row],[1000 PCS/WT.]]*FastenersPriceList3[[#This Row],[Rate / PER kg (₹)]]</f>
        <v>50355</v>
      </c>
      <c r="L206" s="4">
        <f>FastenersPriceList3[[#This Row],[Rate / PER kg (₹)]]*FastenersPriceList3[[#This Row],[Quantity (kg)]]</f>
        <v>6750</v>
      </c>
      <c r="M206" s="4">
        <f>FastenersPriceList3[[#This Row],[SINGLE PC. WT.]]*FastenersPriceList3[[#This Row],[Rate / PER kg (₹)]]</f>
        <v>50.354999999999997</v>
      </c>
    </row>
    <row r="207" spans="1:13" ht="22.05" customHeight="1" x14ac:dyDescent="0.3">
      <c r="A207" s="2" t="s">
        <v>1529</v>
      </c>
      <c r="B207" s="12" t="s">
        <v>8</v>
      </c>
      <c r="C207" s="12">
        <v>8.8000000000000007</v>
      </c>
      <c r="D207" s="2">
        <v>391</v>
      </c>
      <c r="E207" s="2">
        <f>FastenersPriceList3[[#This Row],[1000 PCS/WT.]]/1000</f>
        <v>0.39100000000000001</v>
      </c>
      <c r="F207" s="2" t="s">
        <v>668</v>
      </c>
      <c r="G207" s="6" t="s">
        <v>1329</v>
      </c>
      <c r="H207" s="70">
        <v>50</v>
      </c>
      <c r="I207" s="72">
        <f>FastenersPriceList3[[#This Row],[Quantity (kg)]]/FastenersPriceList3[[#This Row],[SINGLE PC. WT.]]</f>
        <v>127.8772378516624</v>
      </c>
      <c r="J207" s="3">
        <v>135</v>
      </c>
      <c r="K207" s="3">
        <f>FastenersPriceList3[[#This Row],[1000 PCS/WT.]]*FastenersPriceList3[[#This Row],[Rate / PER kg (₹)]]</f>
        <v>52785</v>
      </c>
      <c r="L207" s="4">
        <f>FastenersPriceList3[[#This Row],[Rate / PER kg (₹)]]*FastenersPriceList3[[#This Row],[Quantity (kg)]]</f>
        <v>6750</v>
      </c>
      <c r="M207" s="4">
        <f>FastenersPriceList3[[#This Row],[SINGLE PC. WT.]]*FastenersPriceList3[[#This Row],[Rate / PER kg (₹)]]</f>
        <v>52.785000000000004</v>
      </c>
    </row>
    <row r="208" spans="1:13" ht="22.05" customHeight="1" x14ac:dyDescent="0.3">
      <c r="A208" s="2" t="s">
        <v>1530</v>
      </c>
      <c r="B208" s="12" t="s">
        <v>8</v>
      </c>
      <c r="C208" s="12">
        <v>8.8000000000000007</v>
      </c>
      <c r="D208" s="2">
        <v>409</v>
      </c>
      <c r="E208" s="2">
        <f>FastenersPriceList3[[#This Row],[1000 PCS/WT.]]/1000</f>
        <v>0.40899999999999997</v>
      </c>
      <c r="F208" s="2" t="s">
        <v>669</v>
      </c>
      <c r="G208" s="6" t="s">
        <v>1329</v>
      </c>
      <c r="H208" s="70">
        <v>50</v>
      </c>
      <c r="I208" s="72">
        <f>FastenersPriceList3[[#This Row],[Quantity (kg)]]/FastenersPriceList3[[#This Row],[SINGLE PC. WT.]]</f>
        <v>122.24938875305624</v>
      </c>
      <c r="J208" s="3">
        <v>135</v>
      </c>
      <c r="K208" s="3">
        <f>FastenersPriceList3[[#This Row],[1000 PCS/WT.]]*FastenersPriceList3[[#This Row],[Rate / PER kg (₹)]]</f>
        <v>55215</v>
      </c>
      <c r="L208" s="4">
        <f>FastenersPriceList3[[#This Row],[Rate / PER kg (₹)]]*FastenersPriceList3[[#This Row],[Quantity (kg)]]</f>
        <v>6750</v>
      </c>
      <c r="M208" s="4">
        <f>FastenersPriceList3[[#This Row],[SINGLE PC. WT.]]*FastenersPriceList3[[#This Row],[Rate / PER kg (₹)]]</f>
        <v>55.214999999999996</v>
      </c>
    </row>
    <row r="209" spans="1:13" ht="22.05" customHeight="1" x14ac:dyDescent="0.3">
      <c r="A209" s="2" t="s">
        <v>1531</v>
      </c>
      <c r="B209" s="12" t="s">
        <v>8</v>
      </c>
      <c r="C209" s="12">
        <v>8.8000000000000007</v>
      </c>
      <c r="D209" s="2">
        <v>427</v>
      </c>
      <c r="E209" s="2">
        <f>FastenersPriceList3[[#This Row],[1000 PCS/WT.]]/1000</f>
        <v>0.42699999999999999</v>
      </c>
      <c r="F209" s="2" t="s">
        <v>670</v>
      </c>
      <c r="G209" s="6" t="s">
        <v>1329</v>
      </c>
      <c r="H209" s="70">
        <v>50</v>
      </c>
      <c r="I209" s="72">
        <f>FastenersPriceList3[[#This Row],[Quantity (kg)]]/FastenersPriceList3[[#This Row],[SINGLE PC. WT.]]</f>
        <v>117.096018735363</v>
      </c>
      <c r="J209" s="3">
        <v>135</v>
      </c>
      <c r="K209" s="3">
        <f>FastenersPriceList3[[#This Row],[1000 PCS/WT.]]*FastenersPriceList3[[#This Row],[Rate / PER kg (₹)]]</f>
        <v>57645</v>
      </c>
      <c r="L209" s="4">
        <f>FastenersPriceList3[[#This Row],[Rate / PER kg (₹)]]*FastenersPriceList3[[#This Row],[Quantity (kg)]]</f>
        <v>6750</v>
      </c>
      <c r="M209" s="4">
        <f>FastenersPriceList3[[#This Row],[SINGLE PC. WT.]]*FastenersPriceList3[[#This Row],[Rate / PER kg (₹)]]</f>
        <v>57.644999999999996</v>
      </c>
    </row>
    <row r="210" spans="1:13" ht="22.05" customHeight="1" x14ac:dyDescent="0.3">
      <c r="A210" s="2" t="s">
        <v>1532</v>
      </c>
      <c r="B210" s="12" t="s">
        <v>8</v>
      </c>
      <c r="C210" s="12">
        <v>8.8000000000000007</v>
      </c>
      <c r="D210" s="2">
        <v>445</v>
      </c>
      <c r="E210" s="2">
        <f>FastenersPriceList3[[#This Row],[1000 PCS/WT.]]/1000</f>
        <v>0.44500000000000001</v>
      </c>
      <c r="F210" s="2" t="s">
        <v>671</v>
      </c>
      <c r="G210" s="6" t="s">
        <v>1329</v>
      </c>
      <c r="H210" s="70">
        <v>50</v>
      </c>
      <c r="I210" s="72">
        <f>FastenersPriceList3[[#This Row],[Quantity (kg)]]/FastenersPriceList3[[#This Row],[SINGLE PC. WT.]]</f>
        <v>112.35955056179775</v>
      </c>
      <c r="J210" s="3">
        <v>135</v>
      </c>
      <c r="K210" s="3">
        <f>FastenersPriceList3[[#This Row],[1000 PCS/WT.]]*FastenersPriceList3[[#This Row],[Rate / PER kg (₹)]]</f>
        <v>60075</v>
      </c>
      <c r="L210" s="4">
        <f>FastenersPriceList3[[#This Row],[Rate / PER kg (₹)]]*FastenersPriceList3[[#This Row],[Quantity (kg)]]</f>
        <v>6750</v>
      </c>
      <c r="M210" s="4">
        <f>FastenersPriceList3[[#This Row],[SINGLE PC. WT.]]*FastenersPriceList3[[#This Row],[Rate / PER kg (₹)]]</f>
        <v>60.075000000000003</v>
      </c>
    </row>
    <row r="211" spans="1:13" ht="22.05" customHeight="1" x14ac:dyDescent="0.3">
      <c r="A211" s="2" t="s">
        <v>1533</v>
      </c>
      <c r="B211" s="12" t="s">
        <v>8</v>
      </c>
      <c r="C211" s="12">
        <v>8.8000000000000007</v>
      </c>
      <c r="D211" s="2">
        <v>481</v>
      </c>
      <c r="E211" s="2">
        <f>FastenersPriceList3[[#This Row],[1000 PCS/WT.]]/1000</f>
        <v>0.48099999999999998</v>
      </c>
      <c r="F211" s="2" t="s">
        <v>672</v>
      </c>
      <c r="G211" s="6" t="s">
        <v>1329</v>
      </c>
      <c r="H211" s="70">
        <v>50</v>
      </c>
      <c r="I211" s="72">
        <f>FastenersPriceList3[[#This Row],[Quantity (kg)]]/FastenersPriceList3[[#This Row],[SINGLE PC. WT.]]</f>
        <v>103.95010395010395</v>
      </c>
      <c r="J211" s="3">
        <v>132</v>
      </c>
      <c r="K211" s="3">
        <f>FastenersPriceList3[[#This Row],[1000 PCS/WT.]]*FastenersPriceList3[[#This Row],[Rate / PER kg (₹)]]</f>
        <v>63492</v>
      </c>
      <c r="L211" s="4">
        <f>FastenersPriceList3[[#This Row],[Rate / PER kg (₹)]]*FastenersPriceList3[[#This Row],[Quantity (kg)]]</f>
        <v>6600</v>
      </c>
      <c r="M211" s="4">
        <f>FastenersPriceList3[[#This Row],[SINGLE PC. WT.]]*FastenersPriceList3[[#This Row],[Rate / PER kg (₹)]]</f>
        <v>63.491999999999997</v>
      </c>
    </row>
    <row r="212" spans="1:13" ht="22.05" customHeight="1" x14ac:dyDescent="0.3">
      <c r="A212" s="2" t="s">
        <v>1534</v>
      </c>
      <c r="B212" s="12" t="s">
        <v>8</v>
      </c>
      <c r="C212" s="12">
        <v>8.8000000000000007</v>
      </c>
      <c r="D212" s="2">
        <v>517</v>
      </c>
      <c r="E212" s="2">
        <f>FastenersPriceList3[[#This Row],[1000 PCS/WT.]]/1000</f>
        <v>0.51700000000000002</v>
      </c>
      <c r="F212" s="2" t="s">
        <v>673</v>
      </c>
      <c r="G212" s="6" t="s">
        <v>1329</v>
      </c>
      <c r="H212" s="70">
        <v>50</v>
      </c>
      <c r="I212" s="72">
        <f>FastenersPriceList3[[#This Row],[Quantity (kg)]]/FastenersPriceList3[[#This Row],[SINGLE PC. WT.]]</f>
        <v>96.71179883945841</v>
      </c>
      <c r="J212" s="3">
        <v>132</v>
      </c>
      <c r="K212" s="3">
        <f>FastenersPriceList3[[#This Row],[1000 PCS/WT.]]*FastenersPriceList3[[#This Row],[Rate / PER kg (₹)]]</f>
        <v>68244</v>
      </c>
      <c r="L212" s="4">
        <f>FastenersPriceList3[[#This Row],[Rate / PER kg (₹)]]*FastenersPriceList3[[#This Row],[Quantity (kg)]]</f>
        <v>6600</v>
      </c>
      <c r="M212" s="4">
        <f>FastenersPriceList3[[#This Row],[SINGLE PC. WT.]]*FastenersPriceList3[[#This Row],[Rate / PER kg (₹)]]</f>
        <v>68.244</v>
      </c>
    </row>
    <row r="213" spans="1:13" ht="22.05" customHeight="1" x14ac:dyDescent="0.3">
      <c r="A213" s="2" t="s">
        <v>1535</v>
      </c>
      <c r="B213" s="12" t="s">
        <v>8</v>
      </c>
      <c r="C213" s="12">
        <v>8.8000000000000007</v>
      </c>
      <c r="D213" s="2">
        <v>553</v>
      </c>
      <c r="E213" s="2">
        <f>FastenersPriceList3[[#This Row],[1000 PCS/WT.]]/1000</f>
        <v>0.55300000000000005</v>
      </c>
      <c r="F213" s="2" t="s">
        <v>674</v>
      </c>
      <c r="G213" s="6" t="s">
        <v>1329</v>
      </c>
      <c r="H213" s="70">
        <v>50</v>
      </c>
      <c r="I213" s="72">
        <f>FastenersPriceList3[[#This Row],[Quantity (kg)]]/FastenersPriceList3[[#This Row],[SINGLE PC. WT.]]</f>
        <v>90.415913200723324</v>
      </c>
      <c r="J213" s="3">
        <v>132</v>
      </c>
      <c r="K213" s="3">
        <f>FastenersPriceList3[[#This Row],[1000 PCS/WT.]]*FastenersPriceList3[[#This Row],[Rate / PER kg (₹)]]</f>
        <v>72996</v>
      </c>
      <c r="L213" s="4">
        <f>FastenersPriceList3[[#This Row],[Rate / PER kg (₹)]]*FastenersPriceList3[[#This Row],[Quantity (kg)]]</f>
        <v>6600</v>
      </c>
      <c r="M213" s="4">
        <f>FastenersPriceList3[[#This Row],[SINGLE PC. WT.]]*FastenersPriceList3[[#This Row],[Rate / PER kg (₹)]]</f>
        <v>72.996000000000009</v>
      </c>
    </row>
    <row r="214" spans="1:13" ht="22.05" customHeight="1" x14ac:dyDescent="0.3">
      <c r="A214" s="2" t="s">
        <v>1536</v>
      </c>
      <c r="B214" s="12" t="s">
        <v>8</v>
      </c>
      <c r="C214" s="12">
        <v>8.8000000000000007</v>
      </c>
      <c r="D214" s="2">
        <v>589</v>
      </c>
      <c r="E214" s="2">
        <f>FastenersPriceList3[[#This Row],[1000 PCS/WT.]]/1000</f>
        <v>0.58899999999999997</v>
      </c>
      <c r="F214" s="2" t="s">
        <v>675</v>
      </c>
      <c r="G214" s="6" t="s">
        <v>1329</v>
      </c>
      <c r="H214" s="70">
        <v>50</v>
      </c>
      <c r="I214" s="72">
        <f>FastenersPriceList3[[#This Row],[Quantity (kg)]]/FastenersPriceList3[[#This Row],[SINGLE PC. WT.]]</f>
        <v>84.889643463497464</v>
      </c>
      <c r="J214" s="3">
        <v>132</v>
      </c>
      <c r="K214" s="3">
        <f>FastenersPriceList3[[#This Row],[1000 PCS/WT.]]*FastenersPriceList3[[#This Row],[Rate / PER kg (₹)]]</f>
        <v>77748</v>
      </c>
      <c r="L214" s="4">
        <f>FastenersPriceList3[[#This Row],[Rate / PER kg (₹)]]*FastenersPriceList3[[#This Row],[Quantity (kg)]]</f>
        <v>6600</v>
      </c>
      <c r="M214" s="4">
        <f>FastenersPriceList3[[#This Row],[SINGLE PC. WT.]]*FastenersPriceList3[[#This Row],[Rate / PER kg (₹)]]</f>
        <v>77.74799999999999</v>
      </c>
    </row>
    <row r="215" spans="1:13" ht="22.05" customHeight="1" x14ac:dyDescent="0.3">
      <c r="A215" s="2" t="s">
        <v>1537</v>
      </c>
      <c r="B215" s="12" t="s">
        <v>8</v>
      </c>
      <c r="C215" s="12">
        <v>8.8000000000000007</v>
      </c>
      <c r="D215" s="2">
        <v>625</v>
      </c>
      <c r="E215" s="2">
        <f>FastenersPriceList3[[#This Row],[1000 PCS/WT.]]/1000</f>
        <v>0.625</v>
      </c>
      <c r="F215" s="2" t="s">
        <v>676</v>
      </c>
      <c r="G215" s="6" t="s">
        <v>1329</v>
      </c>
      <c r="H215" s="70">
        <v>50</v>
      </c>
      <c r="I215" s="72">
        <f>FastenersPriceList3[[#This Row],[Quantity (kg)]]/FastenersPriceList3[[#This Row],[SINGLE PC. WT.]]</f>
        <v>80</v>
      </c>
      <c r="J215" s="3">
        <v>132</v>
      </c>
      <c r="K215" s="3">
        <f>FastenersPriceList3[[#This Row],[1000 PCS/WT.]]*FastenersPriceList3[[#This Row],[Rate / PER kg (₹)]]</f>
        <v>82500</v>
      </c>
      <c r="L215" s="4">
        <f>FastenersPriceList3[[#This Row],[Rate / PER kg (₹)]]*FastenersPriceList3[[#This Row],[Quantity (kg)]]</f>
        <v>6600</v>
      </c>
      <c r="M215" s="4">
        <f>FastenersPriceList3[[#This Row],[SINGLE PC. WT.]]*FastenersPriceList3[[#This Row],[Rate / PER kg (₹)]]</f>
        <v>82.5</v>
      </c>
    </row>
    <row r="216" spans="1:13" ht="22.05" customHeight="1" x14ac:dyDescent="0.3">
      <c r="A216" s="2" t="s">
        <v>1538</v>
      </c>
      <c r="B216" s="12" t="s">
        <v>8</v>
      </c>
      <c r="C216" s="12">
        <v>8.8000000000000007</v>
      </c>
      <c r="D216" s="2">
        <v>661</v>
      </c>
      <c r="E216" s="2">
        <f>FastenersPriceList3[[#This Row],[1000 PCS/WT.]]/1000</f>
        <v>0.66100000000000003</v>
      </c>
      <c r="F216" s="2" t="s">
        <v>677</v>
      </c>
      <c r="G216" s="6" t="s">
        <v>1329</v>
      </c>
      <c r="H216" s="70">
        <v>50</v>
      </c>
      <c r="I216" s="72">
        <f>FastenersPriceList3[[#This Row],[Quantity (kg)]]/FastenersPriceList3[[#This Row],[SINGLE PC. WT.]]</f>
        <v>75.642965204236006</v>
      </c>
      <c r="J216" s="3">
        <v>132</v>
      </c>
      <c r="K216" s="3">
        <f>FastenersPriceList3[[#This Row],[1000 PCS/WT.]]*FastenersPriceList3[[#This Row],[Rate / PER kg (₹)]]</f>
        <v>87252</v>
      </c>
      <c r="L216" s="4">
        <f>FastenersPriceList3[[#This Row],[Rate / PER kg (₹)]]*FastenersPriceList3[[#This Row],[Quantity (kg)]]</f>
        <v>6600</v>
      </c>
      <c r="M216" s="4">
        <f>FastenersPriceList3[[#This Row],[SINGLE PC. WT.]]*FastenersPriceList3[[#This Row],[Rate / PER kg (₹)]]</f>
        <v>87.25200000000001</v>
      </c>
    </row>
    <row r="217" spans="1:13" ht="22.05" customHeight="1" x14ac:dyDescent="0.3">
      <c r="A217" s="2" t="s">
        <v>1539</v>
      </c>
      <c r="B217" s="12" t="s">
        <v>8</v>
      </c>
      <c r="C217" s="12">
        <v>8.8000000000000007</v>
      </c>
      <c r="D217" s="2">
        <v>697</v>
      </c>
      <c r="E217" s="2">
        <f>FastenersPriceList3[[#This Row],[1000 PCS/WT.]]/1000</f>
        <v>0.69699999999999995</v>
      </c>
      <c r="F217" s="2" t="s">
        <v>678</v>
      </c>
      <c r="G217" s="6" t="s">
        <v>1329</v>
      </c>
      <c r="H217" s="70">
        <v>50</v>
      </c>
      <c r="I217" s="72">
        <f>FastenersPriceList3[[#This Row],[Quantity (kg)]]/FastenersPriceList3[[#This Row],[SINGLE PC. WT.]]</f>
        <v>71.736011477761835</v>
      </c>
      <c r="J217" s="3">
        <v>132</v>
      </c>
      <c r="K217" s="3">
        <f>FastenersPriceList3[[#This Row],[1000 PCS/WT.]]*FastenersPriceList3[[#This Row],[Rate / PER kg (₹)]]</f>
        <v>92004</v>
      </c>
      <c r="L217" s="4">
        <f>FastenersPriceList3[[#This Row],[Rate / PER kg (₹)]]*FastenersPriceList3[[#This Row],[Quantity (kg)]]</f>
        <v>6600</v>
      </c>
      <c r="M217" s="4">
        <f>FastenersPriceList3[[#This Row],[SINGLE PC. WT.]]*FastenersPriceList3[[#This Row],[Rate / PER kg (₹)]]</f>
        <v>92.003999999999991</v>
      </c>
    </row>
    <row r="218" spans="1:13" ht="22.05" customHeight="1" x14ac:dyDescent="0.3">
      <c r="A218" s="2" t="s">
        <v>1540</v>
      </c>
      <c r="B218" s="12" t="s">
        <v>8</v>
      </c>
      <c r="C218" s="12">
        <v>8.8000000000000007</v>
      </c>
      <c r="D218" s="2">
        <v>733</v>
      </c>
      <c r="E218" s="2">
        <f>FastenersPriceList3[[#This Row],[1000 PCS/WT.]]/1000</f>
        <v>0.73299999999999998</v>
      </c>
      <c r="F218" s="2" t="s">
        <v>679</v>
      </c>
      <c r="G218" s="6" t="s">
        <v>1329</v>
      </c>
      <c r="H218" s="70">
        <v>50</v>
      </c>
      <c r="I218" s="72">
        <f>FastenersPriceList3[[#This Row],[Quantity (kg)]]/FastenersPriceList3[[#This Row],[SINGLE PC. WT.]]</f>
        <v>68.212824010914048</v>
      </c>
      <c r="J218" s="3">
        <v>132</v>
      </c>
      <c r="K218" s="3">
        <f>FastenersPriceList3[[#This Row],[1000 PCS/WT.]]*FastenersPriceList3[[#This Row],[Rate / PER kg (₹)]]</f>
        <v>96756</v>
      </c>
      <c r="L218" s="4">
        <f>FastenersPriceList3[[#This Row],[Rate / PER kg (₹)]]*FastenersPriceList3[[#This Row],[Quantity (kg)]]</f>
        <v>6600</v>
      </c>
      <c r="M218" s="4">
        <f>FastenersPriceList3[[#This Row],[SINGLE PC. WT.]]*FastenersPriceList3[[#This Row],[Rate / PER kg (₹)]]</f>
        <v>96.756</v>
      </c>
    </row>
    <row r="219" spans="1:13" ht="22.05" customHeight="1" x14ac:dyDescent="0.3">
      <c r="A219" s="2" t="s">
        <v>1541</v>
      </c>
      <c r="B219" s="12" t="s">
        <v>8</v>
      </c>
      <c r="C219" s="12">
        <v>8.8000000000000007</v>
      </c>
      <c r="D219" s="2">
        <v>769</v>
      </c>
      <c r="E219" s="2">
        <f>FastenersPriceList3[[#This Row],[1000 PCS/WT.]]/1000</f>
        <v>0.76900000000000002</v>
      </c>
      <c r="F219" s="2" t="s">
        <v>680</v>
      </c>
      <c r="G219" s="6" t="s">
        <v>1329</v>
      </c>
      <c r="H219" s="70">
        <v>50</v>
      </c>
      <c r="I219" s="72">
        <f>FastenersPriceList3[[#This Row],[Quantity (kg)]]/FastenersPriceList3[[#This Row],[SINGLE PC. WT.]]</f>
        <v>65.019505851755525</v>
      </c>
      <c r="J219" s="3">
        <v>132</v>
      </c>
      <c r="K219" s="3">
        <f>FastenersPriceList3[[#This Row],[1000 PCS/WT.]]*FastenersPriceList3[[#This Row],[Rate / PER kg (₹)]]</f>
        <v>101508</v>
      </c>
      <c r="L219" s="4">
        <f>FastenersPriceList3[[#This Row],[Rate / PER kg (₹)]]*FastenersPriceList3[[#This Row],[Quantity (kg)]]</f>
        <v>6600</v>
      </c>
      <c r="M219" s="4">
        <f>FastenersPriceList3[[#This Row],[SINGLE PC. WT.]]*FastenersPriceList3[[#This Row],[Rate / PER kg (₹)]]</f>
        <v>101.508</v>
      </c>
    </row>
    <row r="220" spans="1:13" ht="22.05" customHeight="1" x14ac:dyDescent="0.3">
      <c r="A220" s="2" t="s">
        <v>1542</v>
      </c>
      <c r="B220" s="12" t="s">
        <v>8</v>
      </c>
      <c r="C220" s="12">
        <v>8.8000000000000007</v>
      </c>
      <c r="D220" s="2">
        <v>805</v>
      </c>
      <c r="E220" s="2">
        <f>FastenersPriceList3[[#This Row],[1000 PCS/WT.]]/1000</f>
        <v>0.80500000000000005</v>
      </c>
      <c r="F220" s="2" t="s">
        <v>681</v>
      </c>
      <c r="G220" s="6" t="s">
        <v>1329</v>
      </c>
      <c r="H220" s="70">
        <v>50</v>
      </c>
      <c r="I220" s="72">
        <f>FastenersPriceList3[[#This Row],[Quantity (kg)]]/FastenersPriceList3[[#This Row],[SINGLE PC. WT.]]</f>
        <v>62.11180124223602</v>
      </c>
      <c r="J220" s="3">
        <v>132</v>
      </c>
      <c r="K220" s="3">
        <f>FastenersPriceList3[[#This Row],[1000 PCS/WT.]]*FastenersPriceList3[[#This Row],[Rate / PER kg (₹)]]</f>
        <v>106260</v>
      </c>
      <c r="L220" s="4">
        <f>FastenersPriceList3[[#This Row],[Rate / PER kg (₹)]]*FastenersPriceList3[[#This Row],[Quantity (kg)]]</f>
        <v>6600</v>
      </c>
      <c r="M220" s="4">
        <f>FastenersPriceList3[[#This Row],[SINGLE PC. WT.]]*FastenersPriceList3[[#This Row],[Rate / PER kg (₹)]]</f>
        <v>106.26</v>
      </c>
    </row>
    <row r="221" spans="1:13" ht="22.05" customHeight="1" x14ac:dyDescent="0.3">
      <c r="A221" s="2" t="s">
        <v>1543</v>
      </c>
      <c r="B221" s="12" t="s">
        <v>8</v>
      </c>
      <c r="C221" s="12">
        <v>8.8000000000000007</v>
      </c>
      <c r="D221" s="2">
        <v>350</v>
      </c>
      <c r="E221" s="2">
        <f>FastenersPriceList3[[#This Row],[1000 PCS/WT.]]/1000</f>
        <v>0.35</v>
      </c>
      <c r="F221" s="2" t="s">
        <v>682</v>
      </c>
      <c r="G221" s="6" t="s">
        <v>1329</v>
      </c>
      <c r="H221" s="70">
        <v>50</v>
      </c>
      <c r="I221" s="72">
        <f>FastenersPriceList3[[#This Row],[Quantity (kg)]]/FastenersPriceList3[[#This Row],[SINGLE PC. WT.]]</f>
        <v>142.85714285714286</v>
      </c>
      <c r="J221" s="3">
        <v>130</v>
      </c>
      <c r="K221" s="3">
        <f>FastenersPriceList3[[#This Row],[1000 PCS/WT.]]*FastenersPriceList3[[#This Row],[Rate / PER kg (₹)]]</f>
        <v>45500</v>
      </c>
      <c r="L221" s="4">
        <f>FastenersPriceList3[[#This Row],[Rate / PER kg (₹)]]*FastenersPriceList3[[#This Row],[Quantity (kg)]]</f>
        <v>6500</v>
      </c>
      <c r="M221" s="4">
        <f>FastenersPriceList3[[#This Row],[SINGLE PC. WT.]]*FastenersPriceList3[[#This Row],[Rate / PER kg (₹)]]</f>
        <v>45.5</v>
      </c>
    </row>
    <row r="222" spans="1:13" ht="22.05" customHeight="1" x14ac:dyDescent="0.3">
      <c r="A222" s="2" t="s">
        <v>1544</v>
      </c>
      <c r="B222" s="12" t="s">
        <v>8</v>
      </c>
      <c r="C222" s="12">
        <v>8.8000000000000007</v>
      </c>
      <c r="D222" s="2">
        <v>370</v>
      </c>
      <c r="E222" s="2">
        <f>FastenersPriceList3[[#This Row],[1000 PCS/WT.]]/1000</f>
        <v>0.37</v>
      </c>
      <c r="F222" s="2" t="s">
        <v>683</v>
      </c>
      <c r="G222" s="6" t="s">
        <v>1329</v>
      </c>
      <c r="H222" s="70">
        <v>50</v>
      </c>
      <c r="I222" s="72">
        <f>FastenersPriceList3[[#This Row],[Quantity (kg)]]/FastenersPriceList3[[#This Row],[SINGLE PC. WT.]]</f>
        <v>135.13513513513513</v>
      </c>
      <c r="J222" s="3">
        <v>130</v>
      </c>
      <c r="K222" s="3">
        <f>FastenersPriceList3[[#This Row],[1000 PCS/WT.]]*FastenersPriceList3[[#This Row],[Rate / PER kg (₹)]]</f>
        <v>48100</v>
      </c>
      <c r="L222" s="4">
        <f>FastenersPriceList3[[#This Row],[Rate / PER kg (₹)]]*FastenersPriceList3[[#This Row],[Quantity (kg)]]</f>
        <v>6500</v>
      </c>
      <c r="M222" s="4">
        <f>FastenersPriceList3[[#This Row],[SINGLE PC. WT.]]*FastenersPriceList3[[#This Row],[Rate / PER kg (₹)]]</f>
        <v>48.1</v>
      </c>
    </row>
    <row r="223" spans="1:13" ht="22.05" customHeight="1" x14ac:dyDescent="0.3">
      <c r="A223" s="2" t="s">
        <v>1545</v>
      </c>
      <c r="B223" s="12" t="s">
        <v>8</v>
      </c>
      <c r="C223" s="12">
        <v>8.8000000000000007</v>
      </c>
      <c r="D223" s="2">
        <v>390</v>
      </c>
      <c r="E223" s="2">
        <f>FastenersPriceList3[[#This Row],[1000 PCS/WT.]]/1000</f>
        <v>0.39</v>
      </c>
      <c r="F223" s="2" t="s">
        <v>684</v>
      </c>
      <c r="G223" s="6" t="s">
        <v>1329</v>
      </c>
      <c r="H223" s="70">
        <v>50</v>
      </c>
      <c r="I223" s="72">
        <f>FastenersPriceList3[[#This Row],[Quantity (kg)]]/FastenersPriceList3[[#This Row],[SINGLE PC. WT.]]</f>
        <v>128.2051282051282</v>
      </c>
      <c r="J223" s="3">
        <v>130</v>
      </c>
      <c r="K223" s="3">
        <f>FastenersPriceList3[[#This Row],[1000 PCS/WT.]]*FastenersPriceList3[[#This Row],[Rate / PER kg (₹)]]</f>
        <v>50700</v>
      </c>
      <c r="L223" s="4">
        <f>FastenersPriceList3[[#This Row],[Rate / PER kg (₹)]]*FastenersPriceList3[[#This Row],[Quantity (kg)]]</f>
        <v>6500</v>
      </c>
      <c r="M223" s="4">
        <f>FastenersPriceList3[[#This Row],[SINGLE PC. WT.]]*FastenersPriceList3[[#This Row],[Rate / PER kg (₹)]]</f>
        <v>50.7</v>
      </c>
    </row>
    <row r="224" spans="1:13" ht="22.05" customHeight="1" x14ac:dyDescent="0.3">
      <c r="A224" s="2" t="s">
        <v>1546</v>
      </c>
      <c r="B224" s="12" t="s">
        <v>8</v>
      </c>
      <c r="C224" s="12">
        <v>8.8000000000000007</v>
      </c>
      <c r="D224" s="2">
        <v>410</v>
      </c>
      <c r="E224" s="2">
        <f>FastenersPriceList3[[#This Row],[1000 PCS/WT.]]/1000</f>
        <v>0.41</v>
      </c>
      <c r="F224" s="2" t="s">
        <v>685</v>
      </c>
      <c r="G224" s="6" t="s">
        <v>1329</v>
      </c>
      <c r="H224" s="70">
        <v>50</v>
      </c>
      <c r="I224" s="72">
        <f>FastenersPriceList3[[#This Row],[Quantity (kg)]]/FastenersPriceList3[[#This Row],[SINGLE PC. WT.]]</f>
        <v>121.95121951219512</v>
      </c>
      <c r="J224" s="3">
        <v>130</v>
      </c>
      <c r="K224" s="3">
        <f>FastenersPriceList3[[#This Row],[1000 PCS/WT.]]*FastenersPriceList3[[#This Row],[Rate / PER kg (₹)]]</f>
        <v>53300</v>
      </c>
      <c r="L224" s="4">
        <f>FastenersPriceList3[[#This Row],[Rate / PER kg (₹)]]*FastenersPriceList3[[#This Row],[Quantity (kg)]]</f>
        <v>6500</v>
      </c>
      <c r="M224" s="4">
        <f>FastenersPriceList3[[#This Row],[SINGLE PC. WT.]]*FastenersPriceList3[[#This Row],[Rate / PER kg (₹)]]</f>
        <v>53.3</v>
      </c>
    </row>
    <row r="225" spans="1:13" ht="22.05" customHeight="1" x14ac:dyDescent="0.3">
      <c r="A225" s="2" t="s">
        <v>1547</v>
      </c>
      <c r="B225" s="12" t="s">
        <v>8</v>
      </c>
      <c r="C225" s="12">
        <v>8.8000000000000007</v>
      </c>
      <c r="D225" s="2">
        <v>430</v>
      </c>
      <c r="E225" s="2">
        <f>FastenersPriceList3[[#This Row],[1000 PCS/WT.]]/1000</f>
        <v>0.43</v>
      </c>
      <c r="F225" s="2" t="s">
        <v>686</v>
      </c>
      <c r="G225" s="6" t="s">
        <v>1329</v>
      </c>
      <c r="H225" s="70">
        <v>50</v>
      </c>
      <c r="I225" s="72">
        <f>FastenersPriceList3[[#This Row],[Quantity (kg)]]/FastenersPriceList3[[#This Row],[SINGLE PC. WT.]]</f>
        <v>116.27906976744187</v>
      </c>
      <c r="J225" s="3">
        <v>130</v>
      </c>
      <c r="K225" s="3">
        <f>FastenersPriceList3[[#This Row],[1000 PCS/WT.]]*FastenersPriceList3[[#This Row],[Rate / PER kg (₹)]]</f>
        <v>55900</v>
      </c>
      <c r="L225" s="4">
        <f>FastenersPriceList3[[#This Row],[Rate / PER kg (₹)]]*FastenersPriceList3[[#This Row],[Quantity (kg)]]</f>
        <v>6500</v>
      </c>
      <c r="M225" s="4">
        <f>FastenersPriceList3[[#This Row],[SINGLE PC. WT.]]*FastenersPriceList3[[#This Row],[Rate / PER kg (₹)]]</f>
        <v>55.9</v>
      </c>
    </row>
    <row r="226" spans="1:13" ht="22.05" customHeight="1" x14ac:dyDescent="0.3">
      <c r="A226" s="2" t="s">
        <v>1548</v>
      </c>
      <c r="B226" s="12" t="s">
        <v>8</v>
      </c>
      <c r="C226" s="12">
        <v>8.8000000000000007</v>
      </c>
      <c r="D226" s="2">
        <v>450</v>
      </c>
      <c r="E226" s="2">
        <f>FastenersPriceList3[[#This Row],[1000 PCS/WT.]]/1000</f>
        <v>0.45</v>
      </c>
      <c r="F226" s="2" t="s">
        <v>687</v>
      </c>
      <c r="G226" s="6" t="s">
        <v>1329</v>
      </c>
      <c r="H226" s="70">
        <v>50</v>
      </c>
      <c r="I226" s="72">
        <f>FastenersPriceList3[[#This Row],[Quantity (kg)]]/FastenersPriceList3[[#This Row],[SINGLE PC. WT.]]</f>
        <v>111.11111111111111</v>
      </c>
      <c r="J226" s="3">
        <v>130</v>
      </c>
      <c r="K226" s="3">
        <f>FastenersPriceList3[[#This Row],[1000 PCS/WT.]]*FastenersPriceList3[[#This Row],[Rate / PER kg (₹)]]</f>
        <v>58500</v>
      </c>
      <c r="L226" s="4">
        <f>FastenersPriceList3[[#This Row],[Rate / PER kg (₹)]]*FastenersPriceList3[[#This Row],[Quantity (kg)]]</f>
        <v>6500</v>
      </c>
      <c r="M226" s="4">
        <f>FastenersPriceList3[[#This Row],[SINGLE PC. WT.]]*FastenersPriceList3[[#This Row],[Rate / PER kg (₹)]]</f>
        <v>58.5</v>
      </c>
    </row>
    <row r="227" spans="1:13" ht="22.05" customHeight="1" x14ac:dyDescent="0.3">
      <c r="A227" s="2" t="s">
        <v>1549</v>
      </c>
      <c r="B227" s="12" t="s">
        <v>8</v>
      </c>
      <c r="C227" s="12">
        <v>8.8000000000000007</v>
      </c>
      <c r="D227" s="2">
        <v>470</v>
      </c>
      <c r="E227" s="2">
        <f>FastenersPriceList3[[#This Row],[1000 PCS/WT.]]/1000</f>
        <v>0.47</v>
      </c>
      <c r="F227" s="2" t="s">
        <v>688</v>
      </c>
      <c r="G227" s="6" t="s">
        <v>1329</v>
      </c>
      <c r="H227" s="70">
        <v>50</v>
      </c>
      <c r="I227" s="72">
        <f>FastenersPriceList3[[#This Row],[Quantity (kg)]]/FastenersPriceList3[[#This Row],[SINGLE PC. WT.]]</f>
        <v>106.38297872340426</v>
      </c>
      <c r="J227" s="3">
        <v>130</v>
      </c>
      <c r="K227" s="3">
        <f>FastenersPriceList3[[#This Row],[1000 PCS/WT.]]*FastenersPriceList3[[#This Row],[Rate / PER kg (₹)]]</f>
        <v>61100</v>
      </c>
      <c r="L227" s="4">
        <f>FastenersPriceList3[[#This Row],[Rate / PER kg (₹)]]*FastenersPriceList3[[#This Row],[Quantity (kg)]]</f>
        <v>6500</v>
      </c>
      <c r="M227" s="4">
        <f>FastenersPriceList3[[#This Row],[SINGLE PC. WT.]]*FastenersPriceList3[[#This Row],[Rate / PER kg (₹)]]</f>
        <v>61.099999999999994</v>
      </c>
    </row>
    <row r="228" spans="1:13" ht="22.05" customHeight="1" x14ac:dyDescent="0.3">
      <c r="A228" s="2" t="s">
        <v>1550</v>
      </c>
      <c r="B228" s="12" t="s">
        <v>8</v>
      </c>
      <c r="C228" s="12">
        <v>8.8000000000000007</v>
      </c>
      <c r="D228" s="2">
        <v>490</v>
      </c>
      <c r="E228" s="2">
        <f>FastenersPriceList3[[#This Row],[1000 PCS/WT.]]/1000</f>
        <v>0.49</v>
      </c>
      <c r="F228" s="2" t="s">
        <v>689</v>
      </c>
      <c r="G228" s="6" t="s">
        <v>1329</v>
      </c>
      <c r="H228" s="70">
        <v>50</v>
      </c>
      <c r="I228" s="72">
        <f>FastenersPriceList3[[#This Row],[Quantity (kg)]]/FastenersPriceList3[[#This Row],[SINGLE PC. WT.]]</f>
        <v>102.04081632653062</v>
      </c>
      <c r="J228" s="3">
        <v>130</v>
      </c>
      <c r="K228" s="3">
        <f>FastenersPriceList3[[#This Row],[1000 PCS/WT.]]*FastenersPriceList3[[#This Row],[Rate / PER kg (₹)]]</f>
        <v>63700</v>
      </c>
      <c r="L228" s="4">
        <f>FastenersPriceList3[[#This Row],[Rate / PER kg (₹)]]*FastenersPriceList3[[#This Row],[Quantity (kg)]]</f>
        <v>6500</v>
      </c>
      <c r="M228" s="4">
        <f>FastenersPriceList3[[#This Row],[SINGLE PC. WT.]]*FastenersPriceList3[[#This Row],[Rate / PER kg (₹)]]</f>
        <v>63.699999999999996</v>
      </c>
    </row>
    <row r="229" spans="1:13" ht="22.05" customHeight="1" x14ac:dyDescent="0.3">
      <c r="A229" s="2" t="s">
        <v>1551</v>
      </c>
      <c r="B229" s="12" t="s">
        <v>8</v>
      </c>
      <c r="C229" s="12">
        <v>8.8000000000000007</v>
      </c>
      <c r="D229" s="2">
        <v>510</v>
      </c>
      <c r="E229" s="2">
        <f>FastenersPriceList3[[#This Row],[1000 PCS/WT.]]/1000</f>
        <v>0.51</v>
      </c>
      <c r="F229" s="2" t="s">
        <v>690</v>
      </c>
      <c r="G229" s="6" t="s">
        <v>1329</v>
      </c>
      <c r="H229" s="70">
        <v>50</v>
      </c>
      <c r="I229" s="72">
        <f>FastenersPriceList3[[#This Row],[Quantity (kg)]]/FastenersPriceList3[[#This Row],[SINGLE PC. WT.]]</f>
        <v>98.039215686274503</v>
      </c>
      <c r="J229" s="3">
        <v>130</v>
      </c>
      <c r="K229" s="3">
        <f>FastenersPriceList3[[#This Row],[1000 PCS/WT.]]*FastenersPriceList3[[#This Row],[Rate / PER kg (₹)]]</f>
        <v>66300</v>
      </c>
      <c r="L229" s="4">
        <f>FastenersPriceList3[[#This Row],[Rate / PER kg (₹)]]*FastenersPriceList3[[#This Row],[Quantity (kg)]]</f>
        <v>6500</v>
      </c>
      <c r="M229" s="4">
        <f>FastenersPriceList3[[#This Row],[SINGLE PC. WT.]]*FastenersPriceList3[[#This Row],[Rate / PER kg (₹)]]</f>
        <v>66.3</v>
      </c>
    </row>
    <row r="230" spans="1:13" ht="22.05" customHeight="1" x14ac:dyDescent="0.3">
      <c r="A230" s="2" t="s">
        <v>1552</v>
      </c>
      <c r="B230" s="12" t="s">
        <v>8</v>
      </c>
      <c r="C230" s="12">
        <v>8.8000000000000007</v>
      </c>
      <c r="D230" s="2">
        <v>531</v>
      </c>
      <c r="E230" s="2">
        <f>FastenersPriceList3[[#This Row],[1000 PCS/WT.]]/1000</f>
        <v>0.53100000000000003</v>
      </c>
      <c r="F230" s="2" t="s">
        <v>691</v>
      </c>
      <c r="G230" s="6" t="s">
        <v>1329</v>
      </c>
      <c r="H230" s="70">
        <v>50</v>
      </c>
      <c r="I230" s="72">
        <f>FastenersPriceList3[[#This Row],[Quantity (kg)]]/FastenersPriceList3[[#This Row],[SINGLE PC. WT.]]</f>
        <v>94.161958568738228</v>
      </c>
      <c r="J230" s="3">
        <v>130</v>
      </c>
      <c r="K230" s="3">
        <f>FastenersPriceList3[[#This Row],[1000 PCS/WT.]]*FastenersPriceList3[[#This Row],[Rate / PER kg (₹)]]</f>
        <v>69030</v>
      </c>
      <c r="L230" s="4">
        <f>FastenersPriceList3[[#This Row],[Rate / PER kg (₹)]]*FastenersPriceList3[[#This Row],[Quantity (kg)]]</f>
        <v>6500</v>
      </c>
      <c r="M230" s="4">
        <f>FastenersPriceList3[[#This Row],[SINGLE PC. WT.]]*FastenersPriceList3[[#This Row],[Rate / PER kg (₹)]]</f>
        <v>69.03</v>
      </c>
    </row>
    <row r="231" spans="1:13" ht="22.05" customHeight="1" x14ac:dyDescent="0.3">
      <c r="A231" s="2" t="s">
        <v>1553</v>
      </c>
      <c r="B231" s="12" t="s">
        <v>8</v>
      </c>
      <c r="C231" s="12">
        <v>8.8000000000000007</v>
      </c>
      <c r="D231" s="2">
        <v>552</v>
      </c>
      <c r="E231" s="2">
        <f>FastenersPriceList3[[#This Row],[1000 PCS/WT.]]/1000</f>
        <v>0.55200000000000005</v>
      </c>
      <c r="F231" s="2" t="s">
        <v>692</v>
      </c>
      <c r="G231" s="6" t="s">
        <v>1329</v>
      </c>
      <c r="H231" s="70">
        <v>50</v>
      </c>
      <c r="I231" s="72">
        <f>FastenersPriceList3[[#This Row],[Quantity (kg)]]/FastenersPriceList3[[#This Row],[SINGLE PC. WT.]]</f>
        <v>90.579710144927532</v>
      </c>
      <c r="J231" s="3">
        <v>130</v>
      </c>
      <c r="K231" s="3">
        <f>FastenersPriceList3[[#This Row],[1000 PCS/WT.]]*FastenersPriceList3[[#This Row],[Rate / PER kg (₹)]]</f>
        <v>71760</v>
      </c>
      <c r="L231" s="4">
        <f>FastenersPriceList3[[#This Row],[Rate / PER kg (₹)]]*FastenersPriceList3[[#This Row],[Quantity (kg)]]</f>
        <v>6500</v>
      </c>
      <c r="M231" s="4">
        <f>FastenersPriceList3[[#This Row],[SINGLE PC. WT.]]*FastenersPriceList3[[#This Row],[Rate / PER kg (₹)]]</f>
        <v>71.760000000000005</v>
      </c>
    </row>
    <row r="232" spans="1:13" ht="22.05" customHeight="1" x14ac:dyDescent="0.3">
      <c r="A232" s="2" t="s">
        <v>1554</v>
      </c>
      <c r="B232" s="12" t="s">
        <v>8</v>
      </c>
      <c r="C232" s="12">
        <v>8.8000000000000007</v>
      </c>
      <c r="D232" s="2">
        <v>573</v>
      </c>
      <c r="E232" s="2">
        <f>FastenersPriceList3[[#This Row],[1000 PCS/WT.]]/1000</f>
        <v>0.57299999999999995</v>
      </c>
      <c r="F232" s="2" t="s">
        <v>693</v>
      </c>
      <c r="G232" s="6" t="s">
        <v>1329</v>
      </c>
      <c r="H232" s="70">
        <v>50</v>
      </c>
      <c r="I232" s="72">
        <f>FastenersPriceList3[[#This Row],[Quantity (kg)]]/FastenersPriceList3[[#This Row],[SINGLE PC. WT.]]</f>
        <v>87.260034904013963</v>
      </c>
      <c r="J232" s="3">
        <v>130</v>
      </c>
      <c r="K232" s="3">
        <f>FastenersPriceList3[[#This Row],[1000 PCS/WT.]]*FastenersPriceList3[[#This Row],[Rate / PER kg (₹)]]</f>
        <v>74490</v>
      </c>
      <c r="L232" s="4">
        <f>FastenersPriceList3[[#This Row],[Rate / PER kg (₹)]]*FastenersPriceList3[[#This Row],[Quantity (kg)]]</f>
        <v>6500</v>
      </c>
      <c r="M232" s="4">
        <f>FastenersPriceList3[[#This Row],[SINGLE PC. WT.]]*FastenersPriceList3[[#This Row],[Rate / PER kg (₹)]]</f>
        <v>74.489999999999995</v>
      </c>
    </row>
    <row r="233" spans="1:13" ht="22.05" customHeight="1" x14ac:dyDescent="0.3">
      <c r="A233" s="2" t="s">
        <v>1555</v>
      </c>
      <c r="B233" s="12" t="s">
        <v>8</v>
      </c>
      <c r="C233" s="12">
        <v>8.8000000000000007</v>
      </c>
      <c r="D233" s="2">
        <v>594</v>
      </c>
      <c r="E233" s="2">
        <f>FastenersPriceList3[[#This Row],[1000 PCS/WT.]]/1000</f>
        <v>0.59399999999999997</v>
      </c>
      <c r="F233" s="2" t="s">
        <v>694</v>
      </c>
      <c r="G233" s="6" t="s">
        <v>1329</v>
      </c>
      <c r="H233" s="70">
        <v>50</v>
      </c>
      <c r="I233" s="72">
        <f>FastenersPriceList3[[#This Row],[Quantity (kg)]]/FastenersPriceList3[[#This Row],[SINGLE PC. WT.]]</f>
        <v>84.17508417508418</v>
      </c>
      <c r="J233" s="3">
        <v>130</v>
      </c>
      <c r="K233" s="3">
        <f>FastenersPriceList3[[#This Row],[1000 PCS/WT.]]*FastenersPriceList3[[#This Row],[Rate / PER kg (₹)]]</f>
        <v>77220</v>
      </c>
      <c r="L233" s="4">
        <f>FastenersPriceList3[[#This Row],[Rate / PER kg (₹)]]*FastenersPriceList3[[#This Row],[Quantity (kg)]]</f>
        <v>6500</v>
      </c>
      <c r="M233" s="4">
        <f>FastenersPriceList3[[#This Row],[SINGLE PC. WT.]]*FastenersPriceList3[[#This Row],[Rate / PER kg (₹)]]</f>
        <v>77.22</v>
      </c>
    </row>
    <row r="234" spans="1:13" ht="22.05" customHeight="1" x14ac:dyDescent="0.3">
      <c r="A234" s="2" t="s">
        <v>1556</v>
      </c>
      <c r="B234" s="12" t="s">
        <v>8</v>
      </c>
      <c r="C234" s="12">
        <v>8.8000000000000007</v>
      </c>
      <c r="D234" s="2">
        <v>636</v>
      </c>
      <c r="E234" s="2">
        <f>FastenersPriceList3[[#This Row],[1000 PCS/WT.]]/1000</f>
        <v>0.63600000000000001</v>
      </c>
      <c r="F234" s="2" t="s">
        <v>695</v>
      </c>
      <c r="G234" s="6" t="s">
        <v>1329</v>
      </c>
      <c r="H234" s="70">
        <v>50</v>
      </c>
      <c r="I234" s="72">
        <f>FastenersPriceList3[[#This Row],[Quantity (kg)]]/FastenersPriceList3[[#This Row],[SINGLE PC. WT.]]</f>
        <v>78.616352201257854</v>
      </c>
      <c r="J234" s="3">
        <v>135</v>
      </c>
      <c r="K234" s="3">
        <f>FastenersPriceList3[[#This Row],[1000 PCS/WT.]]*FastenersPriceList3[[#This Row],[Rate / PER kg (₹)]]</f>
        <v>85860</v>
      </c>
      <c r="L234" s="4">
        <f>FastenersPriceList3[[#This Row],[Rate / PER kg (₹)]]*FastenersPriceList3[[#This Row],[Quantity (kg)]]</f>
        <v>6750</v>
      </c>
      <c r="M234" s="4">
        <f>FastenersPriceList3[[#This Row],[SINGLE PC. WT.]]*FastenersPriceList3[[#This Row],[Rate / PER kg (₹)]]</f>
        <v>85.86</v>
      </c>
    </row>
    <row r="235" spans="1:13" ht="22.05" customHeight="1" x14ac:dyDescent="0.3">
      <c r="A235" s="2" t="s">
        <v>1557</v>
      </c>
      <c r="B235" s="12" t="s">
        <v>8</v>
      </c>
      <c r="C235" s="12">
        <v>8.8000000000000007</v>
      </c>
      <c r="D235" s="2">
        <v>678</v>
      </c>
      <c r="E235" s="2">
        <f>FastenersPriceList3[[#This Row],[1000 PCS/WT.]]/1000</f>
        <v>0.67800000000000005</v>
      </c>
      <c r="F235" s="2" t="s">
        <v>696</v>
      </c>
      <c r="G235" s="6" t="s">
        <v>1329</v>
      </c>
      <c r="H235" s="70">
        <v>50</v>
      </c>
      <c r="I235" s="72">
        <f>FastenersPriceList3[[#This Row],[Quantity (kg)]]/FastenersPriceList3[[#This Row],[SINGLE PC. WT.]]</f>
        <v>73.746312684365776</v>
      </c>
      <c r="J235" s="3">
        <v>135</v>
      </c>
      <c r="K235" s="3">
        <f>FastenersPriceList3[[#This Row],[1000 PCS/WT.]]*FastenersPriceList3[[#This Row],[Rate / PER kg (₹)]]</f>
        <v>91530</v>
      </c>
      <c r="L235" s="4">
        <f>FastenersPriceList3[[#This Row],[Rate / PER kg (₹)]]*FastenersPriceList3[[#This Row],[Quantity (kg)]]</f>
        <v>6750</v>
      </c>
      <c r="M235" s="4">
        <f>FastenersPriceList3[[#This Row],[SINGLE PC. WT.]]*FastenersPriceList3[[#This Row],[Rate / PER kg (₹)]]</f>
        <v>91.53</v>
      </c>
    </row>
    <row r="236" spans="1:13" ht="22.05" customHeight="1" x14ac:dyDescent="0.3">
      <c r="A236" s="2" t="s">
        <v>1558</v>
      </c>
      <c r="B236" s="12" t="s">
        <v>8</v>
      </c>
      <c r="C236" s="12">
        <v>8.8000000000000007</v>
      </c>
      <c r="D236" s="2">
        <v>720</v>
      </c>
      <c r="E236" s="2">
        <f>FastenersPriceList3[[#This Row],[1000 PCS/WT.]]/1000</f>
        <v>0.72</v>
      </c>
      <c r="F236" s="2" t="s">
        <v>697</v>
      </c>
      <c r="G236" s="6" t="s">
        <v>1329</v>
      </c>
      <c r="H236" s="70">
        <v>50</v>
      </c>
      <c r="I236" s="72">
        <f>FastenersPriceList3[[#This Row],[Quantity (kg)]]/FastenersPriceList3[[#This Row],[SINGLE PC. WT.]]</f>
        <v>69.444444444444443</v>
      </c>
      <c r="J236" s="3">
        <v>135</v>
      </c>
      <c r="K236" s="3">
        <f>FastenersPriceList3[[#This Row],[1000 PCS/WT.]]*FastenersPriceList3[[#This Row],[Rate / PER kg (₹)]]</f>
        <v>97200</v>
      </c>
      <c r="L236" s="4">
        <f>FastenersPriceList3[[#This Row],[Rate / PER kg (₹)]]*FastenersPriceList3[[#This Row],[Quantity (kg)]]</f>
        <v>6750</v>
      </c>
      <c r="M236" s="4">
        <f>FastenersPriceList3[[#This Row],[SINGLE PC. WT.]]*FastenersPriceList3[[#This Row],[Rate / PER kg (₹)]]</f>
        <v>97.2</v>
      </c>
    </row>
    <row r="237" spans="1:13" ht="22.05" customHeight="1" x14ac:dyDescent="0.3">
      <c r="A237" s="2" t="s">
        <v>1559</v>
      </c>
      <c r="B237" s="12" t="s">
        <v>8</v>
      </c>
      <c r="C237" s="12">
        <v>8.8000000000000007</v>
      </c>
      <c r="D237" s="2">
        <v>762</v>
      </c>
      <c r="E237" s="2">
        <f>FastenersPriceList3[[#This Row],[1000 PCS/WT.]]/1000</f>
        <v>0.76200000000000001</v>
      </c>
      <c r="F237" s="2" t="s">
        <v>698</v>
      </c>
      <c r="G237" s="6" t="s">
        <v>1329</v>
      </c>
      <c r="H237" s="70">
        <v>50</v>
      </c>
      <c r="I237" s="72">
        <f>FastenersPriceList3[[#This Row],[Quantity (kg)]]/FastenersPriceList3[[#This Row],[SINGLE PC. WT.]]</f>
        <v>65.616797900262469</v>
      </c>
      <c r="J237" s="3">
        <v>135</v>
      </c>
      <c r="K237" s="3">
        <f>FastenersPriceList3[[#This Row],[1000 PCS/WT.]]*FastenersPriceList3[[#This Row],[Rate / PER kg (₹)]]</f>
        <v>102870</v>
      </c>
      <c r="L237" s="4">
        <f>FastenersPriceList3[[#This Row],[Rate / PER kg (₹)]]*FastenersPriceList3[[#This Row],[Quantity (kg)]]</f>
        <v>6750</v>
      </c>
      <c r="M237" s="4">
        <f>FastenersPriceList3[[#This Row],[SINGLE PC. WT.]]*FastenersPriceList3[[#This Row],[Rate / PER kg (₹)]]</f>
        <v>102.87</v>
      </c>
    </row>
    <row r="238" spans="1:13" ht="22.05" customHeight="1" x14ac:dyDescent="0.3">
      <c r="A238" s="2" t="s">
        <v>1560</v>
      </c>
      <c r="B238" s="12" t="s">
        <v>8</v>
      </c>
      <c r="C238" s="12">
        <v>8.8000000000000007</v>
      </c>
      <c r="D238" s="2">
        <v>804</v>
      </c>
      <c r="E238" s="2">
        <f>FastenersPriceList3[[#This Row],[1000 PCS/WT.]]/1000</f>
        <v>0.80400000000000005</v>
      </c>
      <c r="F238" s="2" t="s">
        <v>699</v>
      </c>
      <c r="G238" s="6" t="s">
        <v>1329</v>
      </c>
      <c r="H238" s="70">
        <v>50</v>
      </c>
      <c r="I238" s="72">
        <f>FastenersPriceList3[[#This Row],[Quantity (kg)]]/FastenersPriceList3[[#This Row],[SINGLE PC. WT.]]</f>
        <v>62.189054726368155</v>
      </c>
      <c r="J238" s="3">
        <v>135</v>
      </c>
      <c r="K238" s="3">
        <f>FastenersPriceList3[[#This Row],[1000 PCS/WT.]]*FastenersPriceList3[[#This Row],[Rate / PER kg (₹)]]</f>
        <v>108540</v>
      </c>
      <c r="L238" s="4">
        <f>FastenersPriceList3[[#This Row],[Rate / PER kg (₹)]]*FastenersPriceList3[[#This Row],[Quantity (kg)]]</f>
        <v>6750</v>
      </c>
      <c r="M238" s="4">
        <f>FastenersPriceList3[[#This Row],[SINGLE PC. WT.]]*FastenersPriceList3[[#This Row],[Rate / PER kg (₹)]]</f>
        <v>108.54</v>
      </c>
    </row>
    <row r="239" spans="1:13" ht="22.05" customHeight="1" x14ac:dyDescent="0.3">
      <c r="A239" s="2" t="s">
        <v>1561</v>
      </c>
      <c r="B239" s="12" t="s">
        <v>8</v>
      </c>
      <c r="C239" s="12">
        <v>8.8000000000000007</v>
      </c>
      <c r="D239" s="2">
        <v>846</v>
      </c>
      <c r="E239" s="2">
        <f>FastenersPriceList3[[#This Row],[1000 PCS/WT.]]/1000</f>
        <v>0.84599999999999997</v>
      </c>
      <c r="F239" s="2" t="s">
        <v>700</v>
      </c>
      <c r="G239" s="6" t="s">
        <v>1329</v>
      </c>
      <c r="H239" s="70">
        <v>50</v>
      </c>
      <c r="I239" s="72">
        <f>FastenersPriceList3[[#This Row],[Quantity (kg)]]/FastenersPriceList3[[#This Row],[SINGLE PC. WT.]]</f>
        <v>59.101654846335698</v>
      </c>
      <c r="J239" s="3">
        <v>135</v>
      </c>
      <c r="K239" s="3">
        <f>FastenersPriceList3[[#This Row],[1000 PCS/WT.]]*FastenersPriceList3[[#This Row],[Rate / PER kg (₹)]]</f>
        <v>114210</v>
      </c>
      <c r="L239" s="4">
        <f>FastenersPriceList3[[#This Row],[Rate / PER kg (₹)]]*FastenersPriceList3[[#This Row],[Quantity (kg)]]</f>
        <v>6750</v>
      </c>
      <c r="M239" s="4">
        <f>FastenersPriceList3[[#This Row],[SINGLE PC. WT.]]*FastenersPriceList3[[#This Row],[Rate / PER kg (₹)]]</f>
        <v>114.21</v>
      </c>
    </row>
    <row r="240" spans="1:13" ht="22.05" customHeight="1" x14ac:dyDescent="0.3">
      <c r="A240" s="2" t="s">
        <v>1562</v>
      </c>
      <c r="B240" s="12" t="s">
        <v>8</v>
      </c>
      <c r="C240" s="12">
        <v>8.8000000000000007</v>
      </c>
      <c r="D240" s="2">
        <v>888</v>
      </c>
      <c r="E240" s="2">
        <f>FastenersPriceList3[[#This Row],[1000 PCS/WT.]]/1000</f>
        <v>0.88800000000000001</v>
      </c>
      <c r="F240" s="2" t="s">
        <v>701</v>
      </c>
      <c r="G240" s="6" t="s">
        <v>1329</v>
      </c>
      <c r="H240" s="70">
        <v>50</v>
      </c>
      <c r="I240" s="72">
        <f>FastenersPriceList3[[#This Row],[Quantity (kg)]]/FastenersPriceList3[[#This Row],[SINGLE PC. WT.]]</f>
        <v>56.306306306306304</v>
      </c>
      <c r="J240" s="3">
        <v>135</v>
      </c>
      <c r="K240" s="3">
        <f>FastenersPriceList3[[#This Row],[1000 PCS/WT.]]*FastenersPriceList3[[#This Row],[Rate / PER kg (₹)]]</f>
        <v>119880</v>
      </c>
      <c r="L240" s="4">
        <f>FastenersPriceList3[[#This Row],[Rate / PER kg (₹)]]*FastenersPriceList3[[#This Row],[Quantity (kg)]]</f>
        <v>6750</v>
      </c>
      <c r="M240" s="4">
        <f>FastenersPriceList3[[#This Row],[SINGLE PC. WT.]]*FastenersPriceList3[[#This Row],[Rate / PER kg (₹)]]</f>
        <v>119.88</v>
      </c>
    </row>
    <row r="241" spans="1:13" ht="22.05" customHeight="1" x14ac:dyDescent="0.3">
      <c r="A241" s="2" t="s">
        <v>1563</v>
      </c>
      <c r="B241" s="12" t="s">
        <v>8</v>
      </c>
      <c r="C241" s="12">
        <v>8.8000000000000007</v>
      </c>
      <c r="D241" s="2">
        <v>930</v>
      </c>
      <c r="E241" s="2">
        <f>FastenersPriceList3[[#This Row],[1000 PCS/WT.]]/1000</f>
        <v>0.93</v>
      </c>
      <c r="F241" s="2" t="s">
        <v>702</v>
      </c>
      <c r="G241" s="6" t="s">
        <v>1329</v>
      </c>
      <c r="H241" s="70">
        <v>50</v>
      </c>
      <c r="I241" s="72">
        <f>FastenersPriceList3[[#This Row],[Quantity (kg)]]/FastenersPriceList3[[#This Row],[SINGLE PC. WT.]]</f>
        <v>53.763440860215049</v>
      </c>
      <c r="J241" s="3">
        <v>135</v>
      </c>
      <c r="K241" s="3">
        <f>FastenersPriceList3[[#This Row],[1000 PCS/WT.]]*FastenersPriceList3[[#This Row],[Rate / PER kg (₹)]]</f>
        <v>125550</v>
      </c>
      <c r="L241" s="4">
        <f>FastenersPriceList3[[#This Row],[Rate / PER kg (₹)]]*FastenersPriceList3[[#This Row],[Quantity (kg)]]</f>
        <v>6750</v>
      </c>
      <c r="M241" s="4">
        <f>FastenersPriceList3[[#This Row],[SINGLE PC. WT.]]*FastenersPriceList3[[#This Row],[Rate / PER kg (₹)]]</f>
        <v>125.55000000000001</v>
      </c>
    </row>
    <row r="242" spans="1:13" ht="22.05" customHeight="1" x14ac:dyDescent="0.3">
      <c r="A242" s="2" t="s">
        <v>1564</v>
      </c>
      <c r="B242" s="12" t="s">
        <v>8</v>
      </c>
      <c r="C242" s="12">
        <v>8.8000000000000007</v>
      </c>
      <c r="D242" s="2">
        <v>972</v>
      </c>
      <c r="E242" s="2">
        <f>FastenersPriceList3[[#This Row],[1000 PCS/WT.]]/1000</f>
        <v>0.97199999999999998</v>
      </c>
      <c r="F242" s="2" t="s">
        <v>703</v>
      </c>
      <c r="G242" s="6" t="s">
        <v>1329</v>
      </c>
      <c r="H242" s="70">
        <v>50</v>
      </c>
      <c r="I242" s="72">
        <f>FastenersPriceList3[[#This Row],[Quantity (kg)]]/FastenersPriceList3[[#This Row],[SINGLE PC. WT.]]</f>
        <v>51.440329218106996</v>
      </c>
      <c r="J242" s="3">
        <v>135</v>
      </c>
      <c r="K242" s="3">
        <f>FastenersPriceList3[[#This Row],[1000 PCS/WT.]]*FastenersPriceList3[[#This Row],[Rate / PER kg (₹)]]</f>
        <v>131220</v>
      </c>
      <c r="L242" s="4">
        <f>FastenersPriceList3[[#This Row],[Rate / PER kg (₹)]]*FastenersPriceList3[[#This Row],[Quantity (kg)]]</f>
        <v>6750</v>
      </c>
      <c r="M242" s="4">
        <f>FastenersPriceList3[[#This Row],[SINGLE PC. WT.]]*FastenersPriceList3[[#This Row],[Rate / PER kg (₹)]]</f>
        <v>131.22</v>
      </c>
    </row>
    <row r="243" spans="1:13" ht="22.05" customHeight="1" x14ac:dyDescent="0.3">
      <c r="A243" s="2" t="s">
        <v>1565</v>
      </c>
      <c r="B243" s="12" t="s">
        <v>8</v>
      </c>
      <c r="C243" s="12">
        <v>8.8000000000000007</v>
      </c>
      <c r="D243" s="2">
        <v>1014</v>
      </c>
      <c r="E243" s="2">
        <f>FastenersPriceList3[[#This Row],[1000 PCS/WT.]]/1000</f>
        <v>1.014</v>
      </c>
      <c r="F243" s="2" t="s">
        <v>704</v>
      </c>
      <c r="G243" s="6" t="s">
        <v>1329</v>
      </c>
      <c r="H243" s="70">
        <v>50</v>
      </c>
      <c r="I243" s="72">
        <f>FastenersPriceList3[[#This Row],[Quantity (kg)]]/FastenersPriceList3[[#This Row],[SINGLE PC. WT.]]</f>
        <v>49.30966469428008</v>
      </c>
      <c r="J243" s="3">
        <v>135</v>
      </c>
      <c r="K243" s="3">
        <f>FastenersPriceList3[[#This Row],[1000 PCS/WT.]]*FastenersPriceList3[[#This Row],[Rate / PER kg (₹)]]</f>
        <v>136890</v>
      </c>
      <c r="L243" s="4">
        <f>FastenersPriceList3[[#This Row],[Rate / PER kg (₹)]]*FastenersPriceList3[[#This Row],[Quantity (kg)]]</f>
        <v>6750</v>
      </c>
      <c r="M243" s="4">
        <f>FastenersPriceList3[[#This Row],[SINGLE PC. WT.]]*FastenersPriceList3[[#This Row],[Rate / PER kg (₹)]]</f>
        <v>136.89000000000001</v>
      </c>
    </row>
    <row r="244" spans="1:13" ht="22.05" customHeight="1" x14ac:dyDescent="0.3">
      <c r="A244" s="2" t="s">
        <v>1566</v>
      </c>
      <c r="B244" s="12" t="s">
        <v>8</v>
      </c>
      <c r="C244" s="12">
        <v>8.8000000000000007</v>
      </c>
      <c r="D244" s="2">
        <v>1056</v>
      </c>
      <c r="E244" s="2">
        <f>FastenersPriceList3[[#This Row],[1000 PCS/WT.]]/1000</f>
        <v>1.056</v>
      </c>
      <c r="F244" s="2" t="s">
        <v>705</v>
      </c>
      <c r="G244" s="6" t="s">
        <v>1329</v>
      </c>
      <c r="H244" s="70">
        <v>50</v>
      </c>
      <c r="I244" s="72">
        <f>FastenersPriceList3[[#This Row],[Quantity (kg)]]/FastenersPriceList3[[#This Row],[SINGLE PC. WT.]]</f>
        <v>47.348484848484844</v>
      </c>
      <c r="J244" s="3">
        <v>138</v>
      </c>
      <c r="K244" s="3">
        <f>FastenersPriceList3[[#This Row],[1000 PCS/WT.]]*FastenersPriceList3[[#This Row],[Rate / PER kg (₹)]]</f>
        <v>145728</v>
      </c>
      <c r="L244" s="4">
        <f>FastenersPriceList3[[#This Row],[Rate / PER kg (₹)]]*FastenersPriceList3[[#This Row],[Quantity (kg)]]</f>
        <v>6900</v>
      </c>
      <c r="M244" s="4">
        <f>FastenersPriceList3[[#This Row],[SINGLE PC. WT.]]*FastenersPriceList3[[#This Row],[Rate / PER kg (₹)]]</f>
        <v>145.72800000000001</v>
      </c>
    </row>
    <row r="245" spans="1:13" ht="22.05" customHeight="1" x14ac:dyDescent="0.3">
      <c r="A245" s="2" t="s">
        <v>1567</v>
      </c>
      <c r="B245" s="12" t="s">
        <v>8</v>
      </c>
      <c r="C245" s="12">
        <v>8.8000000000000007</v>
      </c>
      <c r="D245" s="2">
        <v>1098</v>
      </c>
      <c r="E245" s="2">
        <f>FastenersPriceList3[[#This Row],[1000 PCS/WT.]]/1000</f>
        <v>1.0980000000000001</v>
      </c>
      <c r="F245" s="2" t="s">
        <v>706</v>
      </c>
      <c r="G245" s="6" t="s">
        <v>1329</v>
      </c>
      <c r="H245" s="70">
        <v>50</v>
      </c>
      <c r="I245" s="72">
        <f>FastenersPriceList3[[#This Row],[Quantity (kg)]]/FastenersPriceList3[[#This Row],[SINGLE PC. WT.]]</f>
        <v>45.537340619307827</v>
      </c>
      <c r="J245" s="3">
        <v>138</v>
      </c>
      <c r="K245" s="3">
        <f>FastenersPriceList3[[#This Row],[1000 PCS/WT.]]*FastenersPriceList3[[#This Row],[Rate / PER kg (₹)]]</f>
        <v>151524</v>
      </c>
      <c r="L245" s="4">
        <f>FastenersPriceList3[[#This Row],[Rate / PER kg (₹)]]*FastenersPriceList3[[#This Row],[Quantity (kg)]]</f>
        <v>6900</v>
      </c>
      <c r="M245" s="4">
        <f>FastenersPriceList3[[#This Row],[SINGLE PC. WT.]]*FastenersPriceList3[[#This Row],[Rate / PER kg (₹)]]</f>
        <v>151.524</v>
      </c>
    </row>
    <row r="246" spans="1:13" ht="22.05" customHeight="1" x14ac:dyDescent="0.3">
      <c r="A246" s="2" t="s">
        <v>1568</v>
      </c>
      <c r="B246" s="12" t="s">
        <v>8</v>
      </c>
      <c r="C246" s="12">
        <v>8.8000000000000007</v>
      </c>
      <c r="D246" s="2">
        <v>1140</v>
      </c>
      <c r="E246" s="2">
        <f>FastenersPriceList3[[#This Row],[1000 PCS/WT.]]/1000</f>
        <v>1.1399999999999999</v>
      </c>
      <c r="F246" s="2" t="s">
        <v>707</v>
      </c>
      <c r="G246" s="6" t="s">
        <v>1329</v>
      </c>
      <c r="H246" s="70">
        <v>50</v>
      </c>
      <c r="I246" s="72">
        <f>FastenersPriceList3[[#This Row],[Quantity (kg)]]/FastenersPriceList3[[#This Row],[SINGLE PC. WT.]]</f>
        <v>43.859649122807021</v>
      </c>
      <c r="J246" s="3">
        <v>138</v>
      </c>
      <c r="K246" s="3">
        <f>FastenersPriceList3[[#This Row],[1000 PCS/WT.]]*FastenersPriceList3[[#This Row],[Rate / PER kg (₹)]]</f>
        <v>157320</v>
      </c>
      <c r="L246" s="4">
        <f>FastenersPriceList3[[#This Row],[Rate / PER kg (₹)]]*FastenersPriceList3[[#This Row],[Quantity (kg)]]</f>
        <v>6900</v>
      </c>
      <c r="M246" s="4">
        <f>FastenersPriceList3[[#This Row],[SINGLE PC. WT.]]*FastenersPriceList3[[#This Row],[Rate / PER kg (₹)]]</f>
        <v>157.32</v>
      </c>
    </row>
    <row r="247" spans="1:13" ht="22.05" customHeight="1" x14ac:dyDescent="0.3">
      <c r="A247" s="2" t="s">
        <v>1569</v>
      </c>
      <c r="B247" s="12" t="s">
        <v>8</v>
      </c>
      <c r="C247" s="12">
        <v>8.8000000000000007</v>
      </c>
      <c r="D247" s="2">
        <v>1182</v>
      </c>
      <c r="E247" s="2">
        <f>FastenersPriceList3[[#This Row],[1000 PCS/WT.]]/1000</f>
        <v>1.1819999999999999</v>
      </c>
      <c r="F247" s="2" t="s">
        <v>708</v>
      </c>
      <c r="G247" s="6" t="s">
        <v>1329</v>
      </c>
      <c r="H247" s="70">
        <v>50</v>
      </c>
      <c r="I247" s="72">
        <f>FastenersPriceList3[[#This Row],[Quantity (kg)]]/FastenersPriceList3[[#This Row],[SINGLE PC. WT.]]</f>
        <v>42.301184433164131</v>
      </c>
      <c r="J247" s="3">
        <v>138</v>
      </c>
      <c r="K247" s="3">
        <f>FastenersPriceList3[[#This Row],[1000 PCS/WT.]]*FastenersPriceList3[[#This Row],[Rate / PER kg (₹)]]</f>
        <v>163116</v>
      </c>
      <c r="L247" s="4">
        <f>FastenersPriceList3[[#This Row],[Rate / PER kg (₹)]]*FastenersPriceList3[[#This Row],[Quantity (kg)]]</f>
        <v>6900</v>
      </c>
      <c r="M247" s="4">
        <f>FastenersPriceList3[[#This Row],[SINGLE PC. WT.]]*FastenersPriceList3[[#This Row],[Rate / PER kg (₹)]]</f>
        <v>163.11599999999999</v>
      </c>
    </row>
    <row r="248" spans="1:13" ht="22.05" customHeight="1" x14ac:dyDescent="0.3">
      <c r="A248" s="2" t="s">
        <v>1570</v>
      </c>
      <c r="B248" s="12" t="s">
        <v>8</v>
      </c>
      <c r="C248" s="12">
        <v>8.8000000000000007</v>
      </c>
      <c r="D248" s="2">
        <v>1224</v>
      </c>
      <c r="E248" s="2">
        <f>FastenersPriceList3[[#This Row],[1000 PCS/WT.]]/1000</f>
        <v>1.224</v>
      </c>
      <c r="F248" s="2" t="s">
        <v>709</v>
      </c>
      <c r="G248" s="6" t="s">
        <v>1329</v>
      </c>
      <c r="H248" s="70">
        <v>50</v>
      </c>
      <c r="I248" s="72">
        <f>FastenersPriceList3[[#This Row],[Quantity (kg)]]/FastenersPriceList3[[#This Row],[SINGLE PC. WT.]]</f>
        <v>40.849673202614383</v>
      </c>
      <c r="J248" s="3">
        <v>138</v>
      </c>
      <c r="K248" s="3">
        <f>FastenersPriceList3[[#This Row],[1000 PCS/WT.]]*FastenersPriceList3[[#This Row],[Rate / PER kg (₹)]]</f>
        <v>168912</v>
      </c>
      <c r="L248" s="4">
        <f>FastenersPriceList3[[#This Row],[Rate / PER kg (₹)]]*FastenersPriceList3[[#This Row],[Quantity (kg)]]</f>
        <v>6900</v>
      </c>
      <c r="M248" s="4">
        <f>FastenersPriceList3[[#This Row],[SINGLE PC. WT.]]*FastenersPriceList3[[#This Row],[Rate / PER kg (₹)]]</f>
        <v>168.91200000000001</v>
      </c>
    </row>
    <row r="249" spans="1:13" ht="22.05" customHeight="1" x14ac:dyDescent="0.3">
      <c r="A249" s="2" t="s">
        <v>1571</v>
      </c>
      <c r="B249" s="12" t="s">
        <v>8</v>
      </c>
      <c r="C249" s="12">
        <v>8.8000000000000007</v>
      </c>
      <c r="D249" s="2">
        <v>1266</v>
      </c>
      <c r="E249" s="2">
        <f>FastenersPriceList3[[#This Row],[1000 PCS/WT.]]/1000</f>
        <v>1.266</v>
      </c>
      <c r="F249" s="2" t="s">
        <v>710</v>
      </c>
      <c r="G249" s="6" t="s">
        <v>1329</v>
      </c>
      <c r="H249" s="70">
        <v>50</v>
      </c>
      <c r="I249" s="72">
        <f>FastenersPriceList3[[#This Row],[Quantity (kg)]]/FastenersPriceList3[[#This Row],[SINGLE PC. WT.]]</f>
        <v>39.494470774091624</v>
      </c>
      <c r="J249" s="3">
        <v>138</v>
      </c>
      <c r="K249" s="3">
        <f>FastenersPriceList3[[#This Row],[1000 PCS/WT.]]*FastenersPriceList3[[#This Row],[Rate / PER kg (₹)]]</f>
        <v>174708</v>
      </c>
      <c r="L249" s="4">
        <f>FastenersPriceList3[[#This Row],[Rate / PER kg (₹)]]*FastenersPriceList3[[#This Row],[Quantity (kg)]]</f>
        <v>6900</v>
      </c>
      <c r="M249" s="4">
        <f>FastenersPriceList3[[#This Row],[SINGLE PC. WT.]]*FastenersPriceList3[[#This Row],[Rate / PER kg (₹)]]</f>
        <v>174.708</v>
      </c>
    </row>
    <row r="250" spans="1:13" ht="22.05" customHeight="1" x14ac:dyDescent="0.3">
      <c r="A250" s="2" t="s">
        <v>1572</v>
      </c>
      <c r="B250" s="12" t="s">
        <v>8</v>
      </c>
      <c r="C250" s="12">
        <v>8.8000000000000007</v>
      </c>
      <c r="D250" s="2">
        <v>1308</v>
      </c>
      <c r="E250" s="2">
        <f>FastenersPriceList3[[#This Row],[1000 PCS/WT.]]/1000</f>
        <v>1.3080000000000001</v>
      </c>
      <c r="F250" s="2" t="s">
        <v>711</v>
      </c>
      <c r="G250" s="6" t="s">
        <v>1329</v>
      </c>
      <c r="H250" s="70">
        <v>50</v>
      </c>
      <c r="I250" s="72">
        <f>FastenersPriceList3[[#This Row],[Quantity (kg)]]/FastenersPriceList3[[#This Row],[SINGLE PC. WT.]]</f>
        <v>38.226299694189599</v>
      </c>
      <c r="J250" s="3">
        <v>138</v>
      </c>
      <c r="K250" s="3">
        <f>FastenersPriceList3[[#This Row],[1000 PCS/WT.]]*FastenersPriceList3[[#This Row],[Rate / PER kg (₹)]]</f>
        <v>180504</v>
      </c>
      <c r="L250" s="4">
        <f>FastenersPriceList3[[#This Row],[Rate / PER kg (₹)]]*FastenersPriceList3[[#This Row],[Quantity (kg)]]</f>
        <v>6900</v>
      </c>
      <c r="M250" s="4">
        <f>FastenersPriceList3[[#This Row],[SINGLE PC. WT.]]*FastenersPriceList3[[#This Row],[Rate / PER kg (₹)]]</f>
        <v>180.50400000000002</v>
      </c>
    </row>
    <row r="251" spans="1:13" ht="22.05" customHeight="1" x14ac:dyDescent="0.3">
      <c r="A251" s="2" t="s">
        <v>1573</v>
      </c>
      <c r="B251" s="12" t="s">
        <v>8</v>
      </c>
      <c r="C251" s="12">
        <v>8.8000000000000007</v>
      </c>
      <c r="D251" s="2">
        <v>1350</v>
      </c>
      <c r="E251" s="2">
        <f>FastenersPriceList3[[#This Row],[1000 PCS/WT.]]/1000</f>
        <v>1.35</v>
      </c>
      <c r="F251" s="2" t="s">
        <v>712</v>
      </c>
      <c r="G251" s="6" t="s">
        <v>1329</v>
      </c>
      <c r="H251" s="70">
        <v>50</v>
      </c>
      <c r="I251" s="72">
        <f>FastenersPriceList3[[#This Row],[Quantity (kg)]]/FastenersPriceList3[[#This Row],[SINGLE PC. WT.]]</f>
        <v>37.037037037037038</v>
      </c>
      <c r="J251" s="3">
        <v>138</v>
      </c>
      <c r="K251" s="3">
        <f>FastenersPriceList3[[#This Row],[1000 PCS/WT.]]*FastenersPriceList3[[#This Row],[Rate / PER kg (₹)]]</f>
        <v>186300</v>
      </c>
      <c r="L251" s="4">
        <f>FastenersPriceList3[[#This Row],[Rate / PER kg (₹)]]*FastenersPriceList3[[#This Row],[Quantity (kg)]]</f>
        <v>6900</v>
      </c>
      <c r="M251" s="4">
        <f>FastenersPriceList3[[#This Row],[SINGLE PC. WT.]]*FastenersPriceList3[[#This Row],[Rate / PER kg (₹)]]</f>
        <v>186.3</v>
      </c>
    </row>
    <row r="252" spans="1:13" ht="22.05" customHeight="1" x14ac:dyDescent="0.3">
      <c r="A252" s="2" t="s">
        <v>1574</v>
      </c>
      <c r="B252" s="12" t="s">
        <v>8</v>
      </c>
      <c r="C252" s="12">
        <v>8.8000000000000007</v>
      </c>
      <c r="D252" s="2">
        <v>1392</v>
      </c>
      <c r="E252" s="2">
        <f>FastenersPriceList3[[#This Row],[1000 PCS/WT.]]/1000</f>
        <v>1.3919999999999999</v>
      </c>
      <c r="F252" s="2" t="s">
        <v>713</v>
      </c>
      <c r="G252" s="6" t="s">
        <v>1329</v>
      </c>
      <c r="H252" s="70">
        <v>50</v>
      </c>
      <c r="I252" s="72">
        <f>FastenersPriceList3[[#This Row],[Quantity (kg)]]/FastenersPriceList3[[#This Row],[SINGLE PC. WT.]]</f>
        <v>35.919540229885058</v>
      </c>
      <c r="J252" s="3">
        <v>138</v>
      </c>
      <c r="K252" s="3">
        <f>FastenersPriceList3[[#This Row],[1000 PCS/WT.]]*FastenersPriceList3[[#This Row],[Rate / PER kg (₹)]]</f>
        <v>192096</v>
      </c>
      <c r="L252" s="4">
        <f>FastenersPriceList3[[#This Row],[Rate / PER kg (₹)]]*FastenersPriceList3[[#This Row],[Quantity (kg)]]</f>
        <v>6900</v>
      </c>
      <c r="M252" s="4">
        <f>FastenersPriceList3[[#This Row],[SINGLE PC. WT.]]*FastenersPriceList3[[#This Row],[Rate / PER kg (₹)]]</f>
        <v>192.09599999999998</v>
      </c>
    </row>
    <row r="253" spans="1:13" ht="22.05" customHeight="1" x14ac:dyDescent="0.3">
      <c r="A253" s="2" t="s">
        <v>1575</v>
      </c>
      <c r="B253" s="12" t="s">
        <v>8</v>
      </c>
      <c r="C253" s="12">
        <v>8.8000000000000007</v>
      </c>
      <c r="D253" s="2">
        <v>1434</v>
      </c>
      <c r="E253" s="2">
        <f>FastenersPriceList3[[#This Row],[1000 PCS/WT.]]/1000</f>
        <v>1.4339999999999999</v>
      </c>
      <c r="F253" s="2" t="s">
        <v>714</v>
      </c>
      <c r="G253" s="6" t="s">
        <v>1329</v>
      </c>
      <c r="H253" s="70">
        <v>50</v>
      </c>
      <c r="I253" s="72">
        <f>FastenersPriceList3[[#This Row],[Quantity (kg)]]/FastenersPriceList3[[#This Row],[SINGLE PC. WT.]]</f>
        <v>34.867503486750351</v>
      </c>
      <c r="J253" s="3">
        <v>138</v>
      </c>
      <c r="K253" s="3">
        <f>FastenersPriceList3[[#This Row],[1000 PCS/WT.]]*FastenersPriceList3[[#This Row],[Rate / PER kg (₹)]]</f>
        <v>197892</v>
      </c>
      <c r="L253" s="4">
        <f>FastenersPriceList3[[#This Row],[Rate / PER kg (₹)]]*FastenersPriceList3[[#This Row],[Quantity (kg)]]</f>
        <v>6900</v>
      </c>
      <c r="M253" s="4">
        <f>FastenersPriceList3[[#This Row],[SINGLE PC. WT.]]*FastenersPriceList3[[#This Row],[Rate / PER kg (₹)]]</f>
        <v>197.892</v>
      </c>
    </row>
    <row r="254" spans="1:13" ht="22.05" customHeight="1" x14ac:dyDescent="0.3">
      <c r="A254" s="2" t="s">
        <v>1576</v>
      </c>
      <c r="B254" s="12" t="s">
        <v>8</v>
      </c>
      <c r="C254" s="12">
        <v>8.8000000000000007</v>
      </c>
      <c r="D254" s="2">
        <v>464</v>
      </c>
      <c r="E254" s="2">
        <f>FastenersPriceList3[[#This Row],[1000 PCS/WT.]]/1000</f>
        <v>0.46400000000000002</v>
      </c>
      <c r="F254" s="2" t="s">
        <v>715</v>
      </c>
      <c r="G254" s="6" t="s">
        <v>1329</v>
      </c>
      <c r="H254" s="70">
        <v>50</v>
      </c>
      <c r="I254" s="72">
        <f>FastenersPriceList3[[#This Row],[Quantity (kg)]]/FastenersPriceList3[[#This Row],[SINGLE PC. WT.]]</f>
        <v>107.75862068965516</v>
      </c>
      <c r="J254" s="3">
        <v>130</v>
      </c>
      <c r="K254" s="3">
        <f>FastenersPriceList3[[#This Row],[1000 PCS/WT.]]*FastenersPriceList3[[#This Row],[Rate / PER kg (₹)]]</f>
        <v>60320</v>
      </c>
      <c r="L254" s="4">
        <f>FastenersPriceList3[[#This Row],[Rate / PER kg (₹)]]*FastenersPriceList3[[#This Row],[Quantity (kg)]]</f>
        <v>6500</v>
      </c>
      <c r="M254" s="4">
        <f>FastenersPriceList3[[#This Row],[SINGLE PC. WT.]]*FastenersPriceList3[[#This Row],[Rate / PER kg (₹)]]</f>
        <v>60.32</v>
      </c>
    </row>
    <row r="255" spans="1:13" ht="22.05" customHeight="1" x14ac:dyDescent="0.3">
      <c r="A255" s="2" t="s">
        <v>1577</v>
      </c>
      <c r="B255" s="12" t="s">
        <v>8</v>
      </c>
      <c r="C255" s="12">
        <v>8.8000000000000007</v>
      </c>
      <c r="D255" s="2">
        <v>488</v>
      </c>
      <c r="E255" s="2">
        <f>FastenersPriceList3[[#This Row],[1000 PCS/WT.]]/1000</f>
        <v>0.48799999999999999</v>
      </c>
      <c r="F255" s="2" t="s">
        <v>716</v>
      </c>
      <c r="G255" s="6" t="s">
        <v>1329</v>
      </c>
      <c r="H255" s="70">
        <v>50</v>
      </c>
      <c r="I255" s="72">
        <f>FastenersPriceList3[[#This Row],[Quantity (kg)]]/FastenersPriceList3[[#This Row],[SINGLE PC. WT.]]</f>
        <v>102.45901639344262</v>
      </c>
      <c r="J255" s="3">
        <v>130</v>
      </c>
      <c r="K255" s="3">
        <f>FastenersPriceList3[[#This Row],[1000 PCS/WT.]]*FastenersPriceList3[[#This Row],[Rate / PER kg (₹)]]</f>
        <v>63440</v>
      </c>
      <c r="L255" s="4">
        <f>FastenersPriceList3[[#This Row],[Rate / PER kg (₹)]]*FastenersPriceList3[[#This Row],[Quantity (kg)]]</f>
        <v>6500</v>
      </c>
      <c r="M255" s="4">
        <f>FastenersPriceList3[[#This Row],[SINGLE PC. WT.]]*FastenersPriceList3[[#This Row],[Rate / PER kg (₹)]]</f>
        <v>63.44</v>
      </c>
    </row>
    <row r="256" spans="1:13" ht="22.05" customHeight="1" x14ac:dyDescent="0.3">
      <c r="A256" s="2" t="s">
        <v>1578</v>
      </c>
      <c r="B256" s="12" t="s">
        <v>8</v>
      </c>
      <c r="C256" s="12">
        <v>8.8000000000000007</v>
      </c>
      <c r="D256" s="2">
        <v>513.25</v>
      </c>
      <c r="E256" s="2">
        <f>FastenersPriceList3[[#This Row],[1000 PCS/WT.]]/1000</f>
        <v>0.51324999999999998</v>
      </c>
      <c r="F256" s="2" t="s">
        <v>717</v>
      </c>
      <c r="G256" s="6" t="s">
        <v>1329</v>
      </c>
      <c r="H256" s="70">
        <v>50</v>
      </c>
      <c r="I256" s="72">
        <f>FastenersPriceList3[[#This Row],[Quantity (kg)]]/FastenersPriceList3[[#This Row],[SINGLE PC. WT.]]</f>
        <v>97.418412079883097</v>
      </c>
      <c r="J256" s="3">
        <v>130</v>
      </c>
      <c r="K256" s="3">
        <f>FastenersPriceList3[[#This Row],[1000 PCS/WT.]]*FastenersPriceList3[[#This Row],[Rate / PER kg (₹)]]</f>
        <v>66722.5</v>
      </c>
      <c r="L256" s="4">
        <f>FastenersPriceList3[[#This Row],[Rate / PER kg (₹)]]*FastenersPriceList3[[#This Row],[Quantity (kg)]]</f>
        <v>6500</v>
      </c>
      <c r="M256" s="4">
        <f>FastenersPriceList3[[#This Row],[SINGLE PC. WT.]]*FastenersPriceList3[[#This Row],[Rate / PER kg (₹)]]</f>
        <v>66.722499999999997</v>
      </c>
    </row>
    <row r="257" spans="1:13" ht="22.05" customHeight="1" x14ac:dyDescent="0.3">
      <c r="A257" s="2" t="s">
        <v>1579</v>
      </c>
      <c r="B257" s="12" t="s">
        <v>8</v>
      </c>
      <c r="C257" s="12">
        <v>8.8000000000000007</v>
      </c>
      <c r="D257" s="2">
        <v>538.5</v>
      </c>
      <c r="E257" s="2">
        <f>FastenersPriceList3[[#This Row],[1000 PCS/WT.]]/1000</f>
        <v>0.53849999999999998</v>
      </c>
      <c r="F257" s="2" t="s">
        <v>718</v>
      </c>
      <c r="G257" s="6" t="s">
        <v>1329</v>
      </c>
      <c r="H257" s="70">
        <v>50</v>
      </c>
      <c r="I257" s="72">
        <f>FastenersPriceList3[[#This Row],[Quantity (kg)]]/FastenersPriceList3[[#This Row],[SINGLE PC. WT.]]</f>
        <v>92.850510677808728</v>
      </c>
      <c r="J257" s="3">
        <v>130</v>
      </c>
      <c r="K257" s="3">
        <f>FastenersPriceList3[[#This Row],[1000 PCS/WT.]]*FastenersPriceList3[[#This Row],[Rate / PER kg (₹)]]</f>
        <v>70005</v>
      </c>
      <c r="L257" s="4">
        <f>FastenersPriceList3[[#This Row],[Rate / PER kg (₹)]]*FastenersPriceList3[[#This Row],[Quantity (kg)]]</f>
        <v>6500</v>
      </c>
      <c r="M257" s="4">
        <f>FastenersPriceList3[[#This Row],[SINGLE PC. WT.]]*FastenersPriceList3[[#This Row],[Rate / PER kg (₹)]]</f>
        <v>70.004999999999995</v>
      </c>
    </row>
    <row r="258" spans="1:13" ht="22.05" customHeight="1" x14ac:dyDescent="0.3">
      <c r="A258" s="2" t="s">
        <v>1580</v>
      </c>
      <c r="B258" s="12" t="s">
        <v>8</v>
      </c>
      <c r="C258" s="12">
        <v>8.8000000000000007</v>
      </c>
      <c r="D258" s="2">
        <v>563.75</v>
      </c>
      <c r="E258" s="2">
        <f>FastenersPriceList3[[#This Row],[1000 PCS/WT.]]/1000</f>
        <v>0.56374999999999997</v>
      </c>
      <c r="F258" s="2" t="s">
        <v>719</v>
      </c>
      <c r="G258" s="6" t="s">
        <v>1329</v>
      </c>
      <c r="H258" s="70">
        <v>50</v>
      </c>
      <c r="I258" s="72">
        <f>FastenersPriceList3[[#This Row],[Quantity (kg)]]/FastenersPriceList3[[#This Row],[SINGLE PC. WT.]]</f>
        <v>88.69179600886919</v>
      </c>
      <c r="J258" s="3">
        <v>130</v>
      </c>
      <c r="K258" s="3">
        <f>FastenersPriceList3[[#This Row],[1000 PCS/WT.]]*FastenersPriceList3[[#This Row],[Rate / PER kg (₹)]]</f>
        <v>73287.5</v>
      </c>
      <c r="L258" s="4">
        <f>FastenersPriceList3[[#This Row],[Rate / PER kg (₹)]]*FastenersPriceList3[[#This Row],[Quantity (kg)]]</f>
        <v>6500</v>
      </c>
      <c r="M258" s="4">
        <f>FastenersPriceList3[[#This Row],[SINGLE PC. WT.]]*FastenersPriceList3[[#This Row],[Rate / PER kg (₹)]]</f>
        <v>73.287499999999994</v>
      </c>
    </row>
    <row r="259" spans="1:13" ht="22.05" customHeight="1" x14ac:dyDescent="0.3">
      <c r="A259" s="2" t="s">
        <v>1581</v>
      </c>
      <c r="B259" s="12" t="s">
        <v>8</v>
      </c>
      <c r="C259" s="12">
        <v>8.8000000000000007</v>
      </c>
      <c r="D259" s="2">
        <v>589</v>
      </c>
      <c r="E259" s="2">
        <f>FastenersPriceList3[[#This Row],[1000 PCS/WT.]]/1000</f>
        <v>0.58899999999999997</v>
      </c>
      <c r="F259" s="2" t="s">
        <v>720</v>
      </c>
      <c r="G259" s="6" t="s">
        <v>1329</v>
      </c>
      <c r="H259" s="70">
        <v>50</v>
      </c>
      <c r="I259" s="72">
        <f>FastenersPriceList3[[#This Row],[Quantity (kg)]]/FastenersPriceList3[[#This Row],[SINGLE PC. WT.]]</f>
        <v>84.889643463497464</v>
      </c>
      <c r="J259" s="3">
        <v>130</v>
      </c>
      <c r="K259" s="3">
        <f>FastenersPriceList3[[#This Row],[1000 PCS/WT.]]*FastenersPriceList3[[#This Row],[Rate / PER kg (₹)]]</f>
        <v>76570</v>
      </c>
      <c r="L259" s="4">
        <f>FastenersPriceList3[[#This Row],[Rate / PER kg (₹)]]*FastenersPriceList3[[#This Row],[Quantity (kg)]]</f>
        <v>6500</v>
      </c>
      <c r="M259" s="4">
        <f>FastenersPriceList3[[#This Row],[SINGLE PC. WT.]]*FastenersPriceList3[[#This Row],[Rate / PER kg (₹)]]</f>
        <v>76.569999999999993</v>
      </c>
    </row>
    <row r="260" spans="1:13" ht="22.05" customHeight="1" x14ac:dyDescent="0.3">
      <c r="A260" s="2" t="s">
        <v>1582</v>
      </c>
      <c r="B260" s="12" t="s">
        <v>8</v>
      </c>
      <c r="C260" s="12">
        <v>8.8000000000000007</v>
      </c>
      <c r="D260" s="2">
        <v>614.25</v>
      </c>
      <c r="E260" s="2">
        <f>FastenersPriceList3[[#This Row],[1000 PCS/WT.]]/1000</f>
        <v>0.61424999999999996</v>
      </c>
      <c r="F260" s="2" t="s">
        <v>721</v>
      </c>
      <c r="G260" s="6" t="s">
        <v>1329</v>
      </c>
      <c r="H260" s="70">
        <v>50</v>
      </c>
      <c r="I260" s="72">
        <f>FastenersPriceList3[[#This Row],[Quantity (kg)]]/FastenersPriceList3[[#This Row],[SINGLE PC. WT.]]</f>
        <v>81.400081400081405</v>
      </c>
      <c r="J260" s="3">
        <v>130</v>
      </c>
      <c r="K260" s="3">
        <f>FastenersPriceList3[[#This Row],[1000 PCS/WT.]]*FastenersPriceList3[[#This Row],[Rate / PER kg (₹)]]</f>
        <v>79852.5</v>
      </c>
      <c r="L260" s="4">
        <f>FastenersPriceList3[[#This Row],[Rate / PER kg (₹)]]*FastenersPriceList3[[#This Row],[Quantity (kg)]]</f>
        <v>6500</v>
      </c>
      <c r="M260" s="4">
        <f>FastenersPriceList3[[#This Row],[SINGLE PC. WT.]]*FastenersPriceList3[[#This Row],[Rate / PER kg (₹)]]</f>
        <v>79.852499999999992</v>
      </c>
    </row>
    <row r="261" spans="1:13" ht="22.05" customHeight="1" x14ac:dyDescent="0.3">
      <c r="A261" s="2" t="s">
        <v>1583</v>
      </c>
      <c r="B261" s="12" t="s">
        <v>8</v>
      </c>
      <c r="C261" s="12">
        <v>8.8000000000000007</v>
      </c>
      <c r="D261" s="2">
        <v>639.5</v>
      </c>
      <c r="E261" s="2">
        <f>FastenersPriceList3[[#This Row],[1000 PCS/WT.]]/1000</f>
        <v>0.63949999999999996</v>
      </c>
      <c r="F261" s="2" t="s">
        <v>722</v>
      </c>
      <c r="G261" s="6" t="s">
        <v>1329</v>
      </c>
      <c r="H261" s="70">
        <v>50</v>
      </c>
      <c r="I261" s="72">
        <f>FastenersPriceList3[[#This Row],[Quantity (kg)]]/FastenersPriceList3[[#This Row],[SINGLE PC. WT.]]</f>
        <v>78.186082877247856</v>
      </c>
      <c r="J261" s="3">
        <v>130</v>
      </c>
      <c r="K261" s="3">
        <f>FastenersPriceList3[[#This Row],[1000 PCS/WT.]]*FastenersPriceList3[[#This Row],[Rate / PER kg (₹)]]</f>
        <v>83135</v>
      </c>
      <c r="L261" s="4">
        <f>FastenersPriceList3[[#This Row],[Rate / PER kg (₹)]]*FastenersPriceList3[[#This Row],[Quantity (kg)]]</f>
        <v>6500</v>
      </c>
      <c r="M261" s="4">
        <f>FastenersPriceList3[[#This Row],[SINGLE PC. WT.]]*FastenersPriceList3[[#This Row],[Rate / PER kg (₹)]]</f>
        <v>83.134999999999991</v>
      </c>
    </row>
    <row r="262" spans="1:13" ht="22.05" customHeight="1" x14ac:dyDescent="0.3">
      <c r="A262" s="2" t="s">
        <v>1584</v>
      </c>
      <c r="B262" s="12" t="s">
        <v>8</v>
      </c>
      <c r="C262" s="12">
        <v>8.8000000000000007</v>
      </c>
      <c r="D262" s="2">
        <v>664.75</v>
      </c>
      <c r="E262" s="2">
        <f>FastenersPriceList3[[#This Row],[1000 PCS/WT.]]/1000</f>
        <v>0.66474999999999995</v>
      </c>
      <c r="F262" s="2" t="s">
        <v>723</v>
      </c>
      <c r="G262" s="6" t="s">
        <v>1329</v>
      </c>
      <c r="H262" s="70">
        <v>50</v>
      </c>
      <c r="I262" s="72">
        <f>FastenersPriceList3[[#This Row],[Quantity (kg)]]/FastenersPriceList3[[#This Row],[SINGLE PC. WT.]]</f>
        <v>75.216246709289209</v>
      </c>
      <c r="J262" s="3">
        <v>130</v>
      </c>
      <c r="K262" s="3">
        <f>FastenersPriceList3[[#This Row],[1000 PCS/WT.]]*FastenersPriceList3[[#This Row],[Rate / PER kg (₹)]]</f>
        <v>86417.5</v>
      </c>
      <c r="L262" s="4">
        <f>FastenersPriceList3[[#This Row],[Rate / PER kg (₹)]]*FastenersPriceList3[[#This Row],[Quantity (kg)]]</f>
        <v>6500</v>
      </c>
      <c r="M262" s="4">
        <f>FastenersPriceList3[[#This Row],[SINGLE PC. WT.]]*FastenersPriceList3[[#This Row],[Rate / PER kg (₹)]]</f>
        <v>86.41749999999999</v>
      </c>
    </row>
    <row r="263" spans="1:13" ht="22.05" customHeight="1" x14ac:dyDescent="0.3">
      <c r="A263" s="2" t="s">
        <v>1585</v>
      </c>
      <c r="B263" s="12" t="s">
        <v>8</v>
      </c>
      <c r="C263" s="12">
        <v>8.8000000000000007</v>
      </c>
      <c r="D263" s="2">
        <v>690</v>
      </c>
      <c r="E263" s="2">
        <f>FastenersPriceList3[[#This Row],[1000 PCS/WT.]]/1000</f>
        <v>0.69</v>
      </c>
      <c r="F263" s="2" t="s">
        <v>724</v>
      </c>
      <c r="G263" s="6" t="s">
        <v>1329</v>
      </c>
      <c r="H263" s="70">
        <v>50</v>
      </c>
      <c r="I263" s="72">
        <f>FastenersPriceList3[[#This Row],[Quantity (kg)]]/FastenersPriceList3[[#This Row],[SINGLE PC. WT.]]</f>
        <v>72.463768115942031</v>
      </c>
      <c r="J263" s="3">
        <v>130</v>
      </c>
      <c r="K263" s="3">
        <f>FastenersPriceList3[[#This Row],[1000 PCS/WT.]]*FastenersPriceList3[[#This Row],[Rate / PER kg (₹)]]</f>
        <v>89700</v>
      </c>
      <c r="L263" s="4">
        <f>FastenersPriceList3[[#This Row],[Rate / PER kg (₹)]]*FastenersPriceList3[[#This Row],[Quantity (kg)]]</f>
        <v>6500</v>
      </c>
      <c r="M263" s="4">
        <f>FastenersPriceList3[[#This Row],[SINGLE PC. WT.]]*FastenersPriceList3[[#This Row],[Rate / PER kg (₹)]]</f>
        <v>89.699999999999989</v>
      </c>
    </row>
    <row r="264" spans="1:13" ht="22.05" customHeight="1" x14ac:dyDescent="0.3">
      <c r="A264" s="2" t="s">
        <v>1586</v>
      </c>
      <c r="B264" s="12" t="s">
        <v>8</v>
      </c>
      <c r="C264" s="12">
        <v>8.8000000000000007</v>
      </c>
      <c r="D264" s="2">
        <v>716.5</v>
      </c>
      <c r="E264" s="2">
        <f>FastenersPriceList3[[#This Row],[1000 PCS/WT.]]/1000</f>
        <v>0.71650000000000003</v>
      </c>
      <c r="F264" s="2" t="s">
        <v>725</v>
      </c>
      <c r="G264" s="6" t="s">
        <v>1329</v>
      </c>
      <c r="H264" s="70">
        <v>50</v>
      </c>
      <c r="I264" s="72">
        <f>FastenersPriceList3[[#This Row],[Quantity (kg)]]/FastenersPriceList3[[#This Row],[SINGLE PC. WT.]]</f>
        <v>69.783670621074663</v>
      </c>
      <c r="J264" s="3">
        <v>130</v>
      </c>
      <c r="K264" s="3">
        <f>FastenersPriceList3[[#This Row],[1000 PCS/WT.]]*FastenersPriceList3[[#This Row],[Rate / PER kg (₹)]]</f>
        <v>93145</v>
      </c>
      <c r="L264" s="4">
        <f>FastenersPriceList3[[#This Row],[Rate / PER kg (₹)]]*FastenersPriceList3[[#This Row],[Quantity (kg)]]</f>
        <v>6500</v>
      </c>
      <c r="M264" s="4">
        <f>FastenersPriceList3[[#This Row],[SINGLE PC. WT.]]*FastenersPriceList3[[#This Row],[Rate / PER kg (₹)]]</f>
        <v>93.14500000000001</v>
      </c>
    </row>
    <row r="265" spans="1:13" ht="22.05" customHeight="1" x14ac:dyDescent="0.3">
      <c r="A265" s="2" t="s">
        <v>1587</v>
      </c>
      <c r="B265" s="12" t="s">
        <v>8</v>
      </c>
      <c r="C265" s="12">
        <v>8.8000000000000007</v>
      </c>
      <c r="D265" s="2">
        <v>743</v>
      </c>
      <c r="E265" s="2">
        <f>FastenersPriceList3[[#This Row],[1000 PCS/WT.]]/1000</f>
        <v>0.74299999999999999</v>
      </c>
      <c r="F265" s="2" t="s">
        <v>726</v>
      </c>
      <c r="G265" s="6" t="s">
        <v>1329</v>
      </c>
      <c r="H265" s="70">
        <v>50</v>
      </c>
      <c r="I265" s="72">
        <f>FastenersPriceList3[[#This Row],[Quantity (kg)]]/FastenersPriceList3[[#This Row],[SINGLE PC. WT.]]</f>
        <v>67.294751009421262</v>
      </c>
      <c r="J265" s="3">
        <v>130</v>
      </c>
      <c r="K265" s="3">
        <f>FastenersPriceList3[[#This Row],[1000 PCS/WT.]]*FastenersPriceList3[[#This Row],[Rate / PER kg (₹)]]</f>
        <v>96590</v>
      </c>
      <c r="L265" s="4">
        <f>FastenersPriceList3[[#This Row],[Rate / PER kg (₹)]]*FastenersPriceList3[[#This Row],[Quantity (kg)]]</f>
        <v>6500</v>
      </c>
      <c r="M265" s="4">
        <f>FastenersPriceList3[[#This Row],[SINGLE PC. WT.]]*FastenersPriceList3[[#This Row],[Rate / PER kg (₹)]]</f>
        <v>96.59</v>
      </c>
    </row>
    <row r="266" spans="1:13" ht="22.05" customHeight="1" x14ac:dyDescent="0.3">
      <c r="A266" s="2" t="s">
        <v>1588</v>
      </c>
      <c r="B266" s="12" t="s">
        <v>8</v>
      </c>
      <c r="C266" s="12">
        <v>8.8000000000000007</v>
      </c>
      <c r="D266" s="2">
        <v>769.5</v>
      </c>
      <c r="E266" s="2">
        <f>FastenersPriceList3[[#This Row],[1000 PCS/WT.]]/1000</f>
        <v>0.76949999999999996</v>
      </c>
      <c r="F266" s="2" t="s">
        <v>727</v>
      </c>
      <c r="G266" s="6" t="s">
        <v>1329</v>
      </c>
      <c r="H266" s="70">
        <v>50</v>
      </c>
      <c r="I266" s="72">
        <f>FastenersPriceList3[[#This Row],[Quantity (kg)]]/FastenersPriceList3[[#This Row],[SINGLE PC. WT.]]</f>
        <v>64.977257959714109</v>
      </c>
      <c r="J266" s="3">
        <v>130</v>
      </c>
      <c r="K266" s="3">
        <f>FastenersPriceList3[[#This Row],[1000 PCS/WT.]]*FastenersPriceList3[[#This Row],[Rate / PER kg (₹)]]</f>
        <v>100035</v>
      </c>
      <c r="L266" s="4">
        <f>FastenersPriceList3[[#This Row],[Rate / PER kg (₹)]]*FastenersPriceList3[[#This Row],[Quantity (kg)]]</f>
        <v>6500</v>
      </c>
      <c r="M266" s="4">
        <f>FastenersPriceList3[[#This Row],[SINGLE PC. WT.]]*FastenersPriceList3[[#This Row],[Rate / PER kg (₹)]]</f>
        <v>100.035</v>
      </c>
    </row>
    <row r="267" spans="1:13" ht="22.05" customHeight="1" x14ac:dyDescent="0.3">
      <c r="A267" s="2" t="s">
        <v>1589</v>
      </c>
      <c r="B267" s="12" t="s">
        <v>8</v>
      </c>
      <c r="C267" s="12">
        <v>8.8000000000000007</v>
      </c>
      <c r="D267" s="2">
        <v>824.75</v>
      </c>
      <c r="E267" s="2">
        <f>FastenersPriceList3[[#This Row],[1000 PCS/WT.]]/1000</f>
        <v>0.82474999999999998</v>
      </c>
      <c r="F267" s="2" t="s">
        <v>728</v>
      </c>
      <c r="G267" s="6" t="s">
        <v>1329</v>
      </c>
      <c r="H267" s="70">
        <v>50</v>
      </c>
      <c r="I267" s="72">
        <f>FastenersPriceList3[[#This Row],[Quantity (kg)]]/FastenersPriceList3[[#This Row],[SINGLE PC. WT.]]</f>
        <v>60.624431645953322</v>
      </c>
      <c r="J267" s="3">
        <v>135</v>
      </c>
      <c r="K267" s="3">
        <f>FastenersPriceList3[[#This Row],[1000 PCS/WT.]]*FastenersPriceList3[[#This Row],[Rate / PER kg (₹)]]</f>
        <v>111341.25</v>
      </c>
      <c r="L267" s="4">
        <f>FastenersPriceList3[[#This Row],[Rate / PER kg (₹)]]*FastenersPriceList3[[#This Row],[Quantity (kg)]]</f>
        <v>6750</v>
      </c>
      <c r="M267" s="4">
        <f>FastenersPriceList3[[#This Row],[SINGLE PC. WT.]]*FastenersPriceList3[[#This Row],[Rate / PER kg (₹)]]</f>
        <v>111.34125</v>
      </c>
    </row>
    <row r="268" spans="1:13" ht="22.05" customHeight="1" x14ac:dyDescent="0.3">
      <c r="A268" s="2" t="s">
        <v>1590</v>
      </c>
      <c r="B268" s="12" t="s">
        <v>8</v>
      </c>
      <c r="C268" s="12">
        <v>8.8000000000000007</v>
      </c>
      <c r="D268" s="2">
        <v>880</v>
      </c>
      <c r="E268" s="2">
        <f>FastenersPriceList3[[#This Row],[1000 PCS/WT.]]/1000</f>
        <v>0.88</v>
      </c>
      <c r="F268" s="2" t="s">
        <v>729</v>
      </c>
      <c r="G268" s="6" t="s">
        <v>1329</v>
      </c>
      <c r="H268" s="70">
        <v>50</v>
      </c>
      <c r="I268" s="72">
        <f>FastenersPriceList3[[#This Row],[Quantity (kg)]]/FastenersPriceList3[[#This Row],[SINGLE PC. WT.]]</f>
        <v>56.81818181818182</v>
      </c>
      <c r="J268" s="3">
        <v>135</v>
      </c>
      <c r="K268" s="3">
        <f>FastenersPriceList3[[#This Row],[1000 PCS/WT.]]*FastenersPriceList3[[#This Row],[Rate / PER kg (₹)]]</f>
        <v>118800</v>
      </c>
      <c r="L268" s="4">
        <f>FastenersPriceList3[[#This Row],[Rate / PER kg (₹)]]*FastenersPriceList3[[#This Row],[Quantity (kg)]]</f>
        <v>6750</v>
      </c>
      <c r="M268" s="4">
        <f>FastenersPriceList3[[#This Row],[SINGLE PC. WT.]]*FastenersPriceList3[[#This Row],[Rate / PER kg (₹)]]</f>
        <v>118.8</v>
      </c>
    </row>
    <row r="269" spans="1:13" ht="22.05" customHeight="1" x14ac:dyDescent="0.3">
      <c r="A269" s="2" t="s">
        <v>1591</v>
      </c>
      <c r="B269" s="12" t="s">
        <v>8</v>
      </c>
      <c r="C269" s="12">
        <v>8.8000000000000007</v>
      </c>
      <c r="D269" s="2">
        <v>935.25</v>
      </c>
      <c r="E269" s="2">
        <f>FastenersPriceList3[[#This Row],[1000 PCS/WT.]]/1000</f>
        <v>0.93525000000000003</v>
      </c>
      <c r="F269" s="2" t="s">
        <v>730</v>
      </c>
      <c r="G269" s="6" t="s">
        <v>1329</v>
      </c>
      <c r="H269" s="70">
        <v>50</v>
      </c>
      <c r="I269" s="72">
        <f>FastenersPriceList3[[#This Row],[Quantity (kg)]]/FastenersPriceList3[[#This Row],[SINGLE PC. WT.]]</f>
        <v>53.461641272387062</v>
      </c>
      <c r="J269" s="3">
        <v>135</v>
      </c>
      <c r="K269" s="3">
        <f>FastenersPriceList3[[#This Row],[1000 PCS/WT.]]*FastenersPriceList3[[#This Row],[Rate / PER kg (₹)]]</f>
        <v>126258.75</v>
      </c>
      <c r="L269" s="4">
        <f>FastenersPriceList3[[#This Row],[Rate / PER kg (₹)]]*FastenersPriceList3[[#This Row],[Quantity (kg)]]</f>
        <v>6750</v>
      </c>
      <c r="M269" s="4">
        <f>FastenersPriceList3[[#This Row],[SINGLE PC. WT.]]*FastenersPriceList3[[#This Row],[Rate / PER kg (₹)]]</f>
        <v>126.25875000000001</v>
      </c>
    </row>
    <row r="270" spans="1:13" ht="22.05" customHeight="1" x14ac:dyDescent="0.3">
      <c r="A270" s="2" t="s">
        <v>1592</v>
      </c>
      <c r="B270" s="12" t="s">
        <v>8</v>
      </c>
      <c r="C270" s="12">
        <v>8.8000000000000007</v>
      </c>
      <c r="D270" s="2">
        <v>990.5</v>
      </c>
      <c r="E270" s="2">
        <f>FastenersPriceList3[[#This Row],[1000 PCS/WT.]]/1000</f>
        <v>0.99050000000000005</v>
      </c>
      <c r="F270" s="2" t="s">
        <v>731</v>
      </c>
      <c r="G270" s="6" t="s">
        <v>1329</v>
      </c>
      <c r="H270" s="70">
        <v>50</v>
      </c>
      <c r="I270" s="72">
        <f>FastenersPriceList3[[#This Row],[Quantity (kg)]]/FastenersPriceList3[[#This Row],[SINGLE PC. WT.]]</f>
        <v>50.479555779909134</v>
      </c>
      <c r="J270" s="3">
        <v>135</v>
      </c>
      <c r="K270" s="3">
        <f>FastenersPriceList3[[#This Row],[1000 PCS/WT.]]*FastenersPriceList3[[#This Row],[Rate / PER kg (₹)]]</f>
        <v>133717.5</v>
      </c>
      <c r="L270" s="4">
        <f>FastenersPriceList3[[#This Row],[Rate / PER kg (₹)]]*FastenersPriceList3[[#This Row],[Quantity (kg)]]</f>
        <v>6750</v>
      </c>
      <c r="M270" s="4">
        <f>FastenersPriceList3[[#This Row],[SINGLE PC. WT.]]*FastenersPriceList3[[#This Row],[Rate / PER kg (₹)]]</f>
        <v>133.7175</v>
      </c>
    </row>
    <row r="271" spans="1:13" ht="22.05" customHeight="1" x14ac:dyDescent="0.3">
      <c r="A271" s="2" t="s">
        <v>1593</v>
      </c>
      <c r="B271" s="12" t="s">
        <v>8</v>
      </c>
      <c r="C271" s="12">
        <v>8.8000000000000007</v>
      </c>
      <c r="D271" s="2">
        <v>1045.75</v>
      </c>
      <c r="E271" s="2">
        <f>FastenersPriceList3[[#This Row],[1000 PCS/WT.]]/1000</f>
        <v>1.04575</v>
      </c>
      <c r="F271" s="2" t="s">
        <v>732</v>
      </c>
      <c r="G271" s="6" t="s">
        <v>1329</v>
      </c>
      <c r="H271" s="70">
        <v>50</v>
      </c>
      <c r="I271" s="72">
        <f>FastenersPriceList3[[#This Row],[Quantity (kg)]]/FastenersPriceList3[[#This Row],[SINGLE PC. WT.]]</f>
        <v>47.812574707147981</v>
      </c>
      <c r="J271" s="3">
        <v>135</v>
      </c>
      <c r="K271" s="3">
        <f>FastenersPriceList3[[#This Row],[1000 PCS/WT.]]*FastenersPriceList3[[#This Row],[Rate / PER kg (₹)]]</f>
        <v>141176.25</v>
      </c>
      <c r="L271" s="4">
        <f>FastenersPriceList3[[#This Row],[Rate / PER kg (₹)]]*FastenersPriceList3[[#This Row],[Quantity (kg)]]</f>
        <v>6750</v>
      </c>
      <c r="M271" s="4">
        <f>FastenersPriceList3[[#This Row],[SINGLE PC. WT.]]*FastenersPriceList3[[#This Row],[Rate / PER kg (₹)]]</f>
        <v>141.17624999999998</v>
      </c>
    </row>
    <row r="272" spans="1:13" ht="22.05" customHeight="1" x14ac:dyDescent="0.3">
      <c r="A272" s="2" t="s">
        <v>1594</v>
      </c>
      <c r="B272" s="12" t="s">
        <v>8</v>
      </c>
      <c r="C272" s="12">
        <v>8.8000000000000007</v>
      </c>
      <c r="D272" s="2">
        <v>1101</v>
      </c>
      <c r="E272" s="2">
        <f>FastenersPriceList3[[#This Row],[1000 PCS/WT.]]/1000</f>
        <v>1.101</v>
      </c>
      <c r="F272" s="2" t="s">
        <v>733</v>
      </c>
      <c r="G272" s="6" t="s">
        <v>1329</v>
      </c>
      <c r="H272" s="70">
        <v>50</v>
      </c>
      <c r="I272" s="72">
        <f>FastenersPriceList3[[#This Row],[Quantity (kg)]]/FastenersPriceList3[[#This Row],[SINGLE PC. WT.]]</f>
        <v>45.413260672116259</v>
      </c>
      <c r="J272" s="3">
        <v>135</v>
      </c>
      <c r="K272" s="3">
        <f>FastenersPriceList3[[#This Row],[1000 PCS/WT.]]*FastenersPriceList3[[#This Row],[Rate / PER kg (₹)]]</f>
        <v>148635</v>
      </c>
      <c r="L272" s="4">
        <f>FastenersPriceList3[[#This Row],[Rate / PER kg (₹)]]*FastenersPriceList3[[#This Row],[Quantity (kg)]]</f>
        <v>6750</v>
      </c>
      <c r="M272" s="4">
        <f>FastenersPriceList3[[#This Row],[SINGLE PC. WT.]]*FastenersPriceList3[[#This Row],[Rate / PER kg (₹)]]</f>
        <v>148.63499999999999</v>
      </c>
    </row>
    <row r="273" spans="1:13" ht="22.05" customHeight="1" x14ac:dyDescent="0.3">
      <c r="A273" s="2" t="s">
        <v>1595</v>
      </c>
      <c r="B273" s="12" t="s">
        <v>8</v>
      </c>
      <c r="C273" s="12">
        <v>8.8000000000000007</v>
      </c>
      <c r="D273" s="2">
        <v>1156.25</v>
      </c>
      <c r="E273" s="2">
        <f>FastenersPriceList3[[#This Row],[1000 PCS/WT.]]/1000</f>
        <v>1.15625</v>
      </c>
      <c r="F273" s="2" t="s">
        <v>734</v>
      </c>
      <c r="G273" s="6" t="s">
        <v>1329</v>
      </c>
      <c r="H273" s="70">
        <v>50</v>
      </c>
      <c r="I273" s="72">
        <f>FastenersPriceList3[[#This Row],[Quantity (kg)]]/FastenersPriceList3[[#This Row],[SINGLE PC. WT.]]</f>
        <v>43.243243243243242</v>
      </c>
      <c r="J273" s="3">
        <v>135</v>
      </c>
      <c r="K273" s="3">
        <f>FastenersPriceList3[[#This Row],[1000 PCS/WT.]]*FastenersPriceList3[[#This Row],[Rate / PER kg (₹)]]</f>
        <v>156093.75</v>
      </c>
      <c r="L273" s="4">
        <f>FastenersPriceList3[[#This Row],[Rate / PER kg (₹)]]*FastenersPriceList3[[#This Row],[Quantity (kg)]]</f>
        <v>6750</v>
      </c>
      <c r="M273" s="4">
        <f>FastenersPriceList3[[#This Row],[SINGLE PC. WT.]]*FastenersPriceList3[[#This Row],[Rate / PER kg (₹)]]</f>
        <v>156.09375</v>
      </c>
    </row>
    <row r="274" spans="1:13" ht="22.05" customHeight="1" x14ac:dyDescent="0.3">
      <c r="A274" s="2" t="s">
        <v>1596</v>
      </c>
      <c r="B274" s="12" t="s">
        <v>8</v>
      </c>
      <c r="C274" s="12">
        <v>8.8000000000000007</v>
      </c>
      <c r="D274" s="2">
        <v>1211.5</v>
      </c>
      <c r="E274" s="2">
        <f>FastenersPriceList3[[#This Row],[1000 PCS/WT.]]/1000</f>
        <v>1.2115</v>
      </c>
      <c r="F274" s="2" t="s">
        <v>735</v>
      </c>
      <c r="G274" s="6" t="s">
        <v>1329</v>
      </c>
      <c r="H274" s="70">
        <v>50</v>
      </c>
      <c r="I274" s="72">
        <f>FastenersPriceList3[[#This Row],[Quantity (kg)]]/FastenersPriceList3[[#This Row],[SINGLE PC. WT.]]</f>
        <v>41.271151465125875</v>
      </c>
      <c r="J274" s="3">
        <v>135</v>
      </c>
      <c r="K274" s="3">
        <f>FastenersPriceList3[[#This Row],[1000 PCS/WT.]]*FastenersPriceList3[[#This Row],[Rate / PER kg (₹)]]</f>
        <v>163552.5</v>
      </c>
      <c r="L274" s="4">
        <f>FastenersPriceList3[[#This Row],[Rate / PER kg (₹)]]*FastenersPriceList3[[#This Row],[Quantity (kg)]]</f>
        <v>6750</v>
      </c>
      <c r="M274" s="4">
        <f>FastenersPriceList3[[#This Row],[SINGLE PC. WT.]]*FastenersPriceList3[[#This Row],[Rate / PER kg (₹)]]</f>
        <v>163.55250000000001</v>
      </c>
    </row>
    <row r="275" spans="1:13" ht="22.05" customHeight="1" x14ac:dyDescent="0.3">
      <c r="A275" s="2" t="s">
        <v>1597</v>
      </c>
      <c r="B275" s="12" t="s">
        <v>8</v>
      </c>
      <c r="C275" s="12">
        <v>8.8000000000000007</v>
      </c>
      <c r="D275" s="2">
        <v>1266.75</v>
      </c>
      <c r="E275" s="2">
        <f>FastenersPriceList3[[#This Row],[1000 PCS/WT.]]/1000</f>
        <v>1.26675</v>
      </c>
      <c r="F275" s="2" t="s">
        <v>736</v>
      </c>
      <c r="G275" s="6" t="s">
        <v>1329</v>
      </c>
      <c r="H275" s="70">
        <v>50</v>
      </c>
      <c r="I275" s="72">
        <f>FastenersPriceList3[[#This Row],[Quantity (kg)]]/FastenersPriceList3[[#This Row],[SINGLE PC. WT.]]</f>
        <v>39.471087428458652</v>
      </c>
      <c r="J275" s="3">
        <v>135</v>
      </c>
      <c r="K275" s="3">
        <f>FastenersPriceList3[[#This Row],[1000 PCS/WT.]]*FastenersPriceList3[[#This Row],[Rate / PER kg (₹)]]</f>
        <v>171011.25</v>
      </c>
      <c r="L275" s="4">
        <f>FastenersPriceList3[[#This Row],[Rate / PER kg (₹)]]*FastenersPriceList3[[#This Row],[Quantity (kg)]]</f>
        <v>6750</v>
      </c>
      <c r="M275" s="4">
        <f>FastenersPriceList3[[#This Row],[SINGLE PC. WT.]]*FastenersPriceList3[[#This Row],[Rate / PER kg (₹)]]</f>
        <v>171.01125000000002</v>
      </c>
    </row>
    <row r="276" spans="1:13" ht="22.05" customHeight="1" x14ac:dyDescent="0.3">
      <c r="A276" s="2" t="s">
        <v>1598</v>
      </c>
      <c r="B276" s="12" t="s">
        <v>8</v>
      </c>
      <c r="C276" s="12">
        <v>8.8000000000000007</v>
      </c>
      <c r="D276" s="2">
        <v>1322</v>
      </c>
      <c r="E276" s="2">
        <f>FastenersPriceList3[[#This Row],[1000 PCS/WT.]]/1000</f>
        <v>1.3220000000000001</v>
      </c>
      <c r="F276" s="2" t="s">
        <v>737</v>
      </c>
      <c r="G276" s="6" t="s">
        <v>1329</v>
      </c>
      <c r="H276" s="70">
        <v>50</v>
      </c>
      <c r="I276" s="72">
        <f>FastenersPriceList3[[#This Row],[Quantity (kg)]]/FastenersPriceList3[[#This Row],[SINGLE PC. WT.]]</f>
        <v>37.821482602118003</v>
      </c>
      <c r="J276" s="3">
        <v>135</v>
      </c>
      <c r="K276" s="3">
        <f>FastenersPriceList3[[#This Row],[1000 PCS/WT.]]*FastenersPriceList3[[#This Row],[Rate / PER kg (₹)]]</f>
        <v>178470</v>
      </c>
      <c r="L276" s="4">
        <f>FastenersPriceList3[[#This Row],[Rate / PER kg (₹)]]*FastenersPriceList3[[#This Row],[Quantity (kg)]]</f>
        <v>6750</v>
      </c>
      <c r="M276" s="4">
        <f>FastenersPriceList3[[#This Row],[SINGLE PC. WT.]]*FastenersPriceList3[[#This Row],[Rate / PER kg (₹)]]</f>
        <v>178.47</v>
      </c>
    </row>
    <row r="277" spans="1:13" ht="22.05" customHeight="1" x14ac:dyDescent="0.3">
      <c r="A277" s="2" t="s">
        <v>1599</v>
      </c>
      <c r="B277" s="12" t="s">
        <v>8</v>
      </c>
      <c r="C277" s="12">
        <v>8.8000000000000007</v>
      </c>
      <c r="D277" s="2">
        <v>1377.25</v>
      </c>
      <c r="E277" s="2">
        <f>FastenersPriceList3[[#This Row],[1000 PCS/WT.]]/1000</f>
        <v>1.3772500000000001</v>
      </c>
      <c r="F277" s="2" t="s">
        <v>738</v>
      </c>
      <c r="G277" s="6" t="s">
        <v>1329</v>
      </c>
      <c r="H277" s="70">
        <v>50</v>
      </c>
      <c r="I277" s="72">
        <f>FastenersPriceList3[[#This Row],[Quantity (kg)]]/FastenersPriceList3[[#This Row],[SINGLE PC. WT.]]</f>
        <v>36.304229442730076</v>
      </c>
      <c r="J277" s="3">
        <v>138</v>
      </c>
      <c r="K277" s="3">
        <f>FastenersPriceList3[[#This Row],[1000 PCS/WT.]]*FastenersPriceList3[[#This Row],[Rate / PER kg (₹)]]</f>
        <v>190060.5</v>
      </c>
      <c r="L277" s="4">
        <f>FastenersPriceList3[[#This Row],[Rate / PER kg (₹)]]*FastenersPriceList3[[#This Row],[Quantity (kg)]]</f>
        <v>6900</v>
      </c>
      <c r="M277" s="4">
        <f>FastenersPriceList3[[#This Row],[SINGLE PC. WT.]]*FastenersPriceList3[[#This Row],[Rate / PER kg (₹)]]</f>
        <v>190.06050000000002</v>
      </c>
    </row>
    <row r="278" spans="1:13" ht="22.05" customHeight="1" x14ac:dyDescent="0.3">
      <c r="A278" s="2" t="s">
        <v>1600</v>
      </c>
      <c r="B278" s="12" t="s">
        <v>8</v>
      </c>
      <c r="C278" s="12">
        <v>8.8000000000000007</v>
      </c>
      <c r="D278" s="2">
        <v>1432.5</v>
      </c>
      <c r="E278" s="2">
        <f>FastenersPriceList3[[#This Row],[1000 PCS/WT.]]/1000</f>
        <v>1.4325000000000001</v>
      </c>
      <c r="F278" s="2" t="s">
        <v>739</v>
      </c>
      <c r="G278" s="6" t="s">
        <v>1329</v>
      </c>
      <c r="H278" s="70">
        <v>50</v>
      </c>
      <c r="I278" s="72">
        <f>FastenersPriceList3[[#This Row],[Quantity (kg)]]/FastenersPriceList3[[#This Row],[SINGLE PC. WT.]]</f>
        <v>34.904013961605585</v>
      </c>
      <c r="J278" s="3">
        <v>138</v>
      </c>
      <c r="K278" s="3">
        <f>FastenersPriceList3[[#This Row],[1000 PCS/WT.]]*FastenersPriceList3[[#This Row],[Rate / PER kg (₹)]]</f>
        <v>197685</v>
      </c>
      <c r="L278" s="4">
        <f>FastenersPriceList3[[#This Row],[Rate / PER kg (₹)]]*FastenersPriceList3[[#This Row],[Quantity (kg)]]</f>
        <v>6900</v>
      </c>
      <c r="M278" s="4">
        <f>FastenersPriceList3[[#This Row],[SINGLE PC. WT.]]*FastenersPriceList3[[#This Row],[Rate / PER kg (₹)]]</f>
        <v>197.685</v>
      </c>
    </row>
    <row r="279" spans="1:13" ht="22.05" customHeight="1" x14ac:dyDescent="0.3">
      <c r="A279" s="2" t="s">
        <v>1601</v>
      </c>
      <c r="B279" s="12" t="s">
        <v>8</v>
      </c>
      <c r="C279" s="12">
        <v>8.8000000000000007</v>
      </c>
      <c r="D279" s="2">
        <v>1487.75</v>
      </c>
      <c r="E279" s="2">
        <f>FastenersPriceList3[[#This Row],[1000 PCS/WT.]]/1000</f>
        <v>1.4877499999999999</v>
      </c>
      <c r="F279" s="2" t="s">
        <v>740</v>
      </c>
      <c r="G279" s="6" t="s">
        <v>1329</v>
      </c>
      <c r="H279" s="70">
        <v>50</v>
      </c>
      <c r="I279" s="72">
        <f>FastenersPriceList3[[#This Row],[Quantity (kg)]]/FastenersPriceList3[[#This Row],[SINGLE PC. WT.]]</f>
        <v>33.607797008906068</v>
      </c>
      <c r="J279" s="3">
        <v>138</v>
      </c>
      <c r="K279" s="3">
        <f>FastenersPriceList3[[#This Row],[1000 PCS/WT.]]*FastenersPriceList3[[#This Row],[Rate / PER kg (₹)]]</f>
        <v>205309.5</v>
      </c>
      <c r="L279" s="4">
        <f>FastenersPriceList3[[#This Row],[Rate / PER kg (₹)]]*FastenersPriceList3[[#This Row],[Quantity (kg)]]</f>
        <v>6900</v>
      </c>
      <c r="M279" s="4">
        <f>FastenersPriceList3[[#This Row],[SINGLE PC. WT.]]*FastenersPriceList3[[#This Row],[Rate / PER kg (₹)]]</f>
        <v>205.30949999999999</v>
      </c>
    </row>
    <row r="280" spans="1:13" ht="22.05" customHeight="1" x14ac:dyDescent="0.3">
      <c r="A280" s="2" t="s">
        <v>1602</v>
      </c>
      <c r="B280" s="12" t="s">
        <v>8</v>
      </c>
      <c r="C280" s="12">
        <v>8.8000000000000007</v>
      </c>
      <c r="D280" s="2">
        <v>1543</v>
      </c>
      <c r="E280" s="2">
        <f>FastenersPriceList3[[#This Row],[1000 PCS/WT.]]/1000</f>
        <v>1.5429999999999999</v>
      </c>
      <c r="F280" s="2" t="s">
        <v>741</v>
      </c>
      <c r="G280" s="6" t="s">
        <v>1329</v>
      </c>
      <c r="H280" s="70">
        <v>50</v>
      </c>
      <c r="I280" s="72">
        <f>FastenersPriceList3[[#This Row],[Quantity (kg)]]/FastenersPriceList3[[#This Row],[SINGLE PC. WT.]]</f>
        <v>32.404406999351913</v>
      </c>
      <c r="J280" s="3">
        <v>138</v>
      </c>
      <c r="K280" s="3">
        <f>FastenersPriceList3[[#This Row],[1000 PCS/WT.]]*FastenersPriceList3[[#This Row],[Rate / PER kg (₹)]]</f>
        <v>212934</v>
      </c>
      <c r="L280" s="4">
        <f>FastenersPriceList3[[#This Row],[Rate / PER kg (₹)]]*FastenersPriceList3[[#This Row],[Quantity (kg)]]</f>
        <v>6900</v>
      </c>
      <c r="M280" s="4">
        <f>FastenersPriceList3[[#This Row],[SINGLE PC. WT.]]*FastenersPriceList3[[#This Row],[Rate / PER kg (₹)]]</f>
        <v>212.934</v>
      </c>
    </row>
    <row r="281" spans="1:13" ht="22.05" customHeight="1" x14ac:dyDescent="0.3">
      <c r="A281" s="2" t="s">
        <v>1603</v>
      </c>
      <c r="B281" s="12" t="s">
        <v>8</v>
      </c>
      <c r="C281" s="12">
        <v>8.8000000000000007</v>
      </c>
      <c r="D281" s="2">
        <v>1598.25</v>
      </c>
      <c r="E281" s="2">
        <f>FastenersPriceList3[[#This Row],[1000 PCS/WT.]]/1000</f>
        <v>1.5982499999999999</v>
      </c>
      <c r="F281" s="2" t="s">
        <v>742</v>
      </c>
      <c r="G281" s="6" t="s">
        <v>1329</v>
      </c>
      <c r="H281" s="70">
        <v>50</v>
      </c>
      <c r="I281" s="72">
        <f>FastenersPriceList3[[#This Row],[Quantity (kg)]]/FastenersPriceList3[[#This Row],[SINGLE PC. WT.]]</f>
        <v>31.284217112466763</v>
      </c>
      <c r="J281" s="3">
        <v>138</v>
      </c>
      <c r="K281" s="3">
        <f>FastenersPriceList3[[#This Row],[1000 PCS/WT.]]*FastenersPriceList3[[#This Row],[Rate / PER kg (₹)]]</f>
        <v>220558.5</v>
      </c>
      <c r="L281" s="4">
        <f>FastenersPriceList3[[#This Row],[Rate / PER kg (₹)]]*FastenersPriceList3[[#This Row],[Quantity (kg)]]</f>
        <v>6900</v>
      </c>
      <c r="M281" s="4">
        <f>FastenersPriceList3[[#This Row],[SINGLE PC. WT.]]*FastenersPriceList3[[#This Row],[Rate / PER kg (₹)]]</f>
        <v>220.55849999999998</v>
      </c>
    </row>
    <row r="282" spans="1:13" ht="22.05" customHeight="1" x14ac:dyDescent="0.3">
      <c r="A282" s="2" t="s">
        <v>1604</v>
      </c>
      <c r="B282" s="12" t="s">
        <v>8</v>
      </c>
      <c r="C282" s="12">
        <v>8.8000000000000007</v>
      </c>
      <c r="D282" s="2">
        <v>1653.5</v>
      </c>
      <c r="E282" s="2">
        <f>FastenersPriceList3[[#This Row],[1000 PCS/WT.]]/1000</f>
        <v>1.6535</v>
      </c>
      <c r="F282" s="2" t="s">
        <v>743</v>
      </c>
      <c r="G282" s="6" t="s">
        <v>1329</v>
      </c>
      <c r="H282" s="70">
        <v>50</v>
      </c>
      <c r="I282" s="72">
        <f>FastenersPriceList3[[#This Row],[Quantity (kg)]]/FastenersPriceList3[[#This Row],[SINGLE PC. WT.]]</f>
        <v>30.238887208950711</v>
      </c>
      <c r="J282" s="3">
        <v>138</v>
      </c>
      <c r="K282" s="3">
        <f>FastenersPriceList3[[#This Row],[1000 PCS/WT.]]*FastenersPriceList3[[#This Row],[Rate / PER kg (₹)]]</f>
        <v>228183</v>
      </c>
      <c r="L282" s="4">
        <f>FastenersPriceList3[[#This Row],[Rate / PER kg (₹)]]*FastenersPriceList3[[#This Row],[Quantity (kg)]]</f>
        <v>6900</v>
      </c>
      <c r="M282" s="4">
        <f>FastenersPriceList3[[#This Row],[SINGLE PC. WT.]]*FastenersPriceList3[[#This Row],[Rate / PER kg (₹)]]</f>
        <v>228.18299999999999</v>
      </c>
    </row>
    <row r="283" spans="1:13" ht="22.05" customHeight="1" x14ac:dyDescent="0.3">
      <c r="A283" s="2" t="s">
        <v>1605</v>
      </c>
      <c r="B283" s="12" t="s">
        <v>8</v>
      </c>
      <c r="C283" s="12">
        <v>8.8000000000000007</v>
      </c>
      <c r="D283" s="2">
        <v>1708.75</v>
      </c>
      <c r="E283" s="2">
        <f>FastenersPriceList3[[#This Row],[1000 PCS/WT.]]/1000</f>
        <v>1.70875</v>
      </c>
      <c r="F283" s="2" t="s">
        <v>744</v>
      </c>
      <c r="G283" s="6" t="s">
        <v>1329</v>
      </c>
      <c r="H283" s="70">
        <v>50</v>
      </c>
      <c r="I283" s="72">
        <f>FastenersPriceList3[[#This Row],[Quantity (kg)]]/FastenersPriceList3[[#This Row],[SINGLE PC. WT.]]</f>
        <v>29.261155815654718</v>
      </c>
      <c r="J283" s="3">
        <v>138</v>
      </c>
      <c r="K283" s="3">
        <f>FastenersPriceList3[[#This Row],[1000 PCS/WT.]]*FastenersPriceList3[[#This Row],[Rate / PER kg (₹)]]</f>
        <v>235807.5</v>
      </c>
      <c r="L283" s="4">
        <f>FastenersPriceList3[[#This Row],[Rate / PER kg (₹)]]*FastenersPriceList3[[#This Row],[Quantity (kg)]]</f>
        <v>6900</v>
      </c>
      <c r="M283" s="4">
        <f>FastenersPriceList3[[#This Row],[SINGLE PC. WT.]]*FastenersPriceList3[[#This Row],[Rate / PER kg (₹)]]</f>
        <v>235.8075</v>
      </c>
    </row>
    <row r="284" spans="1:13" ht="22.05" customHeight="1" x14ac:dyDescent="0.3">
      <c r="A284" s="2" t="s">
        <v>1606</v>
      </c>
      <c r="B284" s="12" t="s">
        <v>8</v>
      </c>
      <c r="C284" s="12">
        <v>8.8000000000000007</v>
      </c>
      <c r="D284" s="2">
        <v>1764</v>
      </c>
      <c r="E284" s="2">
        <f>FastenersPriceList3[[#This Row],[1000 PCS/WT.]]/1000</f>
        <v>1.764</v>
      </c>
      <c r="F284" s="2" t="s">
        <v>745</v>
      </c>
      <c r="G284" s="6" t="s">
        <v>1329</v>
      </c>
      <c r="H284" s="70">
        <v>50</v>
      </c>
      <c r="I284" s="72">
        <f>FastenersPriceList3[[#This Row],[Quantity (kg)]]/FastenersPriceList3[[#This Row],[SINGLE PC. WT.]]</f>
        <v>28.344671201814059</v>
      </c>
      <c r="J284" s="3">
        <v>138</v>
      </c>
      <c r="K284" s="3">
        <f>FastenersPriceList3[[#This Row],[1000 PCS/WT.]]*FastenersPriceList3[[#This Row],[Rate / PER kg (₹)]]</f>
        <v>243432</v>
      </c>
      <c r="L284" s="4">
        <f>FastenersPriceList3[[#This Row],[Rate / PER kg (₹)]]*FastenersPriceList3[[#This Row],[Quantity (kg)]]</f>
        <v>6900</v>
      </c>
      <c r="M284" s="4">
        <f>FastenersPriceList3[[#This Row],[SINGLE PC. WT.]]*FastenersPriceList3[[#This Row],[Rate / PER kg (₹)]]</f>
        <v>243.43199999999999</v>
      </c>
    </row>
    <row r="285" spans="1:13" ht="22.05" customHeight="1" x14ac:dyDescent="0.3">
      <c r="A285" s="2" t="s">
        <v>1607</v>
      </c>
      <c r="B285" s="12" t="s">
        <v>8</v>
      </c>
      <c r="C285" s="12">
        <v>8.8000000000000007</v>
      </c>
      <c r="D285" s="2">
        <v>1819.25</v>
      </c>
      <c r="E285" s="2">
        <f>FastenersPriceList3[[#This Row],[1000 PCS/WT.]]/1000</f>
        <v>1.81925</v>
      </c>
      <c r="F285" s="2" t="s">
        <v>746</v>
      </c>
      <c r="G285" s="6" t="s">
        <v>1329</v>
      </c>
      <c r="H285" s="70">
        <v>50</v>
      </c>
      <c r="I285" s="72">
        <f>FastenersPriceList3[[#This Row],[Quantity (kg)]]/FastenersPriceList3[[#This Row],[SINGLE PC. WT.]]</f>
        <v>27.48385323622372</v>
      </c>
      <c r="J285" s="3">
        <v>138</v>
      </c>
      <c r="K285" s="3">
        <f>FastenersPriceList3[[#This Row],[1000 PCS/WT.]]*FastenersPriceList3[[#This Row],[Rate / PER kg (₹)]]</f>
        <v>251056.5</v>
      </c>
      <c r="L285" s="4">
        <f>FastenersPriceList3[[#This Row],[Rate / PER kg (₹)]]*FastenersPriceList3[[#This Row],[Quantity (kg)]]</f>
        <v>6900</v>
      </c>
      <c r="M285" s="4">
        <f>FastenersPriceList3[[#This Row],[SINGLE PC. WT.]]*FastenersPriceList3[[#This Row],[Rate / PER kg (₹)]]</f>
        <v>251.0565</v>
      </c>
    </row>
    <row r="286" spans="1:13" ht="22.05" customHeight="1" x14ac:dyDescent="0.3">
      <c r="A286" s="2" t="s">
        <v>1608</v>
      </c>
      <c r="B286" s="12" t="s">
        <v>8</v>
      </c>
      <c r="C286" s="12">
        <v>8.8000000000000007</v>
      </c>
      <c r="D286" s="2">
        <v>1874.5</v>
      </c>
      <c r="E286" s="2">
        <f>FastenersPriceList3[[#This Row],[1000 PCS/WT.]]/1000</f>
        <v>1.8745000000000001</v>
      </c>
      <c r="F286" s="2" t="s">
        <v>747</v>
      </c>
      <c r="G286" s="6" t="s">
        <v>1329</v>
      </c>
      <c r="H286" s="70">
        <v>50</v>
      </c>
      <c r="I286" s="72">
        <f>FastenersPriceList3[[#This Row],[Quantity (kg)]]/FastenersPriceList3[[#This Row],[SINGLE PC. WT.]]</f>
        <v>26.673779674579887</v>
      </c>
      <c r="J286" s="3">
        <v>138</v>
      </c>
      <c r="K286" s="3">
        <f>FastenersPriceList3[[#This Row],[1000 PCS/WT.]]*FastenersPriceList3[[#This Row],[Rate / PER kg (₹)]]</f>
        <v>258681</v>
      </c>
      <c r="L286" s="4">
        <f>FastenersPriceList3[[#This Row],[Rate / PER kg (₹)]]*FastenersPriceList3[[#This Row],[Quantity (kg)]]</f>
        <v>6900</v>
      </c>
      <c r="M286" s="4">
        <f>FastenersPriceList3[[#This Row],[SINGLE PC. WT.]]*FastenersPriceList3[[#This Row],[Rate / PER kg (₹)]]</f>
        <v>258.68099999999998</v>
      </c>
    </row>
    <row r="287" spans="1:13" ht="22.05" customHeight="1" x14ac:dyDescent="0.3">
      <c r="A287" s="2" t="s">
        <v>1609</v>
      </c>
      <c r="B287" s="12" t="s">
        <v>8</v>
      </c>
      <c r="C287" s="12">
        <v>8.8000000000000007</v>
      </c>
      <c r="D287" s="2">
        <v>592</v>
      </c>
      <c r="E287" s="2">
        <f>FastenersPriceList3[[#This Row],[1000 PCS/WT.]]/1000</f>
        <v>0.59199999999999997</v>
      </c>
      <c r="F287" s="2" t="s">
        <v>748</v>
      </c>
      <c r="G287" s="6" t="s">
        <v>1329</v>
      </c>
      <c r="H287" s="70">
        <v>50</v>
      </c>
      <c r="I287" s="72">
        <f>FastenersPriceList3[[#This Row],[Quantity (kg)]]/FastenersPriceList3[[#This Row],[SINGLE PC. WT.]]</f>
        <v>84.459459459459467</v>
      </c>
      <c r="J287" s="3">
        <v>130</v>
      </c>
      <c r="K287" s="3">
        <f>FastenersPriceList3[[#This Row],[1000 PCS/WT.]]*FastenersPriceList3[[#This Row],[Rate / PER kg (₹)]]</f>
        <v>76960</v>
      </c>
      <c r="L287" s="4">
        <f>FastenersPriceList3[[#This Row],[Rate / PER kg (₹)]]*FastenersPriceList3[[#This Row],[Quantity (kg)]]</f>
        <v>6500</v>
      </c>
      <c r="M287" s="4">
        <f>FastenersPriceList3[[#This Row],[SINGLE PC. WT.]]*FastenersPriceList3[[#This Row],[Rate / PER kg (₹)]]</f>
        <v>76.959999999999994</v>
      </c>
    </row>
    <row r="288" spans="1:13" ht="22.05" customHeight="1" x14ac:dyDescent="0.3">
      <c r="A288" s="2" t="s">
        <v>1610</v>
      </c>
      <c r="B288" s="12" t="s">
        <v>8</v>
      </c>
      <c r="C288" s="12">
        <v>8.8000000000000007</v>
      </c>
      <c r="D288" s="2">
        <v>620</v>
      </c>
      <c r="E288" s="2">
        <f>FastenersPriceList3[[#This Row],[1000 PCS/WT.]]/1000</f>
        <v>0.62</v>
      </c>
      <c r="F288" s="2" t="s">
        <v>749</v>
      </c>
      <c r="G288" s="6" t="s">
        <v>1329</v>
      </c>
      <c r="H288" s="70">
        <v>50</v>
      </c>
      <c r="I288" s="72">
        <f>FastenersPriceList3[[#This Row],[Quantity (kg)]]/FastenersPriceList3[[#This Row],[SINGLE PC. WT.]]</f>
        <v>80.645161290322577</v>
      </c>
      <c r="J288" s="3">
        <v>130</v>
      </c>
      <c r="K288" s="3">
        <f>FastenersPriceList3[[#This Row],[1000 PCS/WT.]]*FastenersPriceList3[[#This Row],[Rate / PER kg (₹)]]</f>
        <v>80600</v>
      </c>
      <c r="L288" s="4">
        <f>FastenersPriceList3[[#This Row],[Rate / PER kg (₹)]]*FastenersPriceList3[[#This Row],[Quantity (kg)]]</f>
        <v>6500</v>
      </c>
      <c r="M288" s="4">
        <f>FastenersPriceList3[[#This Row],[SINGLE PC. WT.]]*FastenersPriceList3[[#This Row],[Rate / PER kg (₹)]]</f>
        <v>80.599999999999994</v>
      </c>
    </row>
    <row r="289" spans="1:13" ht="22.05" customHeight="1" x14ac:dyDescent="0.3">
      <c r="A289" s="2" t="s">
        <v>1611</v>
      </c>
      <c r="B289" s="12" t="s">
        <v>8</v>
      </c>
      <c r="C289" s="12">
        <v>8.8000000000000007</v>
      </c>
      <c r="D289" s="2">
        <v>648</v>
      </c>
      <c r="E289" s="2">
        <f>FastenersPriceList3[[#This Row],[1000 PCS/WT.]]/1000</f>
        <v>0.64800000000000002</v>
      </c>
      <c r="F289" s="2" t="s">
        <v>750</v>
      </c>
      <c r="G289" s="6" t="s">
        <v>1329</v>
      </c>
      <c r="H289" s="70">
        <v>50</v>
      </c>
      <c r="I289" s="72">
        <f>FastenersPriceList3[[#This Row],[Quantity (kg)]]/FastenersPriceList3[[#This Row],[SINGLE PC. WT.]]</f>
        <v>77.160493827160494</v>
      </c>
      <c r="J289" s="3">
        <v>130</v>
      </c>
      <c r="K289" s="3">
        <f>FastenersPriceList3[[#This Row],[1000 PCS/WT.]]*FastenersPriceList3[[#This Row],[Rate / PER kg (₹)]]</f>
        <v>84240</v>
      </c>
      <c r="L289" s="4">
        <f>FastenersPriceList3[[#This Row],[Rate / PER kg (₹)]]*FastenersPriceList3[[#This Row],[Quantity (kg)]]</f>
        <v>6500</v>
      </c>
      <c r="M289" s="4">
        <f>FastenersPriceList3[[#This Row],[SINGLE PC. WT.]]*FastenersPriceList3[[#This Row],[Rate / PER kg (₹)]]</f>
        <v>84.240000000000009</v>
      </c>
    </row>
    <row r="290" spans="1:13" ht="22.05" customHeight="1" x14ac:dyDescent="0.3">
      <c r="A290" s="2" t="s">
        <v>1612</v>
      </c>
      <c r="B290" s="12" t="s">
        <v>8</v>
      </c>
      <c r="C290" s="12">
        <v>8.8000000000000007</v>
      </c>
      <c r="D290" s="2">
        <v>676</v>
      </c>
      <c r="E290" s="2">
        <f>FastenersPriceList3[[#This Row],[1000 PCS/WT.]]/1000</f>
        <v>0.67600000000000005</v>
      </c>
      <c r="F290" s="2" t="s">
        <v>751</v>
      </c>
      <c r="G290" s="6" t="s">
        <v>1329</v>
      </c>
      <c r="H290" s="70">
        <v>50</v>
      </c>
      <c r="I290" s="72">
        <f>FastenersPriceList3[[#This Row],[Quantity (kg)]]/FastenersPriceList3[[#This Row],[SINGLE PC. WT.]]</f>
        <v>73.964497041420117</v>
      </c>
      <c r="J290" s="3">
        <v>130</v>
      </c>
      <c r="K290" s="3">
        <f>FastenersPriceList3[[#This Row],[1000 PCS/WT.]]*FastenersPriceList3[[#This Row],[Rate / PER kg (₹)]]</f>
        <v>87880</v>
      </c>
      <c r="L290" s="4">
        <f>FastenersPriceList3[[#This Row],[Rate / PER kg (₹)]]*FastenersPriceList3[[#This Row],[Quantity (kg)]]</f>
        <v>6500</v>
      </c>
      <c r="M290" s="4">
        <f>FastenersPriceList3[[#This Row],[SINGLE PC. WT.]]*FastenersPriceList3[[#This Row],[Rate / PER kg (₹)]]</f>
        <v>87.88000000000001</v>
      </c>
    </row>
    <row r="291" spans="1:13" ht="22.05" customHeight="1" x14ac:dyDescent="0.3">
      <c r="A291" s="2" t="s">
        <v>1613</v>
      </c>
      <c r="B291" s="12" t="s">
        <v>8</v>
      </c>
      <c r="C291" s="12">
        <v>8.8000000000000007</v>
      </c>
      <c r="D291" s="2">
        <v>704</v>
      </c>
      <c r="E291" s="2">
        <f>FastenersPriceList3[[#This Row],[1000 PCS/WT.]]/1000</f>
        <v>0.70399999999999996</v>
      </c>
      <c r="F291" s="2" t="s">
        <v>752</v>
      </c>
      <c r="G291" s="6" t="s">
        <v>1329</v>
      </c>
      <c r="H291" s="70">
        <v>50</v>
      </c>
      <c r="I291" s="72">
        <f>FastenersPriceList3[[#This Row],[Quantity (kg)]]/FastenersPriceList3[[#This Row],[SINGLE PC. WT.]]</f>
        <v>71.02272727272728</v>
      </c>
      <c r="J291" s="3">
        <v>130</v>
      </c>
      <c r="K291" s="3">
        <f>FastenersPriceList3[[#This Row],[1000 PCS/WT.]]*FastenersPriceList3[[#This Row],[Rate / PER kg (₹)]]</f>
        <v>91520</v>
      </c>
      <c r="L291" s="4">
        <f>FastenersPriceList3[[#This Row],[Rate / PER kg (₹)]]*FastenersPriceList3[[#This Row],[Quantity (kg)]]</f>
        <v>6500</v>
      </c>
      <c r="M291" s="4">
        <f>FastenersPriceList3[[#This Row],[SINGLE PC. WT.]]*FastenersPriceList3[[#This Row],[Rate / PER kg (₹)]]</f>
        <v>91.52</v>
      </c>
    </row>
    <row r="292" spans="1:13" ht="22.05" customHeight="1" x14ac:dyDescent="0.3">
      <c r="A292" s="2" t="s">
        <v>1614</v>
      </c>
      <c r="B292" s="12" t="s">
        <v>8</v>
      </c>
      <c r="C292" s="12">
        <v>8.8000000000000007</v>
      </c>
      <c r="D292" s="2">
        <v>732</v>
      </c>
      <c r="E292" s="2">
        <f>FastenersPriceList3[[#This Row],[1000 PCS/WT.]]/1000</f>
        <v>0.73199999999999998</v>
      </c>
      <c r="F292" s="2" t="s">
        <v>753</v>
      </c>
      <c r="G292" s="6" t="s">
        <v>1329</v>
      </c>
      <c r="H292" s="70">
        <v>50</v>
      </c>
      <c r="I292" s="72">
        <f>FastenersPriceList3[[#This Row],[Quantity (kg)]]/FastenersPriceList3[[#This Row],[SINGLE PC. WT.]]</f>
        <v>68.306010928961754</v>
      </c>
      <c r="J292" s="3">
        <v>130</v>
      </c>
      <c r="K292" s="3">
        <f>FastenersPriceList3[[#This Row],[1000 PCS/WT.]]*FastenersPriceList3[[#This Row],[Rate / PER kg (₹)]]</f>
        <v>95160</v>
      </c>
      <c r="L292" s="4">
        <f>FastenersPriceList3[[#This Row],[Rate / PER kg (₹)]]*FastenersPriceList3[[#This Row],[Quantity (kg)]]</f>
        <v>6500</v>
      </c>
      <c r="M292" s="4">
        <f>FastenersPriceList3[[#This Row],[SINGLE PC. WT.]]*FastenersPriceList3[[#This Row],[Rate / PER kg (₹)]]</f>
        <v>95.16</v>
      </c>
    </row>
    <row r="293" spans="1:13" ht="22.05" customHeight="1" x14ac:dyDescent="0.3">
      <c r="A293" s="2" t="s">
        <v>1615</v>
      </c>
      <c r="B293" s="12" t="s">
        <v>8</v>
      </c>
      <c r="C293" s="12">
        <v>8.8000000000000007</v>
      </c>
      <c r="D293" s="2">
        <v>760</v>
      </c>
      <c r="E293" s="2">
        <f>FastenersPriceList3[[#This Row],[1000 PCS/WT.]]/1000</f>
        <v>0.76</v>
      </c>
      <c r="F293" s="2" t="s">
        <v>754</v>
      </c>
      <c r="G293" s="6" t="s">
        <v>1329</v>
      </c>
      <c r="H293" s="70">
        <v>50</v>
      </c>
      <c r="I293" s="72">
        <f>FastenersPriceList3[[#This Row],[Quantity (kg)]]/FastenersPriceList3[[#This Row],[SINGLE PC. WT.]]</f>
        <v>65.78947368421052</v>
      </c>
      <c r="J293" s="3">
        <v>130</v>
      </c>
      <c r="K293" s="3">
        <f>FastenersPriceList3[[#This Row],[1000 PCS/WT.]]*FastenersPriceList3[[#This Row],[Rate / PER kg (₹)]]</f>
        <v>98800</v>
      </c>
      <c r="L293" s="4">
        <f>FastenersPriceList3[[#This Row],[Rate / PER kg (₹)]]*FastenersPriceList3[[#This Row],[Quantity (kg)]]</f>
        <v>6500</v>
      </c>
      <c r="M293" s="4">
        <f>FastenersPriceList3[[#This Row],[SINGLE PC. WT.]]*FastenersPriceList3[[#This Row],[Rate / PER kg (₹)]]</f>
        <v>98.8</v>
      </c>
    </row>
    <row r="294" spans="1:13" ht="22.05" customHeight="1" x14ac:dyDescent="0.3">
      <c r="A294" s="2" t="s">
        <v>1616</v>
      </c>
      <c r="B294" s="12" t="s">
        <v>8</v>
      </c>
      <c r="C294" s="12">
        <v>8.8000000000000007</v>
      </c>
      <c r="D294" s="2">
        <v>788</v>
      </c>
      <c r="E294" s="2">
        <f>FastenersPriceList3[[#This Row],[1000 PCS/WT.]]/1000</f>
        <v>0.78800000000000003</v>
      </c>
      <c r="F294" s="2" t="s">
        <v>755</v>
      </c>
      <c r="G294" s="6" t="s">
        <v>1329</v>
      </c>
      <c r="H294" s="70">
        <v>50</v>
      </c>
      <c r="I294" s="72">
        <f>FastenersPriceList3[[#This Row],[Quantity (kg)]]/FastenersPriceList3[[#This Row],[SINGLE PC. WT.]]</f>
        <v>63.451776649746193</v>
      </c>
      <c r="J294" s="3">
        <v>130</v>
      </c>
      <c r="K294" s="3">
        <f>FastenersPriceList3[[#This Row],[1000 PCS/WT.]]*FastenersPriceList3[[#This Row],[Rate / PER kg (₹)]]</f>
        <v>102440</v>
      </c>
      <c r="L294" s="4">
        <f>FastenersPriceList3[[#This Row],[Rate / PER kg (₹)]]*FastenersPriceList3[[#This Row],[Quantity (kg)]]</f>
        <v>6500</v>
      </c>
      <c r="M294" s="4">
        <f>FastenersPriceList3[[#This Row],[SINGLE PC. WT.]]*FastenersPriceList3[[#This Row],[Rate / PER kg (₹)]]</f>
        <v>102.44</v>
      </c>
    </row>
    <row r="295" spans="1:13" ht="22.05" customHeight="1" x14ac:dyDescent="0.3">
      <c r="A295" s="2" t="s">
        <v>1617</v>
      </c>
      <c r="B295" s="12" t="s">
        <v>8</v>
      </c>
      <c r="C295" s="12">
        <v>8.8000000000000007</v>
      </c>
      <c r="D295" s="2">
        <v>821</v>
      </c>
      <c r="E295" s="2">
        <f>FastenersPriceList3[[#This Row],[1000 PCS/WT.]]/1000</f>
        <v>0.82099999999999995</v>
      </c>
      <c r="F295" s="2" t="s">
        <v>756</v>
      </c>
      <c r="G295" s="6" t="s">
        <v>1329</v>
      </c>
      <c r="H295" s="70">
        <v>50</v>
      </c>
      <c r="I295" s="72">
        <f>FastenersPriceList3[[#This Row],[Quantity (kg)]]/FastenersPriceList3[[#This Row],[SINGLE PC. WT.]]</f>
        <v>60.90133982947625</v>
      </c>
      <c r="J295" s="3">
        <v>130</v>
      </c>
      <c r="K295" s="3">
        <f>FastenersPriceList3[[#This Row],[1000 PCS/WT.]]*FastenersPriceList3[[#This Row],[Rate / PER kg (₹)]]</f>
        <v>106730</v>
      </c>
      <c r="L295" s="4">
        <f>FastenersPriceList3[[#This Row],[Rate / PER kg (₹)]]*FastenersPriceList3[[#This Row],[Quantity (kg)]]</f>
        <v>6500</v>
      </c>
      <c r="M295" s="4">
        <f>FastenersPriceList3[[#This Row],[SINGLE PC. WT.]]*FastenersPriceList3[[#This Row],[Rate / PER kg (₹)]]</f>
        <v>106.72999999999999</v>
      </c>
    </row>
    <row r="296" spans="1:13" ht="22.05" customHeight="1" x14ac:dyDescent="0.3">
      <c r="A296" s="2" t="s">
        <v>1618</v>
      </c>
      <c r="B296" s="12" t="s">
        <v>8</v>
      </c>
      <c r="C296" s="12">
        <v>8.8000000000000007</v>
      </c>
      <c r="D296" s="2">
        <v>854</v>
      </c>
      <c r="E296" s="2">
        <f>FastenersPriceList3[[#This Row],[1000 PCS/WT.]]/1000</f>
        <v>0.85399999999999998</v>
      </c>
      <c r="F296" s="2" t="s">
        <v>757</v>
      </c>
      <c r="G296" s="6" t="s">
        <v>1329</v>
      </c>
      <c r="H296" s="70">
        <v>50</v>
      </c>
      <c r="I296" s="72">
        <f>FastenersPriceList3[[#This Row],[Quantity (kg)]]/FastenersPriceList3[[#This Row],[SINGLE PC. WT.]]</f>
        <v>58.548009367681502</v>
      </c>
      <c r="J296" s="3">
        <v>130</v>
      </c>
      <c r="K296" s="3">
        <f>FastenersPriceList3[[#This Row],[1000 PCS/WT.]]*FastenersPriceList3[[#This Row],[Rate / PER kg (₹)]]</f>
        <v>111020</v>
      </c>
      <c r="L296" s="4">
        <f>FastenersPriceList3[[#This Row],[Rate / PER kg (₹)]]*FastenersPriceList3[[#This Row],[Quantity (kg)]]</f>
        <v>6500</v>
      </c>
      <c r="M296" s="4">
        <f>FastenersPriceList3[[#This Row],[SINGLE PC. WT.]]*FastenersPriceList3[[#This Row],[Rate / PER kg (₹)]]</f>
        <v>111.02</v>
      </c>
    </row>
    <row r="297" spans="1:13" ht="22.05" customHeight="1" x14ac:dyDescent="0.3">
      <c r="A297" s="2" t="s">
        <v>1619</v>
      </c>
      <c r="B297" s="12" t="s">
        <v>8</v>
      </c>
      <c r="C297" s="12">
        <v>8.8000000000000007</v>
      </c>
      <c r="D297" s="2">
        <v>887</v>
      </c>
      <c r="E297" s="2">
        <f>FastenersPriceList3[[#This Row],[1000 PCS/WT.]]/1000</f>
        <v>0.88700000000000001</v>
      </c>
      <c r="F297" s="2" t="s">
        <v>758</v>
      </c>
      <c r="G297" s="6" t="s">
        <v>1329</v>
      </c>
      <c r="H297" s="70">
        <v>50</v>
      </c>
      <c r="I297" s="72">
        <f>FastenersPriceList3[[#This Row],[Quantity (kg)]]/FastenersPriceList3[[#This Row],[SINGLE PC. WT.]]</f>
        <v>56.369785794813978</v>
      </c>
      <c r="J297" s="3">
        <v>130</v>
      </c>
      <c r="K297" s="3">
        <f>FastenersPriceList3[[#This Row],[1000 PCS/WT.]]*FastenersPriceList3[[#This Row],[Rate / PER kg (₹)]]</f>
        <v>115310</v>
      </c>
      <c r="L297" s="4">
        <f>FastenersPriceList3[[#This Row],[Rate / PER kg (₹)]]*FastenersPriceList3[[#This Row],[Quantity (kg)]]</f>
        <v>6500</v>
      </c>
      <c r="M297" s="4">
        <f>FastenersPriceList3[[#This Row],[SINGLE PC. WT.]]*FastenersPriceList3[[#This Row],[Rate / PER kg (₹)]]</f>
        <v>115.31</v>
      </c>
    </row>
    <row r="298" spans="1:13" ht="22.05" customHeight="1" x14ac:dyDescent="0.3">
      <c r="A298" s="2" t="s">
        <v>1620</v>
      </c>
      <c r="B298" s="12" t="s">
        <v>8</v>
      </c>
      <c r="C298" s="12">
        <v>8.8000000000000007</v>
      </c>
      <c r="D298" s="2">
        <v>953</v>
      </c>
      <c r="E298" s="2">
        <f>FastenersPriceList3[[#This Row],[1000 PCS/WT.]]/1000</f>
        <v>0.95299999999999996</v>
      </c>
      <c r="F298" s="2" t="s">
        <v>759</v>
      </c>
      <c r="G298" s="6" t="s">
        <v>1329</v>
      </c>
      <c r="H298" s="70">
        <v>50</v>
      </c>
      <c r="I298" s="72">
        <f>FastenersPriceList3[[#This Row],[Quantity (kg)]]/FastenersPriceList3[[#This Row],[SINGLE PC. WT.]]</f>
        <v>52.465897166841557</v>
      </c>
      <c r="J298" s="3">
        <v>130</v>
      </c>
      <c r="K298" s="3">
        <f>FastenersPriceList3[[#This Row],[1000 PCS/WT.]]*FastenersPriceList3[[#This Row],[Rate / PER kg (₹)]]</f>
        <v>123890</v>
      </c>
      <c r="L298" s="4">
        <f>FastenersPriceList3[[#This Row],[Rate / PER kg (₹)]]*FastenersPriceList3[[#This Row],[Quantity (kg)]]</f>
        <v>6500</v>
      </c>
      <c r="M298" s="4">
        <f>FastenersPriceList3[[#This Row],[SINGLE PC. WT.]]*FastenersPriceList3[[#This Row],[Rate / PER kg (₹)]]</f>
        <v>123.89</v>
      </c>
    </row>
    <row r="299" spans="1:13" ht="22.05" customHeight="1" x14ac:dyDescent="0.3">
      <c r="A299" s="2" t="s">
        <v>1621</v>
      </c>
      <c r="B299" s="12" t="s">
        <v>8</v>
      </c>
      <c r="C299" s="12">
        <v>8.8000000000000007</v>
      </c>
      <c r="D299" s="2">
        <v>1023</v>
      </c>
      <c r="E299" s="2">
        <f>FastenersPriceList3[[#This Row],[1000 PCS/WT.]]/1000</f>
        <v>1.0229999999999999</v>
      </c>
      <c r="F299" s="2" t="s">
        <v>760</v>
      </c>
      <c r="G299" s="6" t="s">
        <v>1329</v>
      </c>
      <c r="H299" s="70">
        <v>50</v>
      </c>
      <c r="I299" s="72">
        <f>FastenersPriceList3[[#This Row],[Quantity (kg)]]/FastenersPriceList3[[#This Row],[SINGLE PC. WT.]]</f>
        <v>48.875855327468237</v>
      </c>
      <c r="J299" s="3">
        <v>115</v>
      </c>
      <c r="K299" s="3">
        <f>FastenersPriceList3[[#This Row],[1000 PCS/WT.]]*FastenersPriceList3[[#This Row],[Rate / PER kg (₹)]]</f>
        <v>117645</v>
      </c>
      <c r="L299" s="4">
        <f>FastenersPriceList3[[#This Row],[Rate / PER kg (₹)]]*FastenersPriceList3[[#This Row],[Quantity (kg)]]</f>
        <v>5750</v>
      </c>
      <c r="M299" s="4">
        <f>FastenersPriceList3[[#This Row],[SINGLE PC. WT.]]*FastenersPriceList3[[#This Row],[Rate / PER kg (₹)]]</f>
        <v>117.645</v>
      </c>
    </row>
    <row r="300" spans="1:13" ht="22.05" customHeight="1" x14ac:dyDescent="0.3">
      <c r="A300" s="2" t="s">
        <v>1622</v>
      </c>
      <c r="B300" s="12" t="s">
        <v>8</v>
      </c>
      <c r="C300" s="12">
        <v>8.8000000000000007</v>
      </c>
      <c r="D300" s="2">
        <v>1093</v>
      </c>
      <c r="E300" s="2">
        <f>FastenersPriceList3[[#This Row],[1000 PCS/WT.]]/1000</f>
        <v>1.093</v>
      </c>
      <c r="F300" s="2" t="s">
        <v>761</v>
      </c>
      <c r="G300" s="6" t="s">
        <v>1329</v>
      </c>
      <c r="H300" s="70">
        <v>50</v>
      </c>
      <c r="I300" s="72">
        <f>FastenersPriceList3[[#This Row],[Quantity (kg)]]/FastenersPriceList3[[#This Row],[SINGLE PC. WT.]]</f>
        <v>45.745654162854528</v>
      </c>
      <c r="J300" s="3">
        <v>135</v>
      </c>
      <c r="K300" s="3">
        <f>FastenersPriceList3[[#This Row],[1000 PCS/WT.]]*FastenersPriceList3[[#This Row],[Rate / PER kg (₹)]]</f>
        <v>147555</v>
      </c>
      <c r="L300" s="4">
        <f>FastenersPriceList3[[#This Row],[Rate / PER kg (₹)]]*FastenersPriceList3[[#This Row],[Quantity (kg)]]</f>
        <v>6750</v>
      </c>
      <c r="M300" s="4">
        <f>FastenersPriceList3[[#This Row],[SINGLE PC. WT.]]*FastenersPriceList3[[#This Row],[Rate / PER kg (₹)]]</f>
        <v>147.55500000000001</v>
      </c>
    </row>
    <row r="301" spans="1:13" ht="22.05" customHeight="1" x14ac:dyDescent="0.3">
      <c r="A301" s="2" t="s">
        <v>1623</v>
      </c>
      <c r="B301" s="12" t="s">
        <v>8</v>
      </c>
      <c r="C301" s="12">
        <v>8.8000000000000007</v>
      </c>
      <c r="D301" s="2">
        <v>1163</v>
      </c>
      <c r="E301" s="2">
        <f>FastenersPriceList3[[#This Row],[1000 PCS/WT.]]/1000</f>
        <v>1.163</v>
      </c>
      <c r="F301" s="2" t="s">
        <v>762</v>
      </c>
      <c r="G301" s="6" t="s">
        <v>1329</v>
      </c>
      <c r="H301" s="70">
        <v>50</v>
      </c>
      <c r="I301" s="72">
        <f>FastenersPriceList3[[#This Row],[Quantity (kg)]]/FastenersPriceList3[[#This Row],[SINGLE PC. WT.]]</f>
        <v>42.992261392949267</v>
      </c>
      <c r="J301" s="3">
        <v>135</v>
      </c>
      <c r="K301" s="3">
        <f>FastenersPriceList3[[#This Row],[1000 PCS/WT.]]*FastenersPriceList3[[#This Row],[Rate / PER kg (₹)]]</f>
        <v>157005</v>
      </c>
      <c r="L301" s="4">
        <f>FastenersPriceList3[[#This Row],[Rate / PER kg (₹)]]*FastenersPriceList3[[#This Row],[Quantity (kg)]]</f>
        <v>6750</v>
      </c>
      <c r="M301" s="4">
        <f>FastenersPriceList3[[#This Row],[SINGLE PC. WT.]]*FastenersPriceList3[[#This Row],[Rate / PER kg (₹)]]</f>
        <v>157.005</v>
      </c>
    </row>
    <row r="302" spans="1:13" ht="22.05" customHeight="1" x14ac:dyDescent="0.3">
      <c r="A302" s="2" t="s">
        <v>1624</v>
      </c>
      <c r="B302" s="12" t="s">
        <v>8</v>
      </c>
      <c r="C302" s="12">
        <v>8.8000000000000007</v>
      </c>
      <c r="D302" s="2">
        <v>1233</v>
      </c>
      <c r="E302" s="2">
        <f>FastenersPriceList3[[#This Row],[1000 PCS/WT.]]/1000</f>
        <v>1.2330000000000001</v>
      </c>
      <c r="F302" s="2" t="s">
        <v>763</v>
      </c>
      <c r="G302" s="6" t="s">
        <v>1329</v>
      </c>
      <c r="H302" s="70">
        <v>50</v>
      </c>
      <c r="I302" s="72">
        <f>FastenersPriceList3[[#This Row],[Quantity (kg)]]/FastenersPriceList3[[#This Row],[SINGLE PC. WT.]]</f>
        <v>40.551500405515</v>
      </c>
      <c r="J302" s="3">
        <v>135</v>
      </c>
      <c r="K302" s="3">
        <f>FastenersPriceList3[[#This Row],[1000 PCS/WT.]]*FastenersPriceList3[[#This Row],[Rate / PER kg (₹)]]</f>
        <v>166455</v>
      </c>
      <c r="L302" s="4">
        <f>FastenersPriceList3[[#This Row],[Rate / PER kg (₹)]]*FastenersPriceList3[[#This Row],[Quantity (kg)]]</f>
        <v>6750</v>
      </c>
      <c r="M302" s="4">
        <f>FastenersPriceList3[[#This Row],[SINGLE PC. WT.]]*FastenersPriceList3[[#This Row],[Rate / PER kg (₹)]]</f>
        <v>166.45500000000001</v>
      </c>
    </row>
    <row r="303" spans="1:13" ht="22.05" customHeight="1" x14ac:dyDescent="0.3">
      <c r="A303" s="2" t="s">
        <v>1625</v>
      </c>
      <c r="B303" s="12" t="s">
        <v>8</v>
      </c>
      <c r="C303" s="12">
        <v>8.8000000000000007</v>
      </c>
      <c r="D303" s="2">
        <v>1303</v>
      </c>
      <c r="E303" s="2">
        <f>FastenersPriceList3[[#This Row],[1000 PCS/WT.]]/1000</f>
        <v>1.3029999999999999</v>
      </c>
      <c r="F303" s="2" t="s">
        <v>764</v>
      </c>
      <c r="G303" s="6" t="s">
        <v>1329</v>
      </c>
      <c r="H303" s="70">
        <v>50</v>
      </c>
      <c r="I303" s="72">
        <f>FastenersPriceList3[[#This Row],[Quantity (kg)]]/FastenersPriceList3[[#This Row],[SINGLE PC. WT.]]</f>
        <v>38.372985418265543</v>
      </c>
      <c r="J303" s="3">
        <v>135</v>
      </c>
      <c r="K303" s="3">
        <f>FastenersPriceList3[[#This Row],[1000 PCS/WT.]]*FastenersPriceList3[[#This Row],[Rate / PER kg (₹)]]</f>
        <v>175905</v>
      </c>
      <c r="L303" s="4">
        <f>FastenersPriceList3[[#This Row],[Rate / PER kg (₹)]]*FastenersPriceList3[[#This Row],[Quantity (kg)]]</f>
        <v>6750</v>
      </c>
      <c r="M303" s="4">
        <f>FastenersPriceList3[[#This Row],[SINGLE PC. WT.]]*FastenersPriceList3[[#This Row],[Rate / PER kg (₹)]]</f>
        <v>175.905</v>
      </c>
    </row>
    <row r="304" spans="1:13" ht="22.05" customHeight="1" x14ac:dyDescent="0.3">
      <c r="A304" s="2" t="s">
        <v>1626</v>
      </c>
      <c r="B304" s="12" t="s">
        <v>8</v>
      </c>
      <c r="C304" s="12">
        <v>8.8000000000000007</v>
      </c>
      <c r="D304" s="2">
        <v>1373</v>
      </c>
      <c r="E304" s="2">
        <f>FastenersPriceList3[[#This Row],[1000 PCS/WT.]]/1000</f>
        <v>1.373</v>
      </c>
      <c r="F304" s="2" t="s">
        <v>765</v>
      </c>
      <c r="G304" s="6" t="s">
        <v>1329</v>
      </c>
      <c r="H304" s="70">
        <v>50</v>
      </c>
      <c r="I304" s="72">
        <f>FastenersPriceList3[[#This Row],[Quantity (kg)]]/FastenersPriceList3[[#This Row],[SINGLE PC. WT.]]</f>
        <v>36.416605972323381</v>
      </c>
      <c r="J304" s="3">
        <v>135</v>
      </c>
      <c r="K304" s="3">
        <f>FastenersPriceList3[[#This Row],[1000 PCS/WT.]]*FastenersPriceList3[[#This Row],[Rate / PER kg (₹)]]</f>
        <v>185355</v>
      </c>
      <c r="L304" s="4">
        <f>FastenersPriceList3[[#This Row],[Rate / PER kg (₹)]]*FastenersPriceList3[[#This Row],[Quantity (kg)]]</f>
        <v>6750</v>
      </c>
      <c r="M304" s="4">
        <f>FastenersPriceList3[[#This Row],[SINGLE PC. WT.]]*FastenersPriceList3[[#This Row],[Rate / PER kg (₹)]]</f>
        <v>185.35499999999999</v>
      </c>
    </row>
    <row r="305" spans="1:13" ht="22.05" customHeight="1" x14ac:dyDescent="0.3">
      <c r="A305" s="2" t="s">
        <v>1627</v>
      </c>
      <c r="B305" s="12" t="s">
        <v>8</v>
      </c>
      <c r="C305" s="12">
        <v>8.8000000000000007</v>
      </c>
      <c r="D305" s="2">
        <v>1443</v>
      </c>
      <c r="E305" s="2">
        <f>FastenersPriceList3[[#This Row],[1000 PCS/WT.]]/1000</f>
        <v>1.4430000000000001</v>
      </c>
      <c r="F305" s="2" t="s">
        <v>766</v>
      </c>
      <c r="G305" s="6" t="s">
        <v>1329</v>
      </c>
      <c r="H305" s="70">
        <v>50</v>
      </c>
      <c r="I305" s="72">
        <f>FastenersPriceList3[[#This Row],[Quantity (kg)]]/FastenersPriceList3[[#This Row],[SINGLE PC. WT.]]</f>
        <v>34.650034650034648</v>
      </c>
      <c r="J305" s="3">
        <v>135</v>
      </c>
      <c r="K305" s="3">
        <f>FastenersPriceList3[[#This Row],[1000 PCS/WT.]]*FastenersPriceList3[[#This Row],[Rate / PER kg (₹)]]</f>
        <v>194805</v>
      </c>
      <c r="L305" s="4">
        <f>FastenersPriceList3[[#This Row],[Rate / PER kg (₹)]]*FastenersPriceList3[[#This Row],[Quantity (kg)]]</f>
        <v>6750</v>
      </c>
      <c r="M305" s="4">
        <f>FastenersPriceList3[[#This Row],[SINGLE PC. WT.]]*FastenersPriceList3[[#This Row],[Rate / PER kg (₹)]]</f>
        <v>194.80500000000001</v>
      </c>
    </row>
    <row r="306" spans="1:13" ht="22.05" customHeight="1" x14ac:dyDescent="0.3">
      <c r="A306" s="2" t="s">
        <v>1628</v>
      </c>
      <c r="B306" s="12" t="s">
        <v>8</v>
      </c>
      <c r="C306" s="12">
        <v>8.8000000000000007</v>
      </c>
      <c r="D306" s="2">
        <v>1513</v>
      </c>
      <c r="E306" s="2">
        <f>FastenersPriceList3[[#This Row],[1000 PCS/WT.]]/1000</f>
        <v>1.5129999999999999</v>
      </c>
      <c r="F306" s="2" t="s">
        <v>767</v>
      </c>
      <c r="G306" s="6" t="s">
        <v>1329</v>
      </c>
      <c r="H306" s="70">
        <v>50</v>
      </c>
      <c r="I306" s="72">
        <f>FastenersPriceList3[[#This Row],[Quantity (kg)]]/FastenersPriceList3[[#This Row],[SINGLE PC. WT.]]</f>
        <v>33.046926635822871</v>
      </c>
      <c r="J306" s="3">
        <v>135</v>
      </c>
      <c r="K306" s="3">
        <f>FastenersPriceList3[[#This Row],[1000 PCS/WT.]]*FastenersPriceList3[[#This Row],[Rate / PER kg (₹)]]</f>
        <v>204255</v>
      </c>
      <c r="L306" s="4">
        <f>FastenersPriceList3[[#This Row],[Rate / PER kg (₹)]]*FastenersPriceList3[[#This Row],[Quantity (kg)]]</f>
        <v>6750</v>
      </c>
      <c r="M306" s="4">
        <f>FastenersPriceList3[[#This Row],[SINGLE PC. WT.]]*FastenersPriceList3[[#This Row],[Rate / PER kg (₹)]]</f>
        <v>204.255</v>
      </c>
    </row>
    <row r="307" spans="1:13" ht="22.05" customHeight="1" x14ac:dyDescent="0.3">
      <c r="A307" s="2" t="s">
        <v>1629</v>
      </c>
      <c r="B307" s="12" t="s">
        <v>8</v>
      </c>
      <c r="C307" s="12">
        <v>8.8000000000000007</v>
      </c>
      <c r="D307" s="2">
        <v>1583</v>
      </c>
      <c r="E307" s="2">
        <f>FastenersPriceList3[[#This Row],[1000 PCS/WT.]]/1000</f>
        <v>1.583</v>
      </c>
      <c r="F307" s="2" t="s">
        <v>768</v>
      </c>
      <c r="G307" s="6" t="s">
        <v>1329</v>
      </c>
      <c r="H307" s="70">
        <v>50</v>
      </c>
      <c r="I307" s="72">
        <f>FastenersPriceList3[[#This Row],[Quantity (kg)]]/FastenersPriceList3[[#This Row],[SINGLE PC. WT.]]</f>
        <v>31.585596967782692</v>
      </c>
      <c r="J307" s="3">
        <v>135</v>
      </c>
      <c r="K307" s="3">
        <f>FastenersPriceList3[[#This Row],[1000 PCS/WT.]]*FastenersPriceList3[[#This Row],[Rate / PER kg (₹)]]</f>
        <v>213705</v>
      </c>
      <c r="L307" s="4">
        <f>FastenersPriceList3[[#This Row],[Rate / PER kg (₹)]]*FastenersPriceList3[[#This Row],[Quantity (kg)]]</f>
        <v>6750</v>
      </c>
      <c r="M307" s="4">
        <f>FastenersPriceList3[[#This Row],[SINGLE PC. WT.]]*FastenersPriceList3[[#This Row],[Rate / PER kg (₹)]]</f>
        <v>213.70499999999998</v>
      </c>
    </row>
    <row r="308" spans="1:13" ht="22.05" customHeight="1" x14ac:dyDescent="0.3">
      <c r="A308" s="2" t="s">
        <v>1630</v>
      </c>
      <c r="B308" s="12" t="s">
        <v>8</v>
      </c>
      <c r="C308" s="12">
        <v>8.8000000000000007</v>
      </c>
      <c r="D308" s="2">
        <v>1653</v>
      </c>
      <c r="E308" s="2">
        <f>FastenersPriceList3[[#This Row],[1000 PCS/WT.]]/1000</f>
        <v>1.653</v>
      </c>
      <c r="F308" s="2" t="s">
        <v>769</v>
      </c>
      <c r="G308" s="6" t="s">
        <v>1329</v>
      </c>
      <c r="H308" s="70">
        <v>50</v>
      </c>
      <c r="I308" s="72">
        <f>FastenersPriceList3[[#This Row],[Quantity (kg)]]/FastenersPriceList3[[#This Row],[SINGLE PC. WT.]]</f>
        <v>30.248033877797944</v>
      </c>
      <c r="J308" s="3">
        <v>135</v>
      </c>
      <c r="K308" s="3">
        <f>FastenersPriceList3[[#This Row],[1000 PCS/WT.]]*FastenersPriceList3[[#This Row],[Rate / PER kg (₹)]]</f>
        <v>223155</v>
      </c>
      <c r="L308" s="4">
        <f>FastenersPriceList3[[#This Row],[Rate / PER kg (₹)]]*FastenersPriceList3[[#This Row],[Quantity (kg)]]</f>
        <v>6750</v>
      </c>
      <c r="M308" s="4">
        <f>FastenersPriceList3[[#This Row],[SINGLE PC. WT.]]*FastenersPriceList3[[#This Row],[Rate / PER kg (₹)]]</f>
        <v>223.155</v>
      </c>
    </row>
    <row r="309" spans="1:13" ht="22.05" customHeight="1" x14ac:dyDescent="0.3">
      <c r="A309" s="2" t="s">
        <v>1631</v>
      </c>
      <c r="B309" s="12" t="s">
        <v>8</v>
      </c>
      <c r="C309" s="12">
        <v>8.8000000000000007</v>
      </c>
      <c r="D309" s="2">
        <v>1723</v>
      </c>
      <c r="E309" s="2">
        <f>FastenersPriceList3[[#This Row],[1000 PCS/WT.]]/1000</f>
        <v>1.7230000000000001</v>
      </c>
      <c r="F309" s="2" t="s">
        <v>770</v>
      </c>
      <c r="G309" s="6" t="s">
        <v>1329</v>
      </c>
      <c r="H309" s="70">
        <v>50</v>
      </c>
      <c r="I309" s="72">
        <f>FastenersPriceList3[[#This Row],[Quantity (kg)]]/FastenersPriceList3[[#This Row],[SINGLE PC. WT.]]</f>
        <v>29.019152640742888</v>
      </c>
      <c r="J309" s="3">
        <v>138</v>
      </c>
      <c r="K309" s="3">
        <f>FastenersPriceList3[[#This Row],[1000 PCS/WT.]]*FastenersPriceList3[[#This Row],[Rate / PER kg (₹)]]</f>
        <v>237774</v>
      </c>
      <c r="L309" s="4">
        <f>FastenersPriceList3[[#This Row],[Rate / PER kg (₹)]]*FastenersPriceList3[[#This Row],[Quantity (kg)]]</f>
        <v>6900</v>
      </c>
      <c r="M309" s="4">
        <f>FastenersPriceList3[[#This Row],[SINGLE PC. WT.]]*FastenersPriceList3[[#This Row],[Rate / PER kg (₹)]]</f>
        <v>237.774</v>
      </c>
    </row>
    <row r="310" spans="1:13" ht="22.05" customHeight="1" x14ac:dyDescent="0.3">
      <c r="A310" s="2" t="s">
        <v>1632</v>
      </c>
      <c r="B310" s="12" t="s">
        <v>8</v>
      </c>
      <c r="C310" s="12">
        <v>8.8000000000000007</v>
      </c>
      <c r="D310" s="2">
        <v>1793</v>
      </c>
      <c r="E310" s="2">
        <f>FastenersPriceList3[[#This Row],[1000 PCS/WT.]]/1000</f>
        <v>1.7929999999999999</v>
      </c>
      <c r="F310" s="2" t="s">
        <v>771</v>
      </c>
      <c r="G310" s="6" t="s">
        <v>1329</v>
      </c>
      <c r="H310" s="70">
        <v>50</v>
      </c>
      <c r="I310" s="72">
        <f>FastenersPriceList3[[#This Row],[Quantity (kg)]]/FastenersPriceList3[[#This Row],[SINGLE PC. WT.]]</f>
        <v>27.886224205242613</v>
      </c>
      <c r="J310" s="3">
        <v>138</v>
      </c>
      <c r="K310" s="3">
        <f>FastenersPriceList3[[#This Row],[1000 PCS/WT.]]*FastenersPriceList3[[#This Row],[Rate / PER kg (₹)]]</f>
        <v>247434</v>
      </c>
      <c r="L310" s="4">
        <f>FastenersPriceList3[[#This Row],[Rate / PER kg (₹)]]*FastenersPriceList3[[#This Row],[Quantity (kg)]]</f>
        <v>6900</v>
      </c>
      <c r="M310" s="4">
        <f>FastenersPriceList3[[#This Row],[SINGLE PC. WT.]]*FastenersPriceList3[[#This Row],[Rate / PER kg (₹)]]</f>
        <v>247.434</v>
      </c>
    </row>
    <row r="311" spans="1:13" ht="22.05" customHeight="1" x14ac:dyDescent="0.3">
      <c r="A311" s="2" t="s">
        <v>1633</v>
      </c>
      <c r="B311" s="12" t="s">
        <v>8</v>
      </c>
      <c r="C311" s="12">
        <v>8.8000000000000007</v>
      </c>
      <c r="D311" s="2">
        <v>1863</v>
      </c>
      <c r="E311" s="2">
        <f>FastenersPriceList3[[#This Row],[1000 PCS/WT.]]/1000</f>
        <v>1.863</v>
      </c>
      <c r="F311" s="2" t="s">
        <v>772</v>
      </c>
      <c r="G311" s="6" t="s">
        <v>1329</v>
      </c>
      <c r="H311" s="70">
        <v>50</v>
      </c>
      <c r="I311" s="72">
        <f>FastenersPriceList3[[#This Row],[Quantity (kg)]]/FastenersPriceList3[[#This Row],[SINGLE PC. WT.]]</f>
        <v>26.838432635534083</v>
      </c>
      <c r="J311" s="3">
        <v>138</v>
      </c>
      <c r="K311" s="3">
        <f>FastenersPriceList3[[#This Row],[1000 PCS/WT.]]*FastenersPriceList3[[#This Row],[Rate / PER kg (₹)]]</f>
        <v>257094</v>
      </c>
      <c r="L311" s="4">
        <f>FastenersPriceList3[[#This Row],[Rate / PER kg (₹)]]*FastenersPriceList3[[#This Row],[Quantity (kg)]]</f>
        <v>6900</v>
      </c>
      <c r="M311" s="4">
        <f>FastenersPriceList3[[#This Row],[SINGLE PC. WT.]]*FastenersPriceList3[[#This Row],[Rate / PER kg (₹)]]</f>
        <v>257.09399999999999</v>
      </c>
    </row>
    <row r="312" spans="1:13" ht="22.05" customHeight="1" x14ac:dyDescent="0.3">
      <c r="A312" s="2" t="s">
        <v>1634</v>
      </c>
      <c r="B312" s="12" t="s">
        <v>8</v>
      </c>
      <c r="C312" s="12">
        <v>8.8000000000000007</v>
      </c>
      <c r="D312" s="2">
        <v>1933</v>
      </c>
      <c r="E312" s="2">
        <f>FastenersPriceList3[[#This Row],[1000 PCS/WT.]]/1000</f>
        <v>1.9330000000000001</v>
      </c>
      <c r="F312" s="2" t="s">
        <v>773</v>
      </c>
      <c r="G312" s="6" t="s">
        <v>1329</v>
      </c>
      <c r="H312" s="70">
        <v>50</v>
      </c>
      <c r="I312" s="72">
        <f>FastenersPriceList3[[#This Row],[Quantity (kg)]]/FastenersPriceList3[[#This Row],[SINGLE PC. WT.]]</f>
        <v>25.866528711846868</v>
      </c>
      <c r="J312" s="3">
        <v>138</v>
      </c>
      <c r="K312" s="3">
        <f>FastenersPriceList3[[#This Row],[1000 PCS/WT.]]*FastenersPriceList3[[#This Row],[Rate / PER kg (₹)]]</f>
        <v>266754</v>
      </c>
      <c r="L312" s="4">
        <f>FastenersPriceList3[[#This Row],[Rate / PER kg (₹)]]*FastenersPriceList3[[#This Row],[Quantity (kg)]]</f>
        <v>6900</v>
      </c>
      <c r="M312" s="4">
        <f>FastenersPriceList3[[#This Row],[SINGLE PC. WT.]]*FastenersPriceList3[[#This Row],[Rate / PER kg (₹)]]</f>
        <v>266.75400000000002</v>
      </c>
    </row>
    <row r="313" spans="1:13" ht="22.05" customHeight="1" x14ac:dyDescent="0.3">
      <c r="A313" s="2" t="s">
        <v>1635</v>
      </c>
      <c r="B313" s="12" t="s">
        <v>8</v>
      </c>
      <c r="C313" s="12">
        <v>8.8000000000000007</v>
      </c>
      <c r="D313" s="2">
        <v>2003</v>
      </c>
      <c r="E313" s="2">
        <f>FastenersPriceList3[[#This Row],[1000 PCS/WT.]]/1000</f>
        <v>2.0030000000000001</v>
      </c>
      <c r="F313" s="2" t="s">
        <v>774</v>
      </c>
      <c r="G313" s="6" t="s">
        <v>1329</v>
      </c>
      <c r="H313" s="70">
        <v>50</v>
      </c>
      <c r="I313" s="72">
        <f>FastenersPriceList3[[#This Row],[Quantity (kg)]]/FastenersPriceList3[[#This Row],[SINGLE PC. WT.]]</f>
        <v>24.962556165751373</v>
      </c>
      <c r="J313" s="3">
        <v>138</v>
      </c>
      <c r="K313" s="3">
        <f>FastenersPriceList3[[#This Row],[1000 PCS/WT.]]*FastenersPriceList3[[#This Row],[Rate / PER kg (₹)]]</f>
        <v>276414</v>
      </c>
      <c r="L313" s="4">
        <f>FastenersPriceList3[[#This Row],[Rate / PER kg (₹)]]*FastenersPriceList3[[#This Row],[Quantity (kg)]]</f>
        <v>6900</v>
      </c>
      <c r="M313" s="4">
        <f>FastenersPriceList3[[#This Row],[SINGLE PC. WT.]]*FastenersPriceList3[[#This Row],[Rate / PER kg (₹)]]</f>
        <v>276.41399999999999</v>
      </c>
    </row>
    <row r="314" spans="1:13" ht="22.05" customHeight="1" x14ac:dyDescent="0.3">
      <c r="A314" s="2" t="s">
        <v>1636</v>
      </c>
      <c r="B314" s="12" t="s">
        <v>8</v>
      </c>
      <c r="C314" s="12">
        <v>8.8000000000000007</v>
      </c>
      <c r="D314" s="2">
        <v>2073</v>
      </c>
      <c r="E314" s="2">
        <f>FastenersPriceList3[[#This Row],[1000 PCS/WT.]]/1000</f>
        <v>2.073</v>
      </c>
      <c r="F314" s="2" t="s">
        <v>775</v>
      </c>
      <c r="G314" s="6" t="s">
        <v>1329</v>
      </c>
      <c r="H314" s="70">
        <v>50</v>
      </c>
      <c r="I314" s="72">
        <f>FastenersPriceList3[[#This Row],[Quantity (kg)]]/FastenersPriceList3[[#This Row],[SINGLE PC. WT.]]</f>
        <v>24.119633381572601</v>
      </c>
      <c r="J314" s="3">
        <v>138</v>
      </c>
      <c r="K314" s="3">
        <f>FastenersPriceList3[[#This Row],[1000 PCS/WT.]]*FastenersPriceList3[[#This Row],[Rate / PER kg (₹)]]</f>
        <v>286074</v>
      </c>
      <c r="L314" s="4">
        <f>FastenersPriceList3[[#This Row],[Rate / PER kg (₹)]]*FastenersPriceList3[[#This Row],[Quantity (kg)]]</f>
        <v>6900</v>
      </c>
      <c r="M314" s="4">
        <f>FastenersPriceList3[[#This Row],[SINGLE PC. WT.]]*FastenersPriceList3[[#This Row],[Rate / PER kg (₹)]]</f>
        <v>286.07400000000001</v>
      </c>
    </row>
    <row r="315" spans="1:13" ht="22.05" customHeight="1" x14ac:dyDescent="0.3">
      <c r="A315" s="2" t="s">
        <v>1637</v>
      </c>
      <c r="B315" s="12" t="s">
        <v>8</v>
      </c>
      <c r="C315" s="12">
        <v>8.8000000000000007</v>
      </c>
      <c r="D315" s="2">
        <v>2143</v>
      </c>
      <c r="E315" s="2">
        <f>FastenersPriceList3[[#This Row],[1000 PCS/WT.]]/1000</f>
        <v>2.1429999999999998</v>
      </c>
      <c r="F315" s="2" t="s">
        <v>776</v>
      </c>
      <c r="G315" s="6" t="s">
        <v>1329</v>
      </c>
      <c r="H315" s="70">
        <v>50</v>
      </c>
      <c r="I315" s="72">
        <f>FastenersPriceList3[[#This Row],[Quantity (kg)]]/FastenersPriceList3[[#This Row],[SINGLE PC. WT.]]</f>
        <v>23.331777881474572</v>
      </c>
      <c r="J315" s="3">
        <v>138</v>
      </c>
      <c r="K315" s="3">
        <f>FastenersPriceList3[[#This Row],[1000 PCS/WT.]]*FastenersPriceList3[[#This Row],[Rate / PER kg (₹)]]</f>
        <v>295734</v>
      </c>
      <c r="L315" s="4">
        <f>FastenersPriceList3[[#This Row],[Rate / PER kg (₹)]]*FastenersPriceList3[[#This Row],[Quantity (kg)]]</f>
        <v>6900</v>
      </c>
      <c r="M315" s="4">
        <f>FastenersPriceList3[[#This Row],[SINGLE PC. WT.]]*FastenersPriceList3[[#This Row],[Rate / PER kg (₹)]]</f>
        <v>295.73399999999998</v>
      </c>
    </row>
    <row r="316" spans="1:13" ht="22.05" customHeight="1" x14ac:dyDescent="0.3">
      <c r="A316" s="2" t="s">
        <v>1638</v>
      </c>
      <c r="B316" s="12" t="s">
        <v>8</v>
      </c>
      <c r="C316" s="12">
        <v>8.8000000000000007</v>
      </c>
      <c r="D316" s="2">
        <v>2213</v>
      </c>
      <c r="E316" s="2">
        <f>FastenersPriceList3[[#This Row],[1000 PCS/WT.]]/1000</f>
        <v>2.2130000000000001</v>
      </c>
      <c r="F316" s="2" t="s">
        <v>777</v>
      </c>
      <c r="G316" s="6" t="s">
        <v>1329</v>
      </c>
      <c r="H316" s="70">
        <v>50</v>
      </c>
      <c r="I316" s="72">
        <f>FastenersPriceList3[[#This Row],[Quantity (kg)]]/FastenersPriceList3[[#This Row],[SINGLE PC. WT.]]</f>
        <v>22.593764121102573</v>
      </c>
      <c r="J316" s="3">
        <v>138</v>
      </c>
      <c r="K316" s="3">
        <f>FastenersPriceList3[[#This Row],[1000 PCS/WT.]]*FastenersPriceList3[[#This Row],[Rate / PER kg (₹)]]</f>
        <v>305394</v>
      </c>
      <c r="L316" s="4">
        <f>FastenersPriceList3[[#This Row],[Rate / PER kg (₹)]]*FastenersPriceList3[[#This Row],[Quantity (kg)]]</f>
        <v>6900</v>
      </c>
      <c r="M316" s="4">
        <f>FastenersPriceList3[[#This Row],[SINGLE PC. WT.]]*FastenersPriceList3[[#This Row],[Rate / PER kg (₹)]]</f>
        <v>305.39400000000001</v>
      </c>
    </row>
    <row r="317" spans="1:13" ht="22.05" customHeight="1" x14ac:dyDescent="0.3">
      <c r="A317" s="2" t="s">
        <v>1639</v>
      </c>
      <c r="B317" s="12" t="s">
        <v>8</v>
      </c>
      <c r="C317" s="12">
        <v>8.8000000000000007</v>
      </c>
      <c r="D317" s="2">
        <v>2283</v>
      </c>
      <c r="E317" s="2">
        <f>FastenersPriceList3[[#This Row],[1000 PCS/WT.]]/1000</f>
        <v>2.2829999999999999</v>
      </c>
      <c r="F317" s="2" t="s">
        <v>778</v>
      </c>
      <c r="G317" s="6" t="s">
        <v>1329</v>
      </c>
      <c r="H317" s="70">
        <v>50</v>
      </c>
      <c r="I317" s="72">
        <f>FastenersPriceList3[[#This Row],[Quantity (kg)]]/FastenersPriceList3[[#This Row],[SINGLE PC. WT.]]</f>
        <v>21.901007446342533</v>
      </c>
      <c r="J317" s="3">
        <v>138</v>
      </c>
      <c r="K317" s="3">
        <f>FastenersPriceList3[[#This Row],[1000 PCS/WT.]]*FastenersPriceList3[[#This Row],[Rate / PER kg (₹)]]</f>
        <v>315054</v>
      </c>
      <c r="L317" s="4">
        <f>FastenersPriceList3[[#This Row],[Rate / PER kg (₹)]]*FastenersPriceList3[[#This Row],[Quantity (kg)]]</f>
        <v>6900</v>
      </c>
      <c r="M317" s="4">
        <f>FastenersPriceList3[[#This Row],[SINGLE PC. WT.]]*FastenersPriceList3[[#This Row],[Rate / PER kg (₹)]]</f>
        <v>315.05399999999997</v>
      </c>
    </row>
    <row r="318" spans="1:13" ht="22.05" customHeight="1" x14ac:dyDescent="0.3">
      <c r="A318" s="2" t="s">
        <v>1640</v>
      </c>
      <c r="B318" s="12" t="s">
        <v>8</v>
      </c>
      <c r="C318" s="12">
        <v>8.8000000000000007</v>
      </c>
      <c r="D318" s="2">
        <v>2353</v>
      </c>
      <c r="E318" s="2">
        <f>FastenersPriceList3[[#This Row],[1000 PCS/WT.]]/1000</f>
        <v>2.3530000000000002</v>
      </c>
      <c r="F318" s="2" t="s">
        <v>779</v>
      </c>
      <c r="G318" s="6" t="s">
        <v>1329</v>
      </c>
      <c r="H318" s="70">
        <v>50</v>
      </c>
      <c r="I318" s="72">
        <f>FastenersPriceList3[[#This Row],[Quantity (kg)]]/FastenersPriceList3[[#This Row],[SINGLE PC. WT.]]</f>
        <v>21.249468763280916</v>
      </c>
      <c r="J318" s="3">
        <v>138</v>
      </c>
      <c r="K318" s="3">
        <f>FastenersPriceList3[[#This Row],[1000 PCS/WT.]]*FastenersPriceList3[[#This Row],[Rate / PER kg (₹)]]</f>
        <v>324714</v>
      </c>
      <c r="L318" s="4">
        <f>FastenersPriceList3[[#This Row],[Rate / PER kg (₹)]]*FastenersPriceList3[[#This Row],[Quantity (kg)]]</f>
        <v>6900</v>
      </c>
      <c r="M318" s="4">
        <f>FastenersPriceList3[[#This Row],[SINGLE PC. WT.]]*FastenersPriceList3[[#This Row],[Rate / PER kg (₹)]]</f>
        <v>324.71400000000006</v>
      </c>
    </row>
    <row r="319" spans="1:13" ht="22.05" customHeight="1" x14ac:dyDescent="0.3">
      <c r="A319" s="2" t="s">
        <v>1641</v>
      </c>
      <c r="B319" s="12" t="s">
        <v>8</v>
      </c>
      <c r="C319" s="12">
        <v>8.8000000000000007</v>
      </c>
      <c r="D319" s="2">
        <v>795</v>
      </c>
      <c r="E319" s="2">
        <f>FastenersPriceList3[[#This Row],[1000 PCS/WT.]]/1000</f>
        <v>0.79500000000000004</v>
      </c>
      <c r="F319" s="2" t="s">
        <v>780</v>
      </c>
      <c r="G319" s="6" t="s">
        <v>1329</v>
      </c>
      <c r="H319" s="70">
        <v>50</v>
      </c>
      <c r="I319" s="72">
        <f>FastenersPriceList3[[#This Row],[Quantity (kg)]]/FastenersPriceList3[[#This Row],[SINGLE PC. WT.]]</f>
        <v>62.893081761006286</v>
      </c>
      <c r="J319" s="3">
        <v>130</v>
      </c>
      <c r="K319" s="3">
        <f>FastenersPriceList3[[#This Row],[1000 PCS/WT.]]*FastenersPriceList3[[#This Row],[Rate / PER kg (₹)]]</f>
        <v>103350</v>
      </c>
      <c r="L319" s="4">
        <f>FastenersPriceList3[[#This Row],[Rate / PER kg (₹)]]*FastenersPriceList3[[#This Row],[Quantity (kg)]]</f>
        <v>6500</v>
      </c>
      <c r="M319" s="4">
        <f>FastenersPriceList3[[#This Row],[SINGLE PC. WT.]]*FastenersPriceList3[[#This Row],[Rate / PER kg (₹)]]</f>
        <v>103.35000000000001</v>
      </c>
    </row>
    <row r="320" spans="1:13" ht="22.05" customHeight="1" x14ac:dyDescent="0.3">
      <c r="A320" s="2" t="s">
        <v>1642</v>
      </c>
      <c r="B320" s="12" t="s">
        <v>8</v>
      </c>
      <c r="C320" s="12">
        <v>8.8000000000000007</v>
      </c>
      <c r="D320" s="2">
        <v>835</v>
      </c>
      <c r="E320" s="2">
        <f>FastenersPriceList3[[#This Row],[1000 PCS/WT.]]/1000</f>
        <v>0.83499999999999996</v>
      </c>
      <c r="F320" s="2" t="s">
        <v>781</v>
      </c>
      <c r="G320" s="6" t="s">
        <v>1329</v>
      </c>
      <c r="H320" s="70">
        <v>50</v>
      </c>
      <c r="I320" s="72">
        <f>FastenersPriceList3[[#This Row],[Quantity (kg)]]/FastenersPriceList3[[#This Row],[SINGLE PC. WT.]]</f>
        <v>59.880239520958085</v>
      </c>
      <c r="J320" s="3">
        <v>130</v>
      </c>
      <c r="K320" s="3">
        <f>FastenersPriceList3[[#This Row],[1000 PCS/WT.]]*FastenersPriceList3[[#This Row],[Rate / PER kg (₹)]]</f>
        <v>108550</v>
      </c>
      <c r="L320" s="4">
        <f>FastenersPriceList3[[#This Row],[Rate / PER kg (₹)]]*FastenersPriceList3[[#This Row],[Quantity (kg)]]</f>
        <v>6500</v>
      </c>
      <c r="M320" s="4">
        <f>FastenersPriceList3[[#This Row],[SINGLE PC. WT.]]*FastenersPriceList3[[#This Row],[Rate / PER kg (₹)]]</f>
        <v>108.55</v>
      </c>
    </row>
    <row r="321" spans="1:13" ht="22.05" customHeight="1" x14ac:dyDescent="0.3">
      <c r="A321" s="2" t="s">
        <v>1643</v>
      </c>
      <c r="B321" s="12" t="s">
        <v>8</v>
      </c>
      <c r="C321" s="12">
        <v>8.8000000000000007</v>
      </c>
      <c r="D321" s="2">
        <v>875</v>
      </c>
      <c r="E321" s="2">
        <f>FastenersPriceList3[[#This Row],[1000 PCS/WT.]]/1000</f>
        <v>0.875</v>
      </c>
      <c r="F321" s="2" t="s">
        <v>782</v>
      </c>
      <c r="G321" s="6" t="s">
        <v>1329</v>
      </c>
      <c r="H321" s="70">
        <v>50</v>
      </c>
      <c r="I321" s="72">
        <f>FastenersPriceList3[[#This Row],[Quantity (kg)]]/FastenersPriceList3[[#This Row],[SINGLE PC. WT.]]</f>
        <v>57.142857142857146</v>
      </c>
      <c r="J321" s="3">
        <v>130</v>
      </c>
      <c r="K321" s="3">
        <f>FastenersPriceList3[[#This Row],[1000 PCS/WT.]]*FastenersPriceList3[[#This Row],[Rate / PER kg (₹)]]</f>
        <v>113750</v>
      </c>
      <c r="L321" s="4">
        <f>FastenersPriceList3[[#This Row],[Rate / PER kg (₹)]]*FastenersPriceList3[[#This Row],[Quantity (kg)]]</f>
        <v>6500</v>
      </c>
      <c r="M321" s="4">
        <f>FastenersPriceList3[[#This Row],[SINGLE PC. WT.]]*FastenersPriceList3[[#This Row],[Rate / PER kg (₹)]]</f>
        <v>113.75</v>
      </c>
    </row>
    <row r="322" spans="1:13" ht="22.05" customHeight="1" x14ac:dyDescent="0.3">
      <c r="A322" s="2" t="s">
        <v>1644</v>
      </c>
      <c r="B322" s="12" t="s">
        <v>8</v>
      </c>
      <c r="C322" s="12">
        <v>8.8000000000000007</v>
      </c>
      <c r="D322" s="2">
        <v>915</v>
      </c>
      <c r="E322" s="2">
        <f>FastenersPriceList3[[#This Row],[1000 PCS/WT.]]/1000</f>
        <v>0.91500000000000004</v>
      </c>
      <c r="F322" s="2" t="s">
        <v>783</v>
      </c>
      <c r="G322" s="6" t="s">
        <v>1329</v>
      </c>
      <c r="H322" s="70">
        <v>50</v>
      </c>
      <c r="I322" s="72">
        <f>FastenersPriceList3[[#This Row],[Quantity (kg)]]/FastenersPriceList3[[#This Row],[SINGLE PC. WT.]]</f>
        <v>54.644808743169399</v>
      </c>
      <c r="J322" s="3">
        <v>130</v>
      </c>
      <c r="K322" s="3">
        <f>FastenersPriceList3[[#This Row],[1000 PCS/WT.]]*FastenersPriceList3[[#This Row],[Rate / PER kg (₹)]]</f>
        <v>118950</v>
      </c>
      <c r="L322" s="4">
        <f>FastenersPriceList3[[#This Row],[Rate / PER kg (₹)]]*FastenersPriceList3[[#This Row],[Quantity (kg)]]</f>
        <v>6500</v>
      </c>
      <c r="M322" s="4">
        <f>FastenersPriceList3[[#This Row],[SINGLE PC. WT.]]*FastenersPriceList3[[#This Row],[Rate / PER kg (₹)]]</f>
        <v>118.95</v>
      </c>
    </row>
    <row r="323" spans="1:13" ht="22.05" customHeight="1" x14ac:dyDescent="0.3">
      <c r="A323" s="2" t="s">
        <v>1645</v>
      </c>
      <c r="B323" s="12" t="s">
        <v>8</v>
      </c>
      <c r="C323" s="12">
        <v>8.8000000000000007</v>
      </c>
      <c r="D323" s="2">
        <v>955</v>
      </c>
      <c r="E323" s="2">
        <f>FastenersPriceList3[[#This Row],[1000 PCS/WT.]]/1000</f>
        <v>0.95499999999999996</v>
      </c>
      <c r="F323" s="2" t="s">
        <v>784</v>
      </c>
      <c r="G323" s="6" t="s">
        <v>1329</v>
      </c>
      <c r="H323" s="70">
        <v>50</v>
      </c>
      <c r="I323" s="72">
        <f>FastenersPriceList3[[#This Row],[Quantity (kg)]]/FastenersPriceList3[[#This Row],[SINGLE PC. WT.]]</f>
        <v>52.356020942408378</v>
      </c>
      <c r="J323" s="3">
        <v>130</v>
      </c>
      <c r="K323" s="3">
        <f>FastenersPriceList3[[#This Row],[1000 PCS/WT.]]*FastenersPriceList3[[#This Row],[Rate / PER kg (₹)]]</f>
        <v>124150</v>
      </c>
      <c r="L323" s="4">
        <f>FastenersPriceList3[[#This Row],[Rate / PER kg (₹)]]*FastenersPriceList3[[#This Row],[Quantity (kg)]]</f>
        <v>6500</v>
      </c>
      <c r="M323" s="4">
        <f>FastenersPriceList3[[#This Row],[SINGLE PC. WT.]]*FastenersPriceList3[[#This Row],[Rate / PER kg (₹)]]</f>
        <v>124.14999999999999</v>
      </c>
    </row>
    <row r="324" spans="1:13" ht="22.05" customHeight="1" x14ac:dyDescent="0.3">
      <c r="A324" s="2" t="s">
        <v>1646</v>
      </c>
      <c r="B324" s="12" t="s">
        <v>8</v>
      </c>
      <c r="C324" s="12">
        <v>8.8000000000000007</v>
      </c>
      <c r="D324" s="2">
        <v>995</v>
      </c>
      <c r="E324" s="2">
        <f>FastenersPriceList3[[#This Row],[1000 PCS/WT.]]/1000</f>
        <v>0.995</v>
      </c>
      <c r="F324" s="2" t="s">
        <v>785</v>
      </c>
      <c r="G324" s="6" t="s">
        <v>1329</v>
      </c>
      <c r="H324" s="70">
        <v>50</v>
      </c>
      <c r="I324" s="72">
        <f>FastenersPriceList3[[#This Row],[Quantity (kg)]]/FastenersPriceList3[[#This Row],[SINGLE PC. WT.]]</f>
        <v>50.251256281407038</v>
      </c>
      <c r="J324" s="3">
        <v>130</v>
      </c>
      <c r="K324" s="3">
        <f>FastenersPriceList3[[#This Row],[1000 PCS/WT.]]*FastenersPriceList3[[#This Row],[Rate / PER kg (₹)]]</f>
        <v>129350</v>
      </c>
      <c r="L324" s="4">
        <f>FastenersPriceList3[[#This Row],[Rate / PER kg (₹)]]*FastenersPriceList3[[#This Row],[Quantity (kg)]]</f>
        <v>6500</v>
      </c>
      <c r="M324" s="4">
        <f>FastenersPriceList3[[#This Row],[SINGLE PC. WT.]]*FastenersPriceList3[[#This Row],[Rate / PER kg (₹)]]</f>
        <v>129.35</v>
      </c>
    </row>
    <row r="325" spans="1:13" ht="22.05" customHeight="1" x14ac:dyDescent="0.3">
      <c r="A325" s="2" t="s">
        <v>1647</v>
      </c>
      <c r="B325" s="12" t="s">
        <v>8</v>
      </c>
      <c r="C325" s="12">
        <v>8.8000000000000007</v>
      </c>
      <c r="D325" s="2">
        <v>1035</v>
      </c>
      <c r="E325" s="2">
        <f>FastenersPriceList3[[#This Row],[1000 PCS/WT.]]/1000</f>
        <v>1.0349999999999999</v>
      </c>
      <c r="F325" s="2" t="s">
        <v>786</v>
      </c>
      <c r="G325" s="6" t="s">
        <v>1329</v>
      </c>
      <c r="H325" s="70">
        <v>50</v>
      </c>
      <c r="I325" s="72">
        <f>FastenersPriceList3[[#This Row],[Quantity (kg)]]/FastenersPriceList3[[#This Row],[SINGLE PC. WT.]]</f>
        <v>48.309178743961354</v>
      </c>
      <c r="J325" s="3">
        <v>130</v>
      </c>
      <c r="K325" s="3">
        <f>FastenersPriceList3[[#This Row],[1000 PCS/WT.]]*FastenersPriceList3[[#This Row],[Rate / PER kg (₹)]]</f>
        <v>134550</v>
      </c>
      <c r="L325" s="4">
        <f>FastenersPriceList3[[#This Row],[Rate / PER kg (₹)]]*FastenersPriceList3[[#This Row],[Quantity (kg)]]</f>
        <v>6500</v>
      </c>
      <c r="M325" s="4">
        <f>FastenersPriceList3[[#This Row],[SINGLE PC. WT.]]*FastenersPriceList3[[#This Row],[Rate / PER kg (₹)]]</f>
        <v>134.54999999999998</v>
      </c>
    </row>
    <row r="326" spans="1:13" ht="22.05" customHeight="1" x14ac:dyDescent="0.3">
      <c r="A326" s="2" t="s">
        <v>1648</v>
      </c>
      <c r="B326" s="12" t="s">
        <v>8</v>
      </c>
      <c r="C326" s="12">
        <v>8.8000000000000007</v>
      </c>
      <c r="D326" s="2">
        <v>1075</v>
      </c>
      <c r="E326" s="2">
        <f>FastenersPriceList3[[#This Row],[1000 PCS/WT.]]/1000</f>
        <v>1.075</v>
      </c>
      <c r="F326" s="2" t="s">
        <v>787</v>
      </c>
      <c r="G326" s="6" t="s">
        <v>1329</v>
      </c>
      <c r="H326" s="70">
        <v>50</v>
      </c>
      <c r="I326" s="72">
        <f>FastenersPriceList3[[#This Row],[Quantity (kg)]]/FastenersPriceList3[[#This Row],[SINGLE PC. WT.]]</f>
        <v>46.511627906976749</v>
      </c>
      <c r="J326" s="3">
        <v>130</v>
      </c>
      <c r="K326" s="3">
        <f>FastenersPriceList3[[#This Row],[1000 PCS/WT.]]*FastenersPriceList3[[#This Row],[Rate / PER kg (₹)]]</f>
        <v>139750</v>
      </c>
      <c r="L326" s="4">
        <f>FastenersPriceList3[[#This Row],[Rate / PER kg (₹)]]*FastenersPriceList3[[#This Row],[Quantity (kg)]]</f>
        <v>6500</v>
      </c>
      <c r="M326" s="4">
        <f>FastenersPriceList3[[#This Row],[SINGLE PC. WT.]]*FastenersPriceList3[[#This Row],[Rate / PER kg (₹)]]</f>
        <v>139.75</v>
      </c>
    </row>
    <row r="327" spans="1:13" ht="22.05" customHeight="1" x14ac:dyDescent="0.3">
      <c r="A327" s="2" t="s">
        <v>1649</v>
      </c>
      <c r="B327" s="12" t="s">
        <v>8</v>
      </c>
      <c r="C327" s="12">
        <v>8.8000000000000007</v>
      </c>
      <c r="D327" s="2">
        <v>1115</v>
      </c>
      <c r="E327" s="2">
        <f>FastenersPriceList3[[#This Row],[1000 PCS/WT.]]/1000</f>
        <v>1.115</v>
      </c>
      <c r="F327" s="2" t="s">
        <v>788</v>
      </c>
      <c r="G327" s="6" t="s">
        <v>1329</v>
      </c>
      <c r="H327" s="70">
        <v>50</v>
      </c>
      <c r="I327" s="72">
        <f>FastenersPriceList3[[#This Row],[Quantity (kg)]]/FastenersPriceList3[[#This Row],[SINGLE PC. WT.]]</f>
        <v>44.843049327354258</v>
      </c>
      <c r="J327" s="3">
        <v>130</v>
      </c>
      <c r="K327" s="3">
        <f>FastenersPriceList3[[#This Row],[1000 PCS/WT.]]*FastenersPriceList3[[#This Row],[Rate / PER kg (₹)]]</f>
        <v>144950</v>
      </c>
      <c r="L327" s="4">
        <f>FastenersPriceList3[[#This Row],[Rate / PER kg (₹)]]*FastenersPriceList3[[#This Row],[Quantity (kg)]]</f>
        <v>6500</v>
      </c>
      <c r="M327" s="4">
        <f>FastenersPriceList3[[#This Row],[SINGLE PC. WT.]]*FastenersPriceList3[[#This Row],[Rate / PER kg (₹)]]</f>
        <v>144.94999999999999</v>
      </c>
    </row>
    <row r="328" spans="1:13" ht="22.05" customHeight="1" x14ac:dyDescent="0.3">
      <c r="A328" s="2" t="s">
        <v>1650</v>
      </c>
      <c r="B328" s="12" t="s">
        <v>8</v>
      </c>
      <c r="C328" s="12">
        <v>8.8000000000000007</v>
      </c>
      <c r="D328" s="2">
        <v>1155</v>
      </c>
      <c r="E328" s="2">
        <f>FastenersPriceList3[[#This Row],[1000 PCS/WT.]]/1000</f>
        <v>1.155</v>
      </c>
      <c r="F328" s="2" t="s">
        <v>789</v>
      </c>
      <c r="G328" s="6" t="s">
        <v>1329</v>
      </c>
      <c r="H328" s="70">
        <v>50</v>
      </c>
      <c r="I328" s="72">
        <f>FastenersPriceList3[[#This Row],[Quantity (kg)]]/FastenersPriceList3[[#This Row],[SINGLE PC. WT.]]</f>
        <v>43.290043290043286</v>
      </c>
      <c r="J328" s="3">
        <v>130</v>
      </c>
      <c r="K328" s="3">
        <f>FastenersPriceList3[[#This Row],[1000 PCS/WT.]]*FastenersPriceList3[[#This Row],[Rate / PER kg (₹)]]</f>
        <v>150150</v>
      </c>
      <c r="L328" s="4">
        <f>FastenersPriceList3[[#This Row],[Rate / PER kg (₹)]]*FastenersPriceList3[[#This Row],[Quantity (kg)]]</f>
        <v>6500</v>
      </c>
      <c r="M328" s="4">
        <f>FastenersPriceList3[[#This Row],[SINGLE PC. WT.]]*FastenersPriceList3[[#This Row],[Rate / PER kg (₹)]]</f>
        <v>150.15</v>
      </c>
    </row>
    <row r="329" spans="1:13" ht="22.05" customHeight="1" x14ac:dyDescent="0.3">
      <c r="A329" s="2" t="s">
        <v>1651</v>
      </c>
      <c r="B329" s="12" t="s">
        <v>8</v>
      </c>
      <c r="C329" s="12">
        <v>8.8000000000000007</v>
      </c>
      <c r="D329" s="2">
        <v>1195</v>
      </c>
      <c r="E329" s="2">
        <f>FastenersPriceList3[[#This Row],[1000 PCS/WT.]]/1000</f>
        <v>1.1950000000000001</v>
      </c>
      <c r="F329" s="2" t="s">
        <v>790</v>
      </c>
      <c r="G329" s="6" t="s">
        <v>1329</v>
      </c>
      <c r="H329" s="70">
        <v>50</v>
      </c>
      <c r="I329" s="72">
        <f>FastenersPriceList3[[#This Row],[Quantity (kg)]]/FastenersPriceList3[[#This Row],[SINGLE PC. WT.]]</f>
        <v>41.841004184100413</v>
      </c>
      <c r="J329" s="3">
        <v>130</v>
      </c>
      <c r="K329" s="3">
        <f>FastenersPriceList3[[#This Row],[1000 PCS/WT.]]*FastenersPriceList3[[#This Row],[Rate / PER kg (₹)]]</f>
        <v>155350</v>
      </c>
      <c r="L329" s="4">
        <f>FastenersPriceList3[[#This Row],[Rate / PER kg (₹)]]*FastenersPriceList3[[#This Row],[Quantity (kg)]]</f>
        <v>6500</v>
      </c>
      <c r="M329" s="4">
        <f>FastenersPriceList3[[#This Row],[SINGLE PC. WT.]]*FastenersPriceList3[[#This Row],[Rate / PER kg (₹)]]</f>
        <v>155.35</v>
      </c>
    </row>
    <row r="330" spans="1:13" ht="22.05" customHeight="1" x14ac:dyDescent="0.3">
      <c r="A330" s="2" t="s">
        <v>1652</v>
      </c>
      <c r="B330" s="12" t="s">
        <v>8</v>
      </c>
      <c r="C330" s="12">
        <v>8.8000000000000007</v>
      </c>
      <c r="D330" s="2">
        <v>1250</v>
      </c>
      <c r="E330" s="2">
        <f>FastenersPriceList3[[#This Row],[1000 PCS/WT.]]/1000</f>
        <v>1.25</v>
      </c>
      <c r="F330" s="2" t="s">
        <v>791</v>
      </c>
      <c r="G330" s="6" t="s">
        <v>1329</v>
      </c>
      <c r="H330" s="70">
        <v>50</v>
      </c>
      <c r="I330" s="72">
        <f>FastenersPriceList3[[#This Row],[Quantity (kg)]]/FastenersPriceList3[[#This Row],[SINGLE PC. WT.]]</f>
        <v>40</v>
      </c>
      <c r="J330" s="3">
        <v>135</v>
      </c>
      <c r="K330" s="3">
        <f>FastenersPriceList3[[#This Row],[1000 PCS/WT.]]*FastenersPriceList3[[#This Row],[Rate / PER kg (₹)]]</f>
        <v>168750</v>
      </c>
      <c r="L330" s="4">
        <f>FastenersPriceList3[[#This Row],[Rate / PER kg (₹)]]*FastenersPriceList3[[#This Row],[Quantity (kg)]]</f>
        <v>6750</v>
      </c>
      <c r="M330" s="4">
        <f>FastenersPriceList3[[#This Row],[SINGLE PC. WT.]]*FastenersPriceList3[[#This Row],[Rate / PER kg (₹)]]</f>
        <v>168.75</v>
      </c>
    </row>
    <row r="331" spans="1:13" ht="22.05" customHeight="1" x14ac:dyDescent="0.3">
      <c r="A331" s="2" t="s">
        <v>1653</v>
      </c>
      <c r="B331" s="12" t="s">
        <v>8</v>
      </c>
      <c r="C331" s="12">
        <v>8.8000000000000007</v>
      </c>
      <c r="D331" s="2">
        <v>1330</v>
      </c>
      <c r="E331" s="2">
        <f>FastenersPriceList3[[#This Row],[1000 PCS/WT.]]/1000</f>
        <v>1.33</v>
      </c>
      <c r="F331" s="2" t="s">
        <v>792</v>
      </c>
      <c r="G331" s="6" t="s">
        <v>1329</v>
      </c>
      <c r="H331" s="70">
        <v>50</v>
      </c>
      <c r="I331" s="72">
        <f>FastenersPriceList3[[#This Row],[Quantity (kg)]]/FastenersPriceList3[[#This Row],[SINGLE PC. WT.]]</f>
        <v>37.593984962406012</v>
      </c>
      <c r="J331" s="3">
        <v>135</v>
      </c>
      <c r="K331" s="3">
        <f>FastenersPriceList3[[#This Row],[1000 PCS/WT.]]*FastenersPriceList3[[#This Row],[Rate / PER kg (₹)]]</f>
        <v>179550</v>
      </c>
      <c r="L331" s="4">
        <f>FastenersPriceList3[[#This Row],[Rate / PER kg (₹)]]*FastenersPriceList3[[#This Row],[Quantity (kg)]]</f>
        <v>6750</v>
      </c>
      <c r="M331" s="4">
        <f>FastenersPriceList3[[#This Row],[SINGLE PC. WT.]]*FastenersPriceList3[[#This Row],[Rate / PER kg (₹)]]</f>
        <v>179.55</v>
      </c>
    </row>
    <row r="332" spans="1:13" ht="22.05" customHeight="1" x14ac:dyDescent="0.3">
      <c r="A332" s="2" t="s">
        <v>1654</v>
      </c>
      <c r="B332" s="12" t="s">
        <v>8</v>
      </c>
      <c r="C332" s="12">
        <v>8.8000000000000007</v>
      </c>
      <c r="D332" s="2">
        <v>1410</v>
      </c>
      <c r="E332" s="2">
        <f>FastenersPriceList3[[#This Row],[1000 PCS/WT.]]/1000</f>
        <v>1.41</v>
      </c>
      <c r="F332" s="2" t="s">
        <v>793</v>
      </c>
      <c r="G332" s="6" t="s">
        <v>1329</v>
      </c>
      <c r="H332" s="70">
        <v>50</v>
      </c>
      <c r="I332" s="72">
        <f>FastenersPriceList3[[#This Row],[Quantity (kg)]]/FastenersPriceList3[[#This Row],[SINGLE PC. WT.]]</f>
        <v>35.460992907801419</v>
      </c>
      <c r="J332" s="3">
        <v>135</v>
      </c>
      <c r="K332" s="3">
        <f>FastenersPriceList3[[#This Row],[1000 PCS/WT.]]*FastenersPriceList3[[#This Row],[Rate / PER kg (₹)]]</f>
        <v>190350</v>
      </c>
      <c r="L332" s="4">
        <f>FastenersPriceList3[[#This Row],[Rate / PER kg (₹)]]*FastenersPriceList3[[#This Row],[Quantity (kg)]]</f>
        <v>6750</v>
      </c>
      <c r="M332" s="4">
        <f>FastenersPriceList3[[#This Row],[SINGLE PC. WT.]]*FastenersPriceList3[[#This Row],[Rate / PER kg (₹)]]</f>
        <v>190.35</v>
      </c>
    </row>
    <row r="333" spans="1:13" ht="22.05" customHeight="1" x14ac:dyDescent="0.3">
      <c r="A333" s="2" t="s">
        <v>1655</v>
      </c>
      <c r="B333" s="12" t="s">
        <v>8</v>
      </c>
      <c r="C333" s="12">
        <v>8.8000000000000007</v>
      </c>
      <c r="D333" s="2">
        <v>1490</v>
      </c>
      <c r="E333" s="2">
        <f>FastenersPriceList3[[#This Row],[1000 PCS/WT.]]/1000</f>
        <v>1.49</v>
      </c>
      <c r="F333" s="2" t="s">
        <v>794</v>
      </c>
      <c r="G333" s="6" t="s">
        <v>1329</v>
      </c>
      <c r="H333" s="70">
        <v>50</v>
      </c>
      <c r="I333" s="72">
        <f>FastenersPriceList3[[#This Row],[Quantity (kg)]]/FastenersPriceList3[[#This Row],[SINGLE PC. WT.]]</f>
        <v>33.557046979865774</v>
      </c>
      <c r="J333" s="3">
        <v>135</v>
      </c>
      <c r="K333" s="3">
        <f>FastenersPriceList3[[#This Row],[1000 PCS/WT.]]*FastenersPriceList3[[#This Row],[Rate / PER kg (₹)]]</f>
        <v>201150</v>
      </c>
      <c r="L333" s="4">
        <f>FastenersPriceList3[[#This Row],[Rate / PER kg (₹)]]*FastenersPriceList3[[#This Row],[Quantity (kg)]]</f>
        <v>6750</v>
      </c>
      <c r="M333" s="4">
        <f>FastenersPriceList3[[#This Row],[SINGLE PC. WT.]]*FastenersPriceList3[[#This Row],[Rate / PER kg (₹)]]</f>
        <v>201.15</v>
      </c>
    </row>
    <row r="334" spans="1:13" ht="22.05" customHeight="1" x14ac:dyDescent="0.3">
      <c r="A334" s="2" t="s">
        <v>1656</v>
      </c>
      <c r="B334" s="12" t="s">
        <v>8</v>
      </c>
      <c r="C334" s="12">
        <v>8.8000000000000007</v>
      </c>
      <c r="D334" s="2">
        <v>1570</v>
      </c>
      <c r="E334" s="2">
        <f>FastenersPriceList3[[#This Row],[1000 PCS/WT.]]/1000</f>
        <v>1.57</v>
      </c>
      <c r="F334" s="2" t="s">
        <v>795</v>
      </c>
      <c r="G334" s="6" t="s">
        <v>1329</v>
      </c>
      <c r="H334" s="70">
        <v>50</v>
      </c>
      <c r="I334" s="72">
        <f>FastenersPriceList3[[#This Row],[Quantity (kg)]]/FastenersPriceList3[[#This Row],[SINGLE PC. WT.]]</f>
        <v>31.847133757961782</v>
      </c>
      <c r="J334" s="3">
        <v>135</v>
      </c>
      <c r="K334" s="3">
        <f>FastenersPriceList3[[#This Row],[1000 PCS/WT.]]*FastenersPriceList3[[#This Row],[Rate / PER kg (₹)]]</f>
        <v>211950</v>
      </c>
      <c r="L334" s="4">
        <f>FastenersPriceList3[[#This Row],[Rate / PER kg (₹)]]*FastenersPriceList3[[#This Row],[Quantity (kg)]]</f>
        <v>6750</v>
      </c>
      <c r="M334" s="4">
        <f>FastenersPriceList3[[#This Row],[SINGLE PC. WT.]]*FastenersPriceList3[[#This Row],[Rate / PER kg (₹)]]</f>
        <v>211.95000000000002</v>
      </c>
    </row>
    <row r="335" spans="1:13" ht="22.05" customHeight="1" x14ac:dyDescent="0.3">
      <c r="A335" s="2" t="s">
        <v>1657</v>
      </c>
      <c r="B335" s="12" t="s">
        <v>8</v>
      </c>
      <c r="C335" s="12">
        <v>8.8000000000000007</v>
      </c>
      <c r="D335" s="2">
        <v>1650</v>
      </c>
      <c r="E335" s="2">
        <f>FastenersPriceList3[[#This Row],[1000 PCS/WT.]]/1000</f>
        <v>1.65</v>
      </c>
      <c r="F335" s="2" t="s">
        <v>796</v>
      </c>
      <c r="G335" s="6" t="s">
        <v>1329</v>
      </c>
      <c r="H335" s="70">
        <v>50</v>
      </c>
      <c r="I335" s="72">
        <f>FastenersPriceList3[[#This Row],[Quantity (kg)]]/FastenersPriceList3[[#This Row],[SINGLE PC. WT.]]</f>
        <v>30.303030303030305</v>
      </c>
      <c r="J335" s="3">
        <v>135</v>
      </c>
      <c r="K335" s="3">
        <f>FastenersPriceList3[[#This Row],[1000 PCS/WT.]]*FastenersPriceList3[[#This Row],[Rate / PER kg (₹)]]</f>
        <v>222750</v>
      </c>
      <c r="L335" s="4">
        <f>FastenersPriceList3[[#This Row],[Rate / PER kg (₹)]]*FastenersPriceList3[[#This Row],[Quantity (kg)]]</f>
        <v>6750</v>
      </c>
      <c r="M335" s="4">
        <f>FastenersPriceList3[[#This Row],[SINGLE PC. WT.]]*FastenersPriceList3[[#This Row],[Rate / PER kg (₹)]]</f>
        <v>222.75</v>
      </c>
    </row>
    <row r="336" spans="1:13" ht="22.05" customHeight="1" x14ac:dyDescent="0.3">
      <c r="A336" s="2" t="s">
        <v>1658</v>
      </c>
      <c r="B336" s="12" t="s">
        <v>8</v>
      </c>
      <c r="C336" s="12">
        <v>8.8000000000000007</v>
      </c>
      <c r="D336" s="2">
        <v>1730</v>
      </c>
      <c r="E336" s="2">
        <f>FastenersPriceList3[[#This Row],[1000 PCS/WT.]]/1000</f>
        <v>1.73</v>
      </c>
      <c r="F336" s="2" t="s">
        <v>797</v>
      </c>
      <c r="G336" s="6" t="s">
        <v>1329</v>
      </c>
      <c r="H336" s="70">
        <v>50</v>
      </c>
      <c r="I336" s="72">
        <f>FastenersPriceList3[[#This Row],[Quantity (kg)]]/FastenersPriceList3[[#This Row],[SINGLE PC. WT.]]</f>
        <v>28.901734104046245</v>
      </c>
      <c r="J336" s="3">
        <v>135</v>
      </c>
      <c r="K336" s="3">
        <f>FastenersPriceList3[[#This Row],[1000 PCS/WT.]]*FastenersPriceList3[[#This Row],[Rate / PER kg (₹)]]</f>
        <v>233550</v>
      </c>
      <c r="L336" s="4">
        <f>FastenersPriceList3[[#This Row],[Rate / PER kg (₹)]]*FastenersPriceList3[[#This Row],[Quantity (kg)]]</f>
        <v>6750</v>
      </c>
      <c r="M336" s="4">
        <f>FastenersPriceList3[[#This Row],[SINGLE PC. WT.]]*FastenersPriceList3[[#This Row],[Rate / PER kg (₹)]]</f>
        <v>233.55</v>
      </c>
    </row>
    <row r="337" spans="1:13" ht="22.05" customHeight="1" x14ac:dyDescent="0.3">
      <c r="A337" s="2" t="s">
        <v>1659</v>
      </c>
      <c r="B337" s="12" t="s">
        <v>8</v>
      </c>
      <c r="C337" s="12">
        <v>8.8000000000000007</v>
      </c>
      <c r="D337" s="2">
        <v>1810</v>
      </c>
      <c r="E337" s="2">
        <f>FastenersPriceList3[[#This Row],[1000 PCS/WT.]]/1000</f>
        <v>1.81</v>
      </c>
      <c r="F337" s="2" t="s">
        <v>798</v>
      </c>
      <c r="G337" s="6" t="s">
        <v>1329</v>
      </c>
      <c r="H337" s="70">
        <v>50</v>
      </c>
      <c r="I337" s="72">
        <f>FastenersPriceList3[[#This Row],[Quantity (kg)]]/FastenersPriceList3[[#This Row],[SINGLE PC. WT.]]</f>
        <v>27.624309392265193</v>
      </c>
      <c r="J337" s="3">
        <v>135</v>
      </c>
      <c r="K337" s="3">
        <f>FastenersPriceList3[[#This Row],[1000 PCS/WT.]]*FastenersPriceList3[[#This Row],[Rate / PER kg (₹)]]</f>
        <v>244350</v>
      </c>
      <c r="L337" s="4">
        <f>FastenersPriceList3[[#This Row],[Rate / PER kg (₹)]]*FastenersPriceList3[[#This Row],[Quantity (kg)]]</f>
        <v>6750</v>
      </c>
      <c r="M337" s="4">
        <f>FastenersPriceList3[[#This Row],[SINGLE PC. WT.]]*FastenersPriceList3[[#This Row],[Rate / PER kg (₹)]]</f>
        <v>244.35</v>
      </c>
    </row>
    <row r="338" spans="1:13" ht="22.05" customHeight="1" x14ac:dyDescent="0.3">
      <c r="A338" s="2" t="s">
        <v>1660</v>
      </c>
      <c r="B338" s="12" t="s">
        <v>8</v>
      </c>
      <c r="C338" s="12">
        <v>8.8000000000000007</v>
      </c>
      <c r="D338" s="2">
        <v>1890</v>
      </c>
      <c r="E338" s="2">
        <f>FastenersPriceList3[[#This Row],[1000 PCS/WT.]]/1000</f>
        <v>1.89</v>
      </c>
      <c r="F338" s="2" t="s">
        <v>799</v>
      </c>
      <c r="G338" s="6" t="s">
        <v>1329</v>
      </c>
      <c r="H338" s="70">
        <v>50</v>
      </c>
      <c r="I338" s="72">
        <f>FastenersPriceList3[[#This Row],[Quantity (kg)]]/FastenersPriceList3[[#This Row],[SINGLE PC. WT.]]</f>
        <v>26.455026455026456</v>
      </c>
      <c r="J338" s="3">
        <v>135</v>
      </c>
      <c r="K338" s="3">
        <f>FastenersPriceList3[[#This Row],[1000 PCS/WT.]]*FastenersPriceList3[[#This Row],[Rate / PER kg (₹)]]</f>
        <v>255150</v>
      </c>
      <c r="L338" s="4">
        <f>FastenersPriceList3[[#This Row],[Rate / PER kg (₹)]]*FastenersPriceList3[[#This Row],[Quantity (kg)]]</f>
        <v>6750</v>
      </c>
      <c r="M338" s="4">
        <f>FastenersPriceList3[[#This Row],[SINGLE PC. WT.]]*FastenersPriceList3[[#This Row],[Rate / PER kg (₹)]]</f>
        <v>255.14999999999998</v>
      </c>
    </row>
    <row r="339" spans="1:13" ht="22.05" customHeight="1" x14ac:dyDescent="0.3">
      <c r="A339" s="2" t="s">
        <v>1661</v>
      </c>
      <c r="B339" s="12" t="s">
        <v>8</v>
      </c>
      <c r="C339" s="12">
        <v>8.8000000000000007</v>
      </c>
      <c r="D339" s="2">
        <v>1970</v>
      </c>
      <c r="E339" s="2">
        <f>FastenersPriceList3[[#This Row],[1000 PCS/WT.]]/1000</f>
        <v>1.97</v>
      </c>
      <c r="F339" s="2" t="s">
        <v>800</v>
      </c>
      <c r="G339" s="6" t="s">
        <v>1329</v>
      </c>
      <c r="H339" s="70">
        <v>50</v>
      </c>
      <c r="I339" s="72">
        <f>FastenersPriceList3[[#This Row],[Quantity (kg)]]/FastenersPriceList3[[#This Row],[SINGLE PC. WT.]]</f>
        <v>25.380710659898476</v>
      </c>
      <c r="J339" s="3">
        <v>135</v>
      </c>
      <c r="K339" s="3">
        <f>FastenersPriceList3[[#This Row],[1000 PCS/WT.]]*FastenersPriceList3[[#This Row],[Rate / PER kg (₹)]]</f>
        <v>265950</v>
      </c>
      <c r="L339" s="4">
        <f>FastenersPriceList3[[#This Row],[Rate / PER kg (₹)]]*FastenersPriceList3[[#This Row],[Quantity (kg)]]</f>
        <v>6750</v>
      </c>
      <c r="M339" s="4">
        <f>FastenersPriceList3[[#This Row],[SINGLE PC. WT.]]*FastenersPriceList3[[#This Row],[Rate / PER kg (₹)]]</f>
        <v>265.95</v>
      </c>
    </row>
    <row r="340" spans="1:13" ht="22.05" customHeight="1" x14ac:dyDescent="0.3">
      <c r="A340" s="2" t="s">
        <v>1662</v>
      </c>
      <c r="B340" s="12" t="s">
        <v>8</v>
      </c>
      <c r="C340" s="12">
        <v>8.8000000000000007</v>
      </c>
      <c r="D340" s="2">
        <v>2050</v>
      </c>
      <c r="E340" s="2">
        <f>FastenersPriceList3[[#This Row],[1000 PCS/WT.]]/1000</f>
        <v>2.0499999999999998</v>
      </c>
      <c r="F340" s="2" t="s">
        <v>801</v>
      </c>
      <c r="G340" s="6" t="s">
        <v>1329</v>
      </c>
      <c r="H340" s="70">
        <v>50</v>
      </c>
      <c r="I340" s="72">
        <f>FastenersPriceList3[[#This Row],[Quantity (kg)]]/FastenersPriceList3[[#This Row],[SINGLE PC. WT.]]</f>
        <v>24.390243902439025</v>
      </c>
      <c r="J340" s="3">
        <v>138</v>
      </c>
      <c r="K340" s="3">
        <f>FastenersPriceList3[[#This Row],[1000 PCS/WT.]]*FastenersPriceList3[[#This Row],[Rate / PER kg (₹)]]</f>
        <v>282900</v>
      </c>
      <c r="L340" s="4">
        <f>FastenersPriceList3[[#This Row],[Rate / PER kg (₹)]]*FastenersPriceList3[[#This Row],[Quantity (kg)]]</f>
        <v>6900</v>
      </c>
      <c r="M340" s="4">
        <f>FastenersPriceList3[[#This Row],[SINGLE PC. WT.]]*FastenersPriceList3[[#This Row],[Rate / PER kg (₹)]]</f>
        <v>282.89999999999998</v>
      </c>
    </row>
    <row r="341" spans="1:13" ht="22.05" customHeight="1" x14ac:dyDescent="0.3">
      <c r="A341" s="2" t="s">
        <v>1663</v>
      </c>
      <c r="B341" s="12" t="s">
        <v>8</v>
      </c>
      <c r="C341" s="12">
        <v>8.8000000000000007</v>
      </c>
      <c r="D341" s="2">
        <v>2130</v>
      </c>
      <c r="E341" s="2">
        <f>FastenersPriceList3[[#This Row],[1000 PCS/WT.]]/1000</f>
        <v>2.13</v>
      </c>
      <c r="F341" s="2" t="s">
        <v>802</v>
      </c>
      <c r="G341" s="6" t="s">
        <v>1329</v>
      </c>
      <c r="H341" s="70">
        <v>50</v>
      </c>
      <c r="I341" s="72">
        <f>FastenersPriceList3[[#This Row],[Quantity (kg)]]/FastenersPriceList3[[#This Row],[SINGLE PC. WT.]]</f>
        <v>23.474178403755868</v>
      </c>
      <c r="J341" s="3">
        <v>138</v>
      </c>
      <c r="K341" s="3">
        <f>FastenersPriceList3[[#This Row],[1000 PCS/WT.]]*FastenersPriceList3[[#This Row],[Rate / PER kg (₹)]]</f>
        <v>293940</v>
      </c>
      <c r="L341" s="4">
        <f>FastenersPriceList3[[#This Row],[Rate / PER kg (₹)]]*FastenersPriceList3[[#This Row],[Quantity (kg)]]</f>
        <v>6900</v>
      </c>
      <c r="M341" s="4">
        <f>FastenersPriceList3[[#This Row],[SINGLE PC. WT.]]*FastenersPriceList3[[#This Row],[Rate / PER kg (₹)]]</f>
        <v>293.94</v>
      </c>
    </row>
    <row r="342" spans="1:13" ht="22.05" customHeight="1" x14ac:dyDescent="0.3">
      <c r="A342" s="2" t="s">
        <v>1664</v>
      </c>
      <c r="B342" s="12" t="s">
        <v>8</v>
      </c>
      <c r="C342" s="12">
        <v>8.8000000000000007</v>
      </c>
      <c r="D342" s="2">
        <v>2210</v>
      </c>
      <c r="E342" s="2">
        <f>FastenersPriceList3[[#This Row],[1000 PCS/WT.]]/1000</f>
        <v>2.21</v>
      </c>
      <c r="F342" s="2" t="s">
        <v>803</v>
      </c>
      <c r="G342" s="6" t="s">
        <v>1329</v>
      </c>
      <c r="H342" s="70">
        <v>50</v>
      </c>
      <c r="I342" s="72">
        <f>FastenersPriceList3[[#This Row],[Quantity (kg)]]/FastenersPriceList3[[#This Row],[SINGLE PC. WT.]]</f>
        <v>22.624434389140273</v>
      </c>
      <c r="J342" s="3">
        <v>138</v>
      </c>
      <c r="K342" s="3">
        <f>FastenersPriceList3[[#This Row],[1000 PCS/WT.]]*FastenersPriceList3[[#This Row],[Rate / PER kg (₹)]]</f>
        <v>304980</v>
      </c>
      <c r="L342" s="4">
        <f>FastenersPriceList3[[#This Row],[Rate / PER kg (₹)]]*FastenersPriceList3[[#This Row],[Quantity (kg)]]</f>
        <v>6900</v>
      </c>
      <c r="M342" s="4">
        <f>FastenersPriceList3[[#This Row],[SINGLE PC. WT.]]*FastenersPriceList3[[#This Row],[Rate / PER kg (₹)]]</f>
        <v>304.98</v>
      </c>
    </row>
    <row r="343" spans="1:13" ht="22.05" customHeight="1" x14ac:dyDescent="0.3">
      <c r="A343" s="2" t="s">
        <v>1665</v>
      </c>
      <c r="B343" s="12" t="s">
        <v>8</v>
      </c>
      <c r="C343" s="12">
        <v>8.8000000000000007</v>
      </c>
      <c r="D343" s="2">
        <v>2290</v>
      </c>
      <c r="E343" s="2">
        <f>FastenersPriceList3[[#This Row],[1000 PCS/WT.]]/1000</f>
        <v>2.29</v>
      </c>
      <c r="F343" s="2" t="s">
        <v>804</v>
      </c>
      <c r="G343" s="6" t="s">
        <v>1329</v>
      </c>
      <c r="H343" s="70">
        <v>50</v>
      </c>
      <c r="I343" s="72">
        <f>FastenersPriceList3[[#This Row],[Quantity (kg)]]/FastenersPriceList3[[#This Row],[SINGLE PC. WT.]]</f>
        <v>21.834061135371179</v>
      </c>
      <c r="J343" s="3">
        <v>138</v>
      </c>
      <c r="K343" s="3">
        <f>FastenersPriceList3[[#This Row],[1000 PCS/WT.]]*FastenersPriceList3[[#This Row],[Rate / PER kg (₹)]]</f>
        <v>316020</v>
      </c>
      <c r="L343" s="4">
        <f>FastenersPriceList3[[#This Row],[Rate / PER kg (₹)]]*FastenersPriceList3[[#This Row],[Quantity (kg)]]</f>
        <v>6900</v>
      </c>
      <c r="M343" s="4">
        <f>FastenersPriceList3[[#This Row],[SINGLE PC. WT.]]*FastenersPriceList3[[#This Row],[Rate / PER kg (₹)]]</f>
        <v>316.02</v>
      </c>
    </row>
    <row r="344" spans="1:13" ht="22.05" customHeight="1" x14ac:dyDescent="0.3">
      <c r="A344" s="2" t="s">
        <v>1666</v>
      </c>
      <c r="B344" s="12" t="s">
        <v>8</v>
      </c>
      <c r="C344" s="12">
        <v>8.8000000000000007</v>
      </c>
      <c r="D344" s="2">
        <v>2370</v>
      </c>
      <c r="E344" s="2">
        <f>FastenersPriceList3[[#This Row],[1000 PCS/WT.]]/1000</f>
        <v>2.37</v>
      </c>
      <c r="F344" s="2" t="s">
        <v>805</v>
      </c>
      <c r="G344" s="6" t="s">
        <v>1329</v>
      </c>
      <c r="H344" s="70">
        <v>50</v>
      </c>
      <c r="I344" s="72">
        <f>FastenersPriceList3[[#This Row],[Quantity (kg)]]/FastenersPriceList3[[#This Row],[SINGLE PC. WT.]]</f>
        <v>21.09704641350211</v>
      </c>
      <c r="J344" s="3">
        <v>138</v>
      </c>
      <c r="K344" s="3">
        <f>FastenersPriceList3[[#This Row],[1000 PCS/WT.]]*FastenersPriceList3[[#This Row],[Rate / PER kg (₹)]]</f>
        <v>327060</v>
      </c>
      <c r="L344" s="4">
        <f>FastenersPriceList3[[#This Row],[Rate / PER kg (₹)]]*FastenersPriceList3[[#This Row],[Quantity (kg)]]</f>
        <v>6900</v>
      </c>
      <c r="M344" s="4">
        <f>FastenersPriceList3[[#This Row],[SINGLE PC. WT.]]*FastenersPriceList3[[#This Row],[Rate / PER kg (₹)]]</f>
        <v>327.06</v>
      </c>
    </row>
    <row r="345" spans="1:13" ht="22.05" customHeight="1" x14ac:dyDescent="0.3">
      <c r="A345" s="2" t="s">
        <v>1667</v>
      </c>
      <c r="B345" s="12" t="s">
        <v>8</v>
      </c>
      <c r="C345" s="12">
        <v>8.8000000000000007</v>
      </c>
      <c r="D345" s="2">
        <v>2450</v>
      </c>
      <c r="E345" s="2">
        <f>FastenersPriceList3[[#This Row],[1000 PCS/WT.]]/1000</f>
        <v>2.4500000000000002</v>
      </c>
      <c r="F345" s="2" t="s">
        <v>806</v>
      </c>
      <c r="G345" s="6" t="s">
        <v>1329</v>
      </c>
      <c r="H345" s="70">
        <v>50</v>
      </c>
      <c r="I345" s="72">
        <f>FastenersPriceList3[[#This Row],[Quantity (kg)]]/FastenersPriceList3[[#This Row],[SINGLE PC. WT.]]</f>
        <v>20.408163265306122</v>
      </c>
      <c r="J345" s="3">
        <v>138</v>
      </c>
      <c r="K345" s="3">
        <f>FastenersPriceList3[[#This Row],[1000 PCS/WT.]]*FastenersPriceList3[[#This Row],[Rate / PER kg (₹)]]</f>
        <v>338100</v>
      </c>
      <c r="L345" s="4">
        <f>FastenersPriceList3[[#This Row],[Rate / PER kg (₹)]]*FastenersPriceList3[[#This Row],[Quantity (kg)]]</f>
        <v>6900</v>
      </c>
      <c r="M345" s="4">
        <f>FastenersPriceList3[[#This Row],[SINGLE PC. WT.]]*FastenersPriceList3[[#This Row],[Rate / PER kg (₹)]]</f>
        <v>338.1</v>
      </c>
    </row>
    <row r="346" spans="1:13" ht="22.05" customHeight="1" x14ac:dyDescent="0.3">
      <c r="A346" s="2" t="s">
        <v>1668</v>
      </c>
      <c r="B346" s="12" t="s">
        <v>8</v>
      </c>
      <c r="C346" s="12">
        <v>8.8000000000000007</v>
      </c>
      <c r="D346" s="2">
        <v>2530</v>
      </c>
      <c r="E346" s="2">
        <f>FastenersPriceList3[[#This Row],[1000 PCS/WT.]]/1000</f>
        <v>2.5299999999999998</v>
      </c>
      <c r="F346" s="2" t="s">
        <v>807</v>
      </c>
      <c r="G346" s="6" t="s">
        <v>1329</v>
      </c>
      <c r="H346" s="70">
        <v>50</v>
      </c>
      <c r="I346" s="72">
        <f>FastenersPriceList3[[#This Row],[Quantity (kg)]]/FastenersPriceList3[[#This Row],[SINGLE PC. WT.]]</f>
        <v>19.762845849802375</v>
      </c>
      <c r="J346" s="3">
        <v>138</v>
      </c>
      <c r="K346" s="3">
        <f>FastenersPriceList3[[#This Row],[1000 PCS/WT.]]*FastenersPriceList3[[#This Row],[Rate / PER kg (₹)]]</f>
        <v>349140</v>
      </c>
      <c r="L346" s="4">
        <f>FastenersPriceList3[[#This Row],[Rate / PER kg (₹)]]*FastenersPriceList3[[#This Row],[Quantity (kg)]]</f>
        <v>6900</v>
      </c>
      <c r="M346" s="4">
        <f>FastenersPriceList3[[#This Row],[SINGLE PC. WT.]]*FastenersPriceList3[[#This Row],[Rate / PER kg (₹)]]</f>
        <v>349.14</v>
      </c>
    </row>
    <row r="347" spans="1:13" ht="22.05" customHeight="1" x14ac:dyDescent="0.3">
      <c r="A347" s="2" t="s">
        <v>1669</v>
      </c>
      <c r="B347" s="12" t="s">
        <v>8</v>
      </c>
      <c r="C347" s="12">
        <v>8.8000000000000007</v>
      </c>
      <c r="D347" s="2">
        <v>2610</v>
      </c>
      <c r="E347" s="2">
        <f>FastenersPriceList3[[#This Row],[1000 PCS/WT.]]/1000</f>
        <v>2.61</v>
      </c>
      <c r="F347" s="2" t="s">
        <v>808</v>
      </c>
      <c r="G347" s="6" t="s">
        <v>1329</v>
      </c>
      <c r="H347" s="70">
        <v>50</v>
      </c>
      <c r="I347" s="72">
        <f>FastenersPriceList3[[#This Row],[Quantity (kg)]]/FastenersPriceList3[[#This Row],[SINGLE PC. WT.]]</f>
        <v>19.157088122605366</v>
      </c>
      <c r="J347" s="3">
        <v>138</v>
      </c>
      <c r="K347" s="3">
        <f>FastenersPriceList3[[#This Row],[1000 PCS/WT.]]*FastenersPriceList3[[#This Row],[Rate / PER kg (₹)]]</f>
        <v>360180</v>
      </c>
      <c r="L347" s="4">
        <f>FastenersPriceList3[[#This Row],[Rate / PER kg (₹)]]*FastenersPriceList3[[#This Row],[Quantity (kg)]]</f>
        <v>6900</v>
      </c>
      <c r="M347" s="4">
        <f>FastenersPriceList3[[#This Row],[SINGLE PC. WT.]]*FastenersPriceList3[[#This Row],[Rate / PER kg (₹)]]</f>
        <v>360.18</v>
      </c>
    </row>
    <row r="348" spans="1:13" ht="22.05" customHeight="1" x14ac:dyDescent="0.3">
      <c r="A348" s="2" t="s">
        <v>1670</v>
      </c>
      <c r="B348" s="12" t="s">
        <v>8</v>
      </c>
      <c r="C348" s="12">
        <v>8.8000000000000007</v>
      </c>
      <c r="D348" s="2">
        <v>2690</v>
      </c>
      <c r="E348" s="2">
        <f>FastenersPriceList3[[#This Row],[1000 PCS/WT.]]/1000</f>
        <v>2.69</v>
      </c>
      <c r="F348" s="2" t="s">
        <v>809</v>
      </c>
      <c r="G348" s="6" t="s">
        <v>1329</v>
      </c>
      <c r="H348" s="70">
        <v>50</v>
      </c>
      <c r="I348" s="72">
        <f>FastenersPriceList3[[#This Row],[Quantity (kg)]]/FastenersPriceList3[[#This Row],[SINGLE PC. WT.]]</f>
        <v>18.587360594795541</v>
      </c>
      <c r="J348" s="3">
        <v>138</v>
      </c>
      <c r="K348" s="3">
        <f>FastenersPriceList3[[#This Row],[1000 PCS/WT.]]*FastenersPriceList3[[#This Row],[Rate / PER kg (₹)]]</f>
        <v>371220</v>
      </c>
      <c r="L348" s="4">
        <f>FastenersPriceList3[[#This Row],[Rate / PER kg (₹)]]*FastenersPriceList3[[#This Row],[Quantity (kg)]]</f>
        <v>6900</v>
      </c>
      <c r="M348" s="4">
        <f>FastenersPriceList3[[#This Row],[SINGLE PC. WT.]]*FastenersPriceList3[[#This Row],[Rate / PER kg (₹)]]</f>
        <v>371.21999999999997</v>
      </c>
    </row>
    <row r="349" spans="1:13" ht="22.05" customHeight="1" x14ac:dyDescent="0.3">
      <c r="A349" s="2" t="s">
        <v>1671</v>
      </c>
      <c r="B349" s="12" t="s">
        <v>8</v>
      </c>
      <c r="C349" s="12">
        <v>8.8000000000000007</v>
      </c>
      <c r="D349" s="2">
        <v>2770</v>
      </c>
      <c r="E349" s="2">
        <f>FastenersPriceList3[[#This Row],[1000 PCS/WT.]]/1000</f>
        <v>2.77</v>
      </c>
      <c r="F349" s="2" t="s">
        <v>810</v>
      </c>
      <c r="G349" s="6" t="s">
        <v>1329</v>
      </c>
      <c r="H349" s="70">
        <v>50</v>
      </c>
      <c r="I349" s="72">
        <f>FastenersPriceList3[[#This Row],[Quantity (kg)]]/FastenersPriceList3[[#This Row],[SINGLE PC. WT.]]</f>
        <v>18.050541516245488</v>
      </c>
      <c r="J349" s="3">
        <v>138</v>
      </c>
      <c r="K349" s="3">
        <f>FastenersPriceList3[[#This Row],[1000 PCS/WT.]]*FastenersPriceList3[[#This Row],[Rate / PER kg (₹)]]</f>
        <v>382260</v>
      </c>
      <c r="L349" s="4">
        <f>FastenersPriceList3[[#This Row],[Rate / PER kg (₹)]]*FastenersPriceList3[[#This Row],[Quantity (kg)]]</f>
        <v>6900</v>
      </c>
      <c r="M349" s="4">
        <f>FastenersPriceList3[[#This Row],[SINGLE PC. WT.]]*FastenersPriceList3[[#This Row],[Rate / PER kg (₹)]]</f>
        <v>382.26</v>
      </c>
    </row>
    <row r="350" spans="1:13" ht="22.05" customHeight="1" x14ac:dyDescent="0.3">
      <c r="A350" s="2" t="s">
        <v>1672</v>
      </c>
      <c r="B350" s="12" t="s">
        <v>8</v>
      </c>
      <c r="C350" s="12">
        <v>8.8000000000000007</v>
      </c>
      <c r="D350" s="2">
        <v>1087</v>
      </c>
      <c r="E350" s="2">
        <f>FastenersPriceList3[[#This Row],[1000 PCS/WT.]]/1000</f>
        <v>1.087</v>
      </c>
      <c r="F350" s="2" t="s">
        <v>811</v>
      </c>
      <c r="G350" s="6" t="s">
        <v>1329</v>
      </c>
      <c r="H350" s="70">
        <v>50</v>
      </c>
      <c r="I350" s="72">
        <f>FastenersPriceList3[[#This Row],[Quantity (kg)]]/FastenersPriceList3[[#This Row],[SINGLE PC. WT.]]</f>
        <v>45.998160073597056</v>
      </c>
      <c r="J350" s="3">
        <v>130</v>
      </c>
      <c r="K350" s="3">
        <f>FastenersPriceList3[[#This Row],[1000 PCS/WT.]]*FastenersPriceList3[[#This Row],[Rate / PER kg (₹)]]</f>
        <v>141310</v>
      </c>
      <c r="L350" s="4">
        <f>FastenersPriceList3[[#This Row],[Rate / PER kg (₹)]]*FastenersPriceList3[[#This Row],[Quantity (kg)]]</f>
        <v>6500</v>
      </c>
      <c r="M350" s="4">
        <f>FastenersPriceList3[[#This Row],[SINGLE PC. WT.]]*FastenersPriceList3[[#This Row],[Rate / PER kg (₹)]]</f>
        <v>141.31</v>
      </c>
    </row>
    <row r="351" spans="1:13" ht="22.05" customHeight="1" x14ac:dyDescent="0.3">
      <c r="A351" s="2" t="s">
        <v>1673</v>
      </c>
      <c r="B351" s="12" t="s">
        <v>8</v>
      </c>
      <c r="C351" s="12">
        <v>8.8000000000000007</v>
      </c>
      <c r="D351" s="2">
        <v>1134</v>
      </c>
      <c r="E351" s="2">
        <f>FastenersPriceList3[[#This Row],[1000 PCS/WT.]]/1000</f>
        <v>1.1339999999999999</v>
      </c>
      <c r="F351" s="2" t="s">
        <v>812</v>
      </c>
      <c r="G351" s="6" t="s">
        <v>1329</v>
      </c>
      <c r="H351" s="70">
        <v>50</v>
      </c>
      <c r="I351" s="72">
        <f>FastenersPriceList3[[#This Row],[Quantity (kg)]]/FastenersPriceList3[[#This Row],[SINGLE PC. WT.]]</f>
        <v>44.091710758377431</v>
      </c>
      <c r="J351" s="3">
        <v>130</v>
      </c>
      <c r="K351" s="3">
        <f>FastenersPriceList3[[#This Row],[1000 PCS/WT.]]*FastenersPriceList3[[#This Row],[Rate / PER kg (₹)]]</f>
        <v>147420</v>
      </c>
      <c r="L351" s="4">
        <f>FastenersPriceList3[[#This Row],[Rate / PER kg (₹)]]*FastenersPriceList3[[#This Row],[Quantity (kg)]]</f>
        <v>6500</v>
      </c>
      <c r="M351" s="4">
        <f>FastenersPriceList3[[#This Row],[SINGLE PC. WT.]]*FastenersPriceList3[[#This Row],[Rate / PER kg (₹)]]</f>
        <v>147.41999999999999</v>
      </c>
    </row>
    <row r="352" spans="1:13" ht="22.05" customHeight="1" x14ac:dyDescent="0.3">
      <c r="A352" s="2" t="s">
        <v>1674</v>
      </c>
      <c r="B352" s="12" t="s">
        <v>8</v>
      </c>
      <c r="C352" s="12">
        <v>8.8000000000000007</v>
      </c>
      <c r="D352" s="2">
        <v>1181</v>
      </c>
      <c r="E352" s="2">
        <f>FastenersPriceList3[[#This Row],[1000 PCS/WT.]]/1000</f>
        <v>1.181</v>
      </c>
      <c r="F352" s="2" t="s">
        <v>813</v>
      </c>
      <c r="G352" s="6" t="s">
        <v>1329</v>
      </c>
      <c r="H352" s="70">
        <v>50</v>
      </c>
      <c r="I352" s="72">
        <f>FastenersPriceList3[[#This Row],[Quantity (kg)]]/FastenersPriceList3[[#This Row],[SINGLE PC. WT.]]</f>
        <v>42.337002540220148</v>
      </c>
      <c r="J352" s="3">
        <v>130</v>
      </c>
      <c r="K352" s="3">
        <f>FastenersPriceList3[[#This Row],[1000 PCS/WT.]]*FastenersPriceList3[[#This Row],[Rate / PER kg (₹)]]</f>
        <v>153530</v>
      </c>
      <c r="L352" s="4">
        <f>FastenersPriceList3[[#This Row],[Rate / PER kg (₹)]]*FastenersPriceList3[[#This Row],[Quantity (kg)]]</f>
        <v>6500</v>
      </c>
      <c r="M352" s="4">
        <f>FastenersPriceList3[[#This Row],[SINGLE PC. WT.]]*FastenersPriceList3[[#This Row],[Rate / PER kg (₹)]]</f>
        <v>153.53</v>
      </c>
    </row>
    <row r="353" spans="1:13" ht="22.05" customHeight="1" x14ac:dyDescent="0.3">
      <c r="A353" s="2" t="s">
        <v>1675</v>
      </c>
      <c r="B353" s="12" t="s">
        <v>8</v>
      </c>
      <c r="C353" s="12">
        <v>8.8000000000000007</v>
      </c>
      <c r="D353" s="2">
        <v>1228</v>
      </c>
      <c r="E353" s="2">
        <f>FastenersPriceList3[[#This Row],[1000 PCS/WT.]]/1000</f>
        <v>1.228</v>
      </c>
      <c r="F353" s="2" t="s">
        <v>814</v>
      </c>
      <c r="G353" s="6" t="s">
        <v>1329</v>
      </c>
      <c r="H353" s="70">
        <v>50</v>
      </c>
      <c r="I353" s="72">
        <f>FastenersPriceList3[[#This Row],[Quantity (kg)]]/FastenersPriceList3[[#This Row],[SINGLE PC. WT.]]</f>
        <v>40.716612377850161</v>
      </c>
      <c r="J353" s="3">
        <v>130</v>
      </c>
      <c r="K353" s="3">
        <f>FastenersPriceList3[[#This Row],[1000 PCS/WT.]]*FastenersPriceList3[[#This Row],[Rate / PER kg (₹)]]</f>
        <v>159640</v>
      </c>
      <c r="L353" s="4">
        <f>FastenersPriceList3[[#This Row],[Rate / PER kg (₹)]]*FastenersPriceList3[[#This Row],[Quantity (kg)]]</f>
        <v>6500</v>
      </c>
      <c r="M353" s="4">
        <f>FastenersPriceList3[[#This Row],[SINGLE PC. WT.]]*FastenersPriceList3[[#This Row],[Rate / PER kg (₹)]]</f>
        <v>159.63999999999999</v>
      </c>
    </row>
    <row r="354" spans="1:13" ht="22.05" customHeight="1" x14ac:dyDescent="0.3">
      <c r="A354" s="2" t="s">
        <v>1676</v>
      </c>
      <c r="B354" s="12" t="s">
        <v>8</v>
      </c>
      <c r="C354" s="12">
        <v>8.8000000000000007</v>
      </c>
      <c r="D354" s="2">
        <v>1275</v>
      </c>
      <c r="E354" s="2">
        <f>FastenersPriceList3[[#This Row],[1000 PCS/WT.]]/1000</f>
        <v>1.2749999999999999</v>
      </c>
      <c r="F354" s="2" t="s">
        <v>815</v>
      </c>
      <c r="G354" s="6" t="s">
        <v>1329</v>
      </c>
      <c r="H354" s="70">
        <v>50</v>
      </c>
      <c r="I354" s="72">
        <f>FastenersPriceList3[[#This Row],[Quantity (kg)]]/FastenersPriceList3[[#This Row],[SINGLE PC. WT.]]</f>
        <v>39.215686274509807</v>
      </c>
      <c r="J354" s="3">
        <v>130</v>
      </c>
      <c r="K354" s="3">
        <f>FastenersPriceList3[[#This Row],[1000 PCS/WT.]]*FastenersPriceList3[[#This Row],[Rate / PER kg (₹)]]</f>
        <v>165750</v>
      </c>
      <c r="L354" s="4">
        <f>FastenersPriceList3[[#This Row],[Rate / PER kg (₹)]]*FastenersPriceList3[[#This Row],[Quantity (kg)]]</f>
        <v>6500</v>
      </c>
      <c r="M354" s="4">
        <f>FastenersPriceList3[[#This Row],[SINGLE PC. WT.]]*FastenersPriceList3[[#This Row],[Rate / PER kg (₹)]]</f>
        <v>165.75</v>
      </c>
    </row>
    <row r="355" spans="1:13" ht="22.05" customHeight="1" x14ac:dyDescent="0.3">
      <c r="A355" s="2" t="s">
        <v>1677</v>
      </c>
      <c r="B355" s="12" t="s">
        <v>8</v>
      </c>
      <c r="C355" s="12">
        <v>8.8000000000000007</v>
      </c>
      <c r="D355" s="2">
        <v>1322</v>
      </c>
      <c r="E355" s="2">
        <f>FastenersPriceList3[[#This Row],[1000 PCS/WT.]]/1000</f>
        <v>1.3220000000000001</v>
      </c>
      <c r="F355" s="2" t="s">
        <v>816</v>
      </c>
      <c r="G355" s="6" t="s">
        <v>1329</v>
      </c>
      <c r="H355" s="70">
        <v>50</v>
      </c>
      <c r="I355" s="72">
        <f>FastenersPriceList3[[#This Row],[Quantity (kg)]]/FastenersPriceList3[[#This Row],[SINGLE PC. WT.]]</f>
        <v>37.821482602118003</v>
      </c>
      <c r="J355" s="3">
        <v>130</v>
      </c>
      <c r="K355" s="3">
        <f>FastenersPriceList3[[#This Row],[1000 PCS/WT.]]*FastenersPriceList3[[#This Row],[Rate / PER kg (₹)]]</f>
        <v>171860</v>
      </c>
      <c r="L355" s="4">
        <f>FastenersPriceList3[[#This Row],[Rate / PER kg (₹)]]*FastenersPriceList3[[#This Row],[Quantity (kg)]]</f>
        <v>6500</v>
      </c>
      <c r="M355" s="4">
        <f>FastenersPriceList3[[#This Row],[SINGLE PC. WT.]]*FastenersPriceList3[[#This Row],[Rate / PER kg (₹)]]</f>
        <v>171.86</v>
      </c>
    </row>
    <row r="356" spans="1:13" ht="22.05" customHeight="1" x14ac:dyDescent="0.3">
      <c r="A356" s="2" t="s">
        <v>1678</v>
      </c>
      <c r="B356" s="12" t="s">
        <v>8</v>
      </c>
      <c r="C356" s="12">
        <v>8.8000000000000007</v>
      </c>
      <c r="D356" s="2">
        <v>1369</v>
      </c>
      <c r="E356" s="2">
        <f>FastenersPriceList3[[#This Row],[1000 PCS/WT.]]/1000</f>
        <v>1.369</v>
      </c>
      <c r="F356" s="2" t="s">
        <v>817</v>
      </c>
      <c r="G356" s="6" t="s">
        <v>1329</v>
      </c>
      <c r="H356" s="70">
        <v>50</v>
      </c>
      <c r="I356" s="72">
        <f>FastenersPriceList3[[#This Row],[Quantity (kg)]]/FastenersPriceList3[[#This Row],[SINGLE PC. WT.]]</f>
        <v>36.523009495982471</v>
      </c>
      <c r="J356" s="3">
        <v>130</v>
      </c>
      <c r="K356" s="3">
        <f>FastenersPriceList3[[#This Row],[1000 PCS/WT.]]*FastenersPriceList3[[#This Row],[Rate / PER kg (₹)]]</f>
        <v>177970</v>
      </c>
      <c r="L356" s="4">
        <f>FastenersPriceList3[[#This Row],[Rate / PER kg (₹)]]*FastenersPriceList3[[#This Row],[Quantity (kg)]]</f>
        <v>6500</v>
      </c>
      <c r="M356" s="4">
        <f>FastenersPriceList3[[#This Row],[SINGLE PC. WT.]]*FastenersPriceList3[[#This Row],[Rate / PER kg (₹)]]</f>
        <v>177.97</v>
      </c>
    </row>
    <row r="357" spans="1:13" ht="22.05" customHeight="1" x14ac:dyDescent="0.3">
      <c r="A357" s="2" t="s">
        <v>1679</v>
      </c>
      <c r="B357" s="12" t="s">
        <v>8</v>
      </c>
      <c r="C357" s="12">
        <v>8.8000000000000007</v>
      </c>
      <c r="D357" s="2">
        <v>1416</v>
      </c>
      <c r="E357" s="2">
        <f>FastenersPriceList3[[#This Row],[1000 PCS/WT.]]/1000</f>
        <v>1.4159999999999999</v>
      </c>
      <c r="F357" s="2" t="s">
        <v>818</v>
      </c>
      <c r="G357" s="6" t="s">
        <v>1329</v>
      </c>
      <c r="H357" s="70">
        <v>50</v>
      </c>
      <c r="I357" s="72">
        <f>FastenersPriceList3[[#This Row],[Quantity (kg)]]/FastenersPriceList3[[#This Row],[SINGLE PC. WT.]]</f>
        <v>35.310734463276837</v>
      </c>
      <c r="J357" s="3">
        <v>130</v>
      </c>
      <c r="K357" s="3">
        <f>FastenersPriceList3[[#This Row],[1000 PCS/WT.]]*FastenersPriceList3[[#This Row],[Rate / PER kg (₹)]]</f>
        <v>184080</v>
      </c>
      <c r="L357" s="4">
        <f>FastenersPriceList3[[#This Row],[Rate / PER kg (₹)]]*FastenersPriceList3[[#This Row],[Quantity (kg)]]</f>
        <v>6500</v>
      </c>
      <c r="M357" s="4">
        <f>FastenersPriceList3[[#This Row],[SINGLE PC. WT.]]*FastenersPriceList3[[#This Row],[Rate / PER kg (₹)]]</f>
        <v>184.07999999999998</v>
      </c>
    </row>
    <row r="358" spans="1:13" ht="22.05" customHeight="1" x14ac:dyDescent="0.3">
      <c r="A358" s="2" t="s">
        <v>1680</v>
      </c>
      <c r="B358" s="12" t="s">
        <v>8</v>
      </c>
      <c r="C358" s="12">
        <v>8.8000000000000007</v>
      </c>
      <c r="D358" s="2">
        <v>1463</v>
      </c>
      <c r="E358" s="2">
        <f>FastenersPriceList3[[#This Row],[1000 PCS/WT.]]/1000</f>
        <v>1.4630000000000001</v>
      </c>
      <c r="F358" s="2" t="s">
        <v>819</v>
      </c>
      <c r="G358" s="6" t="s">
        <v>1329</v>
      </c>
      <c r="H358" s="70">
        <v>50</v>
      </c>
      <c r="I358" s="72">
        <f>FastenersPriceList3[[#This Row],[Quantity (kg)]]/FastenersPriceList3[[#This Row],[SINGLE PC. WT.]]</f>
        <v>34.176349965823647</v>
      </c>
      <c r="J358" s="3">
        <v>130</v>
      </c>
      <c r="K358" s="3">
        <f>FastenersPriceList3[[#This Row],[1000 PCS/WT.]]*FastenersPriceList3[[#This Row],[Rate / PER kg (₹)]]</f>
        <v>190190</v>
      </c>
      <c r="L358" s="4">
        <f>FastenersPriceList3[[#This Row],[Rate / PER kg (₹)]]*FastenersPriceList3[[#This Row],[Quantity (kg)]]</f>
        <v>6500</v>
      </c>
      <c r="M358" s="4">
        <f>FastenersPriceList3[[#This Row],[SINGLE PC. WT.]]*FastenersPriceList3[[#This Row],[Rate / PER kg (₹)]]</f>
        <v>190.19</v>
      </c>
    </row>
    <row r="359" spans="1:13" ht="22.05" customHeight="1" x14ac:dyDescent="0.3">
      <c r="A359" s="2" t="s">
        <v>1681</v>
      </c>
      <c r="B359" s="12" t="s">
        <v>8</v>
      </c>
      <c r="C359" s="12">
        <v>8.8000000000000007</v>
      </c>
      <c r="D359" s="2">
        <v>1530</v>
      </c>
      <c r="E359" s="2">
        <f>FastenersPriceList3[[#This Row],[1000 PCS/WT.]]/1000</f>
        <v>1.53</v>
      </c>
      <c r="F359" s="2" t="s">
        <v>820</v>
      </c>
      <c r="G359" s="6" t="s">
        <v>1329</v>
      </c>
      <c r="H359" s="70">
        <v>50</v>
      </c>
      <c r="I359" s="72">
        <f>FastenersPriceList3[[#This Row],[Quantity (kg)]]/FastenersPriceList3[[#This Row],[SINGLE PC. WT.]]</f>
        <v>32.679738562091501</v>
      </c>
      <c r="J359" s="3">
        <v>135</v>
      </c>
      <c r="K359" s="3">
        <f>FastenersPriceList3[[#This Row],[1000 PCS/WT.]]*FastenersPriceList3[[#This Row],[Rate / PER kg (₹)]]</f>
        <v>206550</v>
      </c>
      <c r="L359" s="4">
        <f>FastenersPriceList3[[#This Row],[Rate / PER kg (₹)]]*FastenersPriceList3[[#This Row],[Quantity (kg)]]</f>
        <v>6750</v>
      </c>
      <c r="M359" s="4">
        <f>FastenersPriceList3[[#This Row],[SINGLE PC. WT.]]*FastenersPriceList3[[#This Row],[Rate / PER kg (₹)]]</f>
        <v>206.55</v>
      </c>
    </row>
    <row r="360" spans="1:13" ht="22.05" customHeight="1" x14ac:dyDescent="0.3">
      <c r="A360" s="2" t="s">
        <v>1682</v>
      </c>
      <c r="B360" s="12" t="s">
        <v>8</v>
      </c>
      <c r="C360" s="12">
        <v>8.8000000000000007</v>
      </c>
      <c r="D360" s="2">
        <v>1620</v>
      </c>
      <c r="E360" s="2">
        <f>FastenersPriceList3[[#This Row],[1000 PCS/WT.]]/1000</f>
        <v>1.62</v>
      </c>
      <c r="F360" s="2" t="s">
        <v>821</v>
      </c>
      <c r="G360" s="6" t="s">
        <v>1329</v>
      </c>
      <c r="H360" s="70">
        <v>50</v>
      </c>
      <c r="I360" s="72">
        <f>FastenersPriceList3[[#This Row],[Quantity (kg)]]/FastenersPriceList3[[#This Row],[SINGLE PC. WT.]]</f>
        <v>30.864197530864196</v>
      </c>
      <c r="J360" s="3">
        <v>135</v>
      </c>
      <c r="K360" s="3">
        <f>FastenersPriceList3[[#This Row],[1000 PCS/WT.]]*FastenersPriceList3[[#This Row],[Rate / PER kg (₹)]]</f>
        <v>218700</v>
      </c>
      <c r="L360" s="4">
        <f>FastenersPriceList3[[#This Row],[Rate / PER kg (₹)]]*FastenersPriceList3[[#This Row],[Quantity (kg)]]</f>
        <v>6750</v>
      </c>
      <c r="M360" s="4">
        <f>FastenersPriceList3[[#This Row],[SINGLE PC. WT.]]*FastenersPriceList3[[#This Row],[Rate / PER kg (₹)]]</f>
        <v>218.70000000000002</v>
      </c>
    </row>
    <row r="361" spans="1:13" ht="22.05" customHeight="1" x14ac:dyDescent="0.3">
      <c r="A361" s="2" t="s">
        <v>1683</v>
      </c>
      <c r="B361" s="12" t="s">
        <v>8</v>
      </c>
      <c r="C361" s="12">
        <v>8.8000000000000007</v>
      </c>
      <c r="D361" s="2">
        <v>1710</v>
      </c>
      <c r="E361" s="2">
        <f>FastenersPriceList3[[#This Row],[1000 PCS/WT.]]/1000</f>
        <v>1.71</v>
      </c>
      <c r="F361" s="2" t="s">
        <v>822</v>
      </c>
      <c r="G361" s="6" t="s">
        <v>1329</v>
      </c>
      <c r="H361" s="70">
        <v>50</v>
      </c>
      <c r="I361" s="72">
        <f>FastenersPriceList3[[#This Row],[Quantity (kg)]]/FastenersPriceList3[[#This Row],[SINGLE PC. WT.]]</f>
        <v>29.239766081871345</v>
      </c>
      <c r="J361" s="3">
        <v>135</v>
      </c>
      <c r="K361" s="3">
        <f>FastenersPriceList3[[#This Row],[1000 PCS/WT.]]*FastenersPriceList3[[#This Row],[Rate / PER kg (₹)]]</f>
        <v>230850</v>
      </c>
      <c r="L361" s="4">
        <f>FastenersPriceList3[[#This Row],[Rate / PER kg (₹)]]*FastenersPriceList3[[#This Row],[Quantity (kg)]]</f>
        <v>6750</v>
      </c>
      <c r="M361" s="4">
        <f>FastenersPriceList3[[#This Row],[SINGLE PC. WT.]]*FastenersPriceList3[[#This Row],[Rate / PER kg (₹)]]</f>
        <v>230.85</v>
      </c>
    </row>
    <row r="362" spans="1:13" ht="22.05" customHeight="1" x14ac:dyDescent="0.3">
      <c r="A362" s="2" t="s">
        <v>1684</v>
      </c>
      <c r="B362" s="12" t="s">
        <v>8</v>
      </c>
      <c r="C362" s="12">
        <v>8.8000000000000007</v>
      </c>
      <c r="D362" s="2">
        <v>1800</v>
      </c>
      <c r="E362" s="2">
        <f>FastenersPriceList3[[#This Row],[1000 PCS/WT.]]/1000</f>
        <v>1.8</v>
      </c>
      <c r="F362" s="2" t="s">
        <v>823</v>
      </c>
      <c r="G362" s="6" t="s">
        <v>1329</v>
      </c>
      <c r="H362" s="70">
        <v>50</v>
      </c>
      <c r="I362" s="72">
        <f>FastenersPriceList3[[#This Row],[Quantity (kg)]]/FastenersPriceList3[[#This Row],[SINGLE PC. WT.]]</f>
        <v>27.777777777777779</v>
      </c>
      <c r="J362" s="3">
        <v>135</v>
      </c>
      <c r="K362" s="3">
        <f>FastenersPriceList3[[#This Row],[1000 PCS/WT.]]*FastenersPriceList3[[#This Row],[Rate / PER kg (₹)]]</f>
        <v>243000</v>
      </c>
      <c r="L362" s="4">
        <f>FastenersPriceList3[[#This Row],[Rate / PER kg (₹)]]*FastenersPriceList3[[#This Row],[Quantity (kg)]]</f>
        <v>6750</v>
      </c>
      <c r="M362" s="4">
        <f>FastenersPriceList3[[#This Row],[SINGLE PC. WT.]]*FastenersPriceList3[[#This Row],[Rate / PER kg (₹)]]</f>
        <v>243</v>
      </c>
    </row>
    <row r="363" spans="1:13" ht="22.05" customHeight="1" x14ac:dyDescent="0.3">
      <c r="A363" s="2" t="s">
        <v>1685</v>
      </c>
      <c r="B363" s="12" t="s">
        <v>8</v>
      </c>
      <c r="C363" s="12">
        <v>8.8000000000000007</v>
      </c>
      <c r="D363" s="2">
        <v>1890</v>
      </c>
      <c r="E363" s="2">
        <f>FastenersPriceList3[[#This Row],[1000 PCS/WT.]]/1000</f>
        <v>1.89</v>
      </c>
      <c r="F363" s="2" t="s">
        <v>824</v>
      </c>
      <c r="G363" s="6" t="s">
        <v>1329</v>
      </c>
      <c r="H363" s="70">
        <v>50</v>
      </c>
      <c r="I363" s="72">
        <f>FastenersPriceList3[[#This Row],[Quantity (kg)]]/FastenersPriceList3[[#This Row],[SINGLE PC. WT.]]</f>
        <v>26.455026455026456</v>
      </c>
      <c r="J363" s="3">
        <v>135</v>
      </c>
      <c r="K363" s="3">
        <f>FastenersPriceList3[[#This Row],[1000 PCS/WT.]]*FastenersPriceList3[[#This Row],[Rate / PER kg (₹)]]</f>
        <v>255150</v>
      </c>
      <c r="L363" s="4">
        <f>FastenersPriceList3[[#This Row],[Rate / PER kg (₹)]]*FastenersPriceList3[[#This Row],[Quantity (kg)]]</f>
        <v>6750</v>
      </c>
      <c r="M363" s="4">
        <f>FastenersPriceList3[[#This Row],[SINGLE PC. WT.]]*FastenersPriceList3[[#This Row],[Rate / PER kg (₹)]]</f>
        <v>255.14999999999998</v>
      </c>
    </row>
    <row r="364" spans="1:13" ht="22.05" customHeight="1" x14ac:dyDescent="0.3">
      <c r="A364" s="2" t="s">
        <v>1686</v>
      </c>
      <c r="B364" s="12" t="s">
        <v>8</v>
      </c>
      <c r="C364" s="12">
        <v>8.8000000000000007</v>
      </c>
      <c r="D364" s="2">
        <v>1980</v>
      </c>
      <c r="E364" s="2">
        <f>FastenersPriceList3[[#This Row],[1000 PCS/WT.]]/1000</f>
        <v>1.98</v>
      </c>
      <c r="F364" s="2" t="s">
        <v>825</v>
      </c>
      <c r="G364" s="6" t="s">
        <v>1329</v>
      </c>
      <c r="H364" s="70">
        <v>50</v>
      </c>
      <c r="I364" s="72">
        <f>FastenersPriceList3[[#This Row],[Quantity (kg)]]/FastenersPriceList3[[#This Row],[SINGLE PC. WT.]]</f>
        <v>25.252525252525253</v>
      </c>
      <c r="J364" s="3">
        <v>135</v>
      </c>
      <c r="K364" s="3">
        <f>FastenersPriceList3[[#This Row],[1000 PCS/WT.]]*FastenersPriceList3[[#This Row],[Rate / PER kg (₹)]]</f>
        <v>267300</v>
      </c>
      <c r="L364" s="4">
        <f>FastenersPriceList3[[#This Row],[Rate / PER kg (₹)]]*FastenersPriceList3[[#This Row],[Quantity (kg)]]</f>
        <v>6750</v>
      </c>
      <c r="M364" s="4">
        <f>FastenersPriceList3[[#This Row],[SINGLE PC. WT.]]*FastenersPriceList3[[#This Row],[Rate / PER kg (₹)]]</f>
        <v>267.3</v>
      </c>
    </row>
    <row r="365" spans="1:13" ht="22.05" customHeight="1" x14ac:dyDescent="0.3">
      <c r="A365" s="2" t="s">
        <v>1687</v>
      </c>
      <c r="B365" s="12" t="s">
        <v>8</v>
      </c>
      <c r="C365" s="12">
        <v>8.8000000000000007</v>
      </c>
      <c r="D365" s="2">
        <v>2070</v>
      </c>
      <c r="E365" s="2">
        <f>FastenersPriceList3[[#This Row],[1000 PCS/WT.]]/1000</f>
        <v>2.0699999999999998</v>
      </c>
      <c r="F365" s="2" t="s">
        <v>826</v>
      </c>
      <c r="G365" s="6" t="s">
        <v>1329</v>
      </c>
      <c r="H365" s="70">
        <v>50</v>
      </c>
      <c r="I365" s="72">
        <f>FastenersPriceList3[[#This Row],[Quantity (kg)]]/FastenersPriceList3[[#This Row],[SINGLE PC. WT.]]</f>
        <v>24.154589371980677</v>
      </c>
      <c r="J365" s="3">
        <v>135</v>
      </c>
      <c r="K365" s="3">
        <f>FastenersPriceList3[[#This Row],[1000 PCS/WT.]]*FastenersPriceList3[[#This Row],[Rate / PER kg (₹)]]</f>
        <v>279450</v>
      </c>
      <c r="L365" s="4">
        <f>FastenersPriceList3[[#This Row],[Rate / PER kg (₹)]]*FastenersPriceList3[[#This Row],[Quantity (kg)]]</f>
        <v>6750</v>
      </c>
      <c r="M365" s="4">
        <f>FastenersPriceList3[[#This Row],[SINGLE PC. WT.]]*FastenersPriceList3[[#This Row],[Rate / PER kg (₹)]]</f>
        <v>279.45</v>
      </c>
    </row>
    <row r="366" spans="1:13" ht="22.05" customHeight="1" x14ac:dyDescent="0.3">
      <c r="A366" s="2" t="s">
        <v>1688</v>
      </c>
      <c r="B366" s="12" t="s">
        <v>8</v>
      </c>
      <c r="C366" s="12">
        <v>8.8000000000000007</v>
      </c>
      <c r="D366" s="2">
        <v>2160</v>
      </c>
      <c r="E366" s="2">
        <f>FastenersPriceList3[[#This Row],[1000 PCS/WT.]]/1000</f>
        <v>2.16</v>
      </c>
      <c r="F366" s="2" t="s">
        <v>827</v>
      </c>
      <c r="G366" s="6" t="s">
        <v>1329</v>
      </c>
      <c r="H366" s="70">
        <v>50</v>
      </c>
      <c r="I366" s="72">
        <f>FastenersPriceList3[[#This Row],[Quantity (kg)]]/FastenersPriceList3[[#This Row],[SINGLE PC. WT.]]</f>
        <v>23.148148148148145</v>
      </c>
      <c r="J366" s="3">
        <v>135</v>
      </c>
      <c r="K366" s="3">
        <f>FastenersPriceList3[[#This Row],[1000 PCS/WT.]]*FastenersPriceList3[[#This Row],[Rate / PER kg (₹)]]</f>
        <v>291600</v>
      </c>
      <c r="L366" s="4">
        <f>FastenersPriceList3[[#This Row],[Rate / PER kg (₹)]]*FastenersPriceList3[[#This Row],[Quantity (kg)]]</f>
        <v>6750</v>
      </c>
      <c r="M366" s="4">
        <f>FastenersPriceList3[[#This Row],[SINGLE PC. WT.]]*FastenersPriceList3[[#This Row],[Rate / PER kg (₹)]]</f>
        <v>291.60000000000002</v>
      </c>
    </row>
    <row r="367" spans="1:13" ht="22.05" customHeight="1" x14ac:dyDescent="0.3">
      <c r="A367" s="2" t="s">
        <v>1689</v>
      </c>
      <c r="B367" s="12" t="s">
        <v>8</v>
      </c>
      <c r="C367" s="12">
        <v>8.8000000000000007</v>
      </c>
      <c r="D367" s="2">
        <v>2250</v>
      </c>
      <c r="E367" s="2">
        <f>FastenersPriceList3[[#This Row],[1000 PCS/WT.]]/1000</f>
        <v>2.25</v>
      </c>
      <c r="F367" s="2" t="s">
        <v>828</v>
      </c>
      <c r="G367" s="6" t="s">
        <v>1329</v>
      </c>
      <c r="H367" s="70">
        <v>50</v>
      </c>
      <c r="I367" s="72">
        <f>FastenersPriceList3[[#This Row],[Quantity (kg)]]/FastenersPriceList3[[#This Row],[SINGLE PC. WT.]]</f>
        <v>22.222222222222221</v>
      </c>
      <c r="J367" s="3">
        <v>135</v>
      </c>
      <c r="K367" s="3">
        <f>FastenersPriceList3[[#This Row],[1000 PCS/WT.]]*FastenersPriceList3[[#This Row],[Rate / PER kg (₹)]]</f>
        <v>303750</v>
      </c>
      <c r="L367" s="4">
        <f>FastenersPriceList3[[#This Row],[Rate / PER kg (₹)]]*FastenersPriceList3[[#This Row],[Quantity (kg)]]</f>
        <v>6750</v>
      </c>
      <c r="M367" s="4">
        <f>FastenersPriceList3[[#This Row],[SINGLE PC. WT.]]*FastenersPriceList3[[#This Row],[Rate / PER kg (₹)]]</f>
        <v>303.75</v>
      </c>
    </row>
    <row r="368" spans="1:13" ht="22.05" customHeight="1" x14ac:dyDescent="0.3">
      <c r="A368" s="2" t="s">
        <v>1690</v>
      </c>
      <c r="B368" s="12" t="s">
        <v>8</v>
      </c>
      <c r="C368" s="12">
        <v>8.8000000000000007</v>
      </c>
      <c r="D368" s="2">
        <v>2340</v>
      </c>
      <c r="E368" s="2">
        <f>FastenersPriceList3[[#This Row],[1000 PCS/WT.]]/1000</f>
        <v>2.34</v>
      </c>
      <c r="F368" s="2" t="s">
        <v>829</v>
      </c>
      <c r="G368" s="6" t="s">
        <v>1329</v>
      </c>
      <c r="H368" s="70">
        <v>50</v>
      </c>
      <c r="I368" s="72">
        <f>FastenersPriceList3[[#This Row],[Quantity (kg)]]/FastenersPriceList3[[#This Row],[SINGLE PC. WT.]]</f>
        <v>21.36752136752137</v>
      </c>
      <c r="J368" s="3">
        <v>135</v>
      </c>
      <c r="K368" s="3">
        <f>FastenersPriceList3[[#This Row],[1000 PCS/WT.]]*FastenersPriceList3[[#This Row],[Rate / PER kg (₹)]]</f>
        <v>315900</v>
      </c>
      <c r="L368" s="4">
        <f>FastenersPriceList3[[#This Row],[Rate / PER kg (₹)]]*FastenersPriceList3[[#This Row],[Quantity (kg)]]</f>
        <v>6750</v>
      </c>
      <c r="M368" s="4">
        <f>FastenersPriceList3[[#This Row],[SINGLE PC. WT.]]*FastenersPriceList3[[#This Row],[Rate / PER kg (₹)]]</f>
        <v>315.89999999999998</v>
      </c>
    </row>
    <row r="369" spans="1:13" ht="22.05" customHeight="1" x14ac:dyDescent="0.3">
      <c r="A369" s="2" t="s">
        <v>1691</v>
      </c>
      <c r="B369" s="12" t="s">
        <v>8</v>
      </c>
      <c r="C369" s="12">
        <v>8.8000000000000007</v>
      </c>
      <c r="D369" s="2">
        <v>2430</v>
      </c>
      <c r="E369" s="2">
        <f>FastenersPriceList3[[#This Row],[1000 PCS/WT.]]/1000</f>
        <v>2.4300000000000002</v>
      </c>
      <c r="F369" s="2" t="s">
        <v>830</v>
      </c>
      <c r="G369" s="6" t="s">
        <v>1329</v>
      </c>
      <c r="H369" s="70">
        <v>50</v>
      </c>
      <c r="I369" s="72">
        <f>FastenersPriceList3[[#This Row],[Quantity (kg)]]/FastenersPriceList3[[#This Row],[SINGLE PC. WT.]]</f>
        <v>20.576131687242796</v>
      </c>
      <c r="J369" s="3">
        <v>138</v>
      </c>
      <c r="K369" s="3">
        <f>FastenersPriceList3[[#This Row],[1000 PCS/WT.]]*FastenersPriceList3[[#This Row],[Rate / PER kg (₹)]]</f>
        <v>335340</v>
      </c>
      <c r="L369" s="4">
        <f>FastenersPriceList3[[#This Row],[Rate / PER kg (₹)]]*FastenersPriceList3[[#This Row],[Quantity (kg)]]</f>
        <v>6900</v>
      </c>
      <c r="M369" s="4">
        <f>FastenersPriceList3[[#This Row],[SINGLE PC. WT.]]*FastenersPriceList3[[#This Row],[Rate / PER kg (₹)]]</f>
        <v>335.34000000000003</v>
      </c>
    </row>
    <row r="370" spans="1:13" ht="22.05" customHeight="1" x14ac:dyDescent="0.3">
      <c r="A370" s="2" t="s">
        <v>1692</v>
      </c>
      <c r="B370" s="12" t="s">
        <v>8</v>
      </c>
      <c r="C370" s="12">
        <v>8.8000000000000007</v>
      </c>
      <c r="D370" s="2">
        <v>2520</v>
      </c>
      <c r="E370" s="2">
        <f>FastenersPriceList3[[#This Row],[1000 PCS/WT.]]/1000</f>
        <v>2.52</v>
      </c>
      <c r="F370" s="2" t="s">
        <v>831</v>
      </c>
      <c r="G370" s="6" t="s">
        <v>1329</v>
      </c>
      <c r="H370" s="70">
        <v>50</v>
      </c>
      <c r="I370" s="72">
        <f>FastenersPriceList3[[#This Row],[Quantity (kg)]]/FastenersPriceList3[[#This Row],[SINGLE PC. WT.]]</f>
        <v>19.841269841269842</v>
      </c>
      <c r="J370" s="3">
        <v>138</v>
      </c>
      <c r="K370" s="3">
        <f>FastenersPriceList3[[#This Row],[1000 PCS/WT.]]*FastenersPriceList3[[#This Row],[Rate / PER kg (₹)]]</f>
        <v>347760</v>
      </c>
      <c r="L370" s="4">
        <f>FastenersPriceList3[[#This Row],[Rate / PER kg (₹)]]*FastenersPriceList3[[#This Row],[Quantity (kg)]]</f>
        <v>6900</v>
      </c>
      <c r="M370" s="4">
        <f>FastenersPriceList3[[#This Row],[SINGLE PC. WT.]]*FastenersPriceList3[[#This Row],[Rate / PER kg (₹)]]</f>
        <v>347.76</v>
      </c>
    </row>
    <row r="371" spans="1:13" ht="22.05" customHeight="1" x14ac:dyDescent="0.3">
      <c r="A371" s="2" t="s">
        <v>1693</v>
      </c>
      <c r="B371" s="12" t="s">
        <v>8</v>
      </c>
      <c r="C371" s="12">
        <v>8.8000000000000007</v>
      </c>
      <c r="D371" s="2">
        <v>2610</v>
      </c>
      <c r="E371" s="2">
        <f>FastenersPriceList3[[#This Row],[1000 PCS/WT.]]/1000</f>
        <v>2.61</v>
      </c>
      <c r="F371" s="2" t="s">
        <v>832</v>
      </c>
      <c r="G371" s="6" t="s">
        <v>1329</v>
      </c>
      <c r="H371" s="70">
        <v>50</v>
      </c>
      <c r="I371" s="72">
        <f>FastenersPriceList3[[#This Row],[Quantity (kg)]]/FastenersPriceList3[[#This Row],[SINGLE PC. WT.]]</f>
        <v>19.157088122605366</v>
      </c>
      <c r="J371" s="3">
        <v>138</v>
      </c>
      <c r="K371" s="3">
        <f>FastenersPriceList3[[#This Row],[1000 PCS/WT.]]*FastenersPriceList3[[#This Row],[Rate / PER kg (₹)]]</f>
        <v>360180</v>
      </c>
      <c r="L371" s="4">
        <f>FastenersPriceList3[[#This Row],[Rate / PER kg (₹)]]*FastenersPriceList3[[#This Row],[Quantity (kg)]]</f>
        <v>6900</v>
      </c>
      <c r="M371" s="4">
        <f>FastenersPriceList3[[#This Row],[SINGLE PC. WT.]]*FastenersPriceList3[[#This Row],[Rate / PER kg (₹)]]</f>
        <v>360.18</v>
      </c>
    </row>
    <row r="372" spans="1:13" ht="22.05" customHeight="1" x14ac:dyDescent="0.3">
      <c r="A372" s="2" t="s">
        <v>1694</v>
      </c>
      <c r="B372" s="12" t="s">
        <v>8</v>
      </c>
      <c r="C372" s="12">
        <v>8.8000000000000007</v>
      </c>
      <c r="D372" s="2">
        <v>2700</v>
      </c>
      <c r="E372" s="2">
        <f>FastenersPriceList3[[#This Row],[1000 PCS/WT.]]/1000</f>
        <v>2.7</v>
      </c>
      <c r="F372" s="2" t="s">
        <v>833</v>
      </c>
      <c r="G372" s="6" t="s">
        <v>1329</v>
      </c>
      <c r="H372" s="70">
        <v>50</v>
      </c>
      <c r="I372" s="72">
        <f>FastenersPriceList3[[#This Row],[Quantity (kg)]]/FastenersPriceList3[[#This Row],[SINGLE PC. WT.]]</f>
        <v>18.518518518518519</v>
      </c>
      <c r="J372" s="3">
        <v>138</v>
      </c>
      <c r="K372" s="3">
        <f>FastenersPriceList3[[#This Row],[1000 PCS/WT.]]*FastenersPriceList3[[#This Row],[Rate / PER kg (₹)]]</f>
        <v>372600</v>
      </c>
      <c r="L372" s="4">
        <f>FastenersPriceList3[[#This Row],[Rate / PER kg (₹)]]*FastenersPriceList3[[#This Row],[Quantity (kg)]]</f>
        <v>6900</v>
      </c>
      <c r="M372" s="4">
        <f>FastenersPriceList3[[#This Row],[SINGLE PC. WT.]]*FastenersPriceList3[[#This Row],[Rate / PER kg (₹)]]</f>
        <v>372.6</v>
      </c>
    </row>
    <row r="373" spans="1:13" ht="22.05" customHeight="1" x14ac:dyDescent="0.3">
      <c r="A373" s="2" t="s">
        <v>1695</v>
      </c>
      <c r="B373" s="12" t="s">
        <v>8</v>
      </c>
      <c r="C373" s="12">
        <v>8.8000000000000007</v>
      </c>
      <c r="D373" s="2">
        <v>2790</v>
      </c>
      <c r="E373" s="2">
        <f>FastenersPriceList3[[#This Row],[1000 PCS/WT.]]/1000</f>
        <v>2.79</v>
      </c>
      <c r="F373" s="2" t="s">
        <v>834</v>
      </c>
      <c r="G373" s="6" t="s">
        <v>1329</v>
      </c>
      <c r="H373" s="70">
        <v>50</v>
      </c>
      <c r="I373" s="72">
        <f>FastenersPriceList3[[#This Row],[Quantity (kg)]]/FastenersPriceList3[[#This Row],[SINGLE PC. WT.]]</f>
        <v>17.921146953405017</v>
      </c>
      <c r="J373" s="3">
        <v>138</v>
      </c>
      <c r="K373" s="3">
        <f>FastenersPriceList3[[#This Row],[1000 PCS/WT.]]*FastenersPriceList3[[#This Row],[Rate / PER kg (₹)]]</f>
        <v>385020</v>
      </c>
      <c r="L373" s="4">
        <f>FastenersPriceList3[[#This Row],[Rate / PER kg (₹)]]*FastenersPriceList3[[#This Row],[Quantity (kg)]]</f>
        <v>6900</v>
      </c>
      <c r="M373" s="4">
        <f>FastenersPriceList3[[#This Row],[SINGLE PC. WT.]]*FastenersPriceList3[[#This Row],[Rate / PER kg (₹)]]</f>
        <v>385.02</v>
      </c>
    </row>
    <row r="374" spans="1:13" ht="22.05" customHeight="1" x14ac:dyDescent="0.3">
      <c r="A374" s="2" t="s">
        <v>1696</v>
      </c>
      <c r="B374" s="12" t="s">
        <v>8</v>
      </c>
      <c r="C374" s="12">
        <v>8.8000000000000007</v>
      </c>
      <c r="D374" s="2">
        <v>2880</v>
      </c>
      <c r="E374" s="2">
        <f>FastenersPriceList3[[#This Row],[1000 PCS/WT.]]/1000</f>
        <v>2.88</v>
      </c>
      <c r="F374" s="2" t="s">
        <v>835</v>
      </c>
      <c r="G374" s="6" t="s">
        <v>1329</v>
      </c>
      <c r="H374" s="70">
        <v>50</v>
      </c>
      <c r="I374" s="72">
        <f>FastenersPriceList3[[#This Row],[Quantity (kg)]]/FastenersPriceList3[[#This Row],[SINGLE PC. WT.]]</f>
        <v>17.361111111111111</v>
      </c>
      <c r="J374" s="3">
        <v>138</v>
      </c>
      <c r="K374" s="3">
        <f>FastenersPriceList3[[#This Row],[1000 PCS/WT.]]*FastenersPriceList3[[#This Row],[Rate / PER kg (₹)]]</f>
        <v>397440</v>
      </c>
      <c r="L374" s="4">
        <f>FastenersPriceList3[[#This Row],[Rate / PER kg (₹)]]*FastenersPriceList3[[#This Row],[Quantity (kg)]]</f>
        <v>6900</v>
      </c>
      <c r="M374" s="4">
        <f>FastenersPriceList3[[#This Row],[SINGLE PC. WT.]]*FastenersPriceList3[[#This Row],[Rate / PER kg (₹)]]</f>
        <v>397.44</v>
      </c>
    </row>
    <row r="375" spans="1:13" ht="22.05" customHeight="1" x14ac:dyDescent="0.3">
      <c r="A375" s="2" t="s">
        <v>1697</v>
      </c>
      <c r="B375" s="12" t="s">
        <v>8</v>
      </c>
      <c r="C375" s="12">
        <v>8.8000000000000007</v>
      </c>
      <c r="D375" s="2">
        <v>2970</v>
      </c>
      <c r="E375" s="2">
        <f>FastenersPriceList3[[#This Row],[1000 PCS/WT.]]/1000</f>
        <v>2.97</v>
      </c>
      <c r="F375" s="2" t="s">
        <v>836</v>
      </c>
      <c r="G375" s="6" t="s">
        <v>1329</v>
      </c>
      <c r="H375" s="70">
        <v>50</v>
      </c>
      <c r="I375" s="72">
        <f>FastenersPriceList3[[#This Row],[Quantity (kg)]]/FastenersPriceList3[[#This Row],[SINGLE PC. WT.]]</f>
        <v>16.835016835016834</v>
      </c>
      <c r="J375" s="3">
        <v>138</v>
      </c>
      <c r="K375" s="3">
        <f>FastenersPriceList3[[#This Row],[1000 PCS/WT.]]*FastenersPriceList3[[#This Row],[Rate / PER kg (₹)]]</f>
        <v>409860</v>
      </c>
      <c r="L375" s="4">
        <f>FastenersPriceList3[[#This Row],[Rate / PER kg (₹)]]*FastenersPriceList3[[#This Row],[Quantity (kg)]]</f>
        <v>6900</v>
      </c>
      <c r="M375" s="4">
        <f>FastenersPriceList3[[#This Row],[SINGLE PC. WT.]]*FastenersPriceList3[[#This Row],[Rate / PER kg (₹)]]</f>
        <v>409.86</v>
      </c>
    </row>
    <row r="376" spans="1:13" ht="22.05" customHeight="1" x14ac:dyDescent="0.3">
      <c r="A376" s="2" t="s">
        <v>1698</v>
      </c>
      <c r="B376" s="12" t="s">
        <v>8</v>
      </c>
      <c r="C376" s="12">
        <v>8.8000000000000007</v>
      </c>
      <c r="D376" s="2">
        <v>3060</v>
      </c>
      <c r="E376" s="2">
        <f>FastenersPriceList3[[#This Row],[1000 PCS/WT.]]/1000</f>
        <v>3.06</v>
      </c>
      <c r="F376" s="2" t="s">
        <v>837</v>
      </c>
      <c r="G376" s="6" t="s">
        <v>1329</v>
      </c>
      <c r="H376" s="70">
        <v>50</v>
      </c>
      <c r="I376" s="72">
        <f>FastenersPriceList3[[#This Row],[Quantity (kg)]]/FastenersPriceList3[[#This Row],[SINGLE PC. WT.]]</f>
        <v>16.33986928104575</v>
      </c>
      <c r="J376" s="3">
        <v>138</v>
      </c>
      <c r="K376" s="3">
        <f>FastenersPriceList3[[#This Row],[1000 PCS/WT.]]*FastenersPriceList3[[#This Row],[Rate / PER kg (₹)]]</f>
        <v>422280</v>
      </c>
      <c r="L376" s="4">
        <f>FastenersPriceList3[[#This Row],[Rate / PER kg (₹)]]*FastenersPriceList3[[#This Row],[Quantity (kg)]]</f>
        <v>6900</v>
      </c>
      <c r="M376" s="4">
        <f>FastenersPriceList3[[#This Row],[SINGLE PC. WT.]]*FastenersPriceList3[[#This Row],[Rate / PER kg (₹)]]</f>
        <v>422.28000000000003</v>
      </c>
    </row>
    <row r="377" spans="1:13" ht="22.05" customHeight="1" x14ac:dyDescent="0.3">
      <c r="A377" s="2" t="s">
        <v>1699</v>
      </c>
      <c r="B377" s="12" t="s">
        <v>8</v>
      </c>
      <c r="C377" s="12">
        <v>8.8000000000000007</v>
      </c>
      <c r="D377" s="2">
        <v>3150</v>
      </c>
      <c r="E377" s="2">
        <f>FastenersPriceList3[[#This Row],[1000 PCS/WT.]]/1000</f>
        <v>3.15</v>
      </c>
      <c r="F377" s="2" t="s">
        <v>838</v>
      </c>
      <c r="G377" s="6" t="s">
        <v>1329</v>
      </c>
      <c r="H377" s="70">
        <v>50</v>
      </c>
      <c r="I377" s="72">
        <f>FastenersPriceList3[[#This Row],[Quantity (kg)]]/FastenersPriceList3[[#This Row],[SINGLE PC. WT.]]</f>
        <v>15.873015873015873</v>
      </c>
      <c r="J377" s="3">
        <v>138</v>
      </c>
      <c r="K377" s="3">
        <f>FastenersPriceList3[[#This Row],[1000 PCS/WT.]]*FastenersPriceList3[[#This Row],[Rate / PER kg (₹)]]</f>
        <v>434700</v>
      </c>
      <c r="L377" s="4">
        <f>FastenersPriceList3[[#This Row],[Rate / PER kg (₹)]]*FastenersPriceList3[[#This Row],[Quantity (kg)]]</f>
        <v>6900</v>
      </c>
      <c r="M377" s="4">
        <f>FastenersPriceList3[[#This Row],[SINGLE PC. WT.]]*FastenersPriceList3[[#This Row],[Rate / PER kg (₹)]]</f>
        <v>434.7</v>
      </c>
    </row>
    <row r="378" spans="1:13" ht="22.05" customHeight="1" x14ac:dyDescent="0.3">
      <c r="A378" s="2" t="s">
        <v>1700</v>
      </c>
      <c r="B378" s="12" t="s">
        <v>8</v>
      </c>
      <c r="C378" s="12">
        <v>8.8000000000000007</v>
      </c>
      <c r="D378" s="2">
        <v>3240</v>
      </c>
      <c r="E378" s="2">
        <f>FastenersPriceList3[[#This Row],[1000 PCS/WT.]]/1000</f>
        <v>3.24</v>
      </c>
      <c r="F378" s="2" t="s">
        <v>839</v>
      </c>
      <c r="G378" s="6" t="s">
        <v>1329</v>
      </c>
      <c r="H378" s="70">
        <v>50</v>
      </c>
      <c r="I378" s="72">
        <f>FastenersPriceList3[[#This Row],[Quantity (kg)]]/FastenersPriceList3[[#This Row],[SINGLE PC. WT.]]</f>
        <v>15.432098765432098</v>
      </c>
      <c r="J378" s="3">
        <v>138</v>
      </c>
      <c r="K378" s="3">
        <f>FastenersPriceList3[[#This Row],[1000 PCS/WT.]]*FastenersPriceList3[[#This Row],[Rate / PER kg (₹)]]</f>
        <v>447120</v>
      </c>
      <c r="L378" s="4">
        <f>FastenersPriceList3[[#This Row],[Rate / PER kg (₹)]]*FastenersPriceList3[[#This Row],[Quantity (kg)]]</f>
        <v>6900</v>
      </c>
      <c r="M378" s="4">
        <f>FastenersPriceList3[[#This Row],[SINGLE PC. WT.]]*FastenersPriceList3[[#This Row],[Rate / PER kg (₹)]]</f>
        <v>447.12</v>
      </c>
    </row>
    <row r="379" spans="1:13" ht="22.05" customHeight="1" x14ac:dyDescent="0.3">
      <c r="A379" s="2" t="s">
        <v>1701</v>
      </c>
      <c r="B379" s="12" t="s">
        <v>8</v>
      </c>
      <c r="C379" s="12">
        <v>8.8000000000000007</v>
      </c>
      <c r="D379" s="2">
        <v>1390</v>
      </c>
      <c r="E379" s="2">
        <f>FastenersPriceList3[[#This Row],[1000 PCS/WT.]]/1000</f>
        <v>1.39</v>
      </c>
      <c r="F379" s="2" t="s">
        <v>840</v>
      </c>
      <c r="G379" s="6" t="s">
        <v>1329</v>
      </c>
      <c r="H379" s="70">
        <v>50</v>
      </c>
      <c r="I379" s="72">
        <f>FastenersPriceList3[[#This Row],[Quantity (kg)]]/FastenersPriceList3[[#This Row],[SINGLE PC. WT.]]</f>
        <v>35.971223021582738</v>
      </c>
      <c r="J379" s="3">
        <v>135</v>
      </c>
      <c r="K379" s="3">
        <f>FastenersPriceList3[[#This Row],[1000 PCS/WT.]]*FastenersPriceList3[[#This Row],[Rate / PER kg (₹)]]</f>
        <v>187650</v>
      </c>
      <c r="L379" s="4">
        <f>FastenersPriceList3[[#This Row],[Rate / PER kg (₹)]]*FastenersPriceList3[[#This Row],[Quantity (kg)]]</f>
        <v>6750</v>
      </c>
      <c r="M379" s="4">
        <f>FastenersPriceList3[[#This Row],[SINGLE PC. WT.]]*FastenersPriceList3[[#This Row],[Rate / PER kg (₹)]]</f>
        <v>187.64999999999998</v>
      </c>
    </row>
    <row r="380" spans="1:13" ht="22.05" customHeight="1" x14ac:dyDescent="0.3">
      <c r="A380" s="2" t="s">
        <v>1702</v>
      </c>
      <c r="B380" s="12" t="s">
        <v>8</v>
      </c>
      <c r="C380" s="12">
        <v>8.8000000000000007</v>
      </c>
      <c r="D380" s="2">
        <v>1445</v>
      </c>
      <c r="E380" s="2">
        <f>FastenersPriceList3[[#This Row],[1000 PCS/WT.]]/1000</f>
        <v>1.4450000000000001</v>
      </c>
      <c r="F380" s="2" t="s">
        <v>841</v>
      </c>
      <c r="G380" s="6" t="s">
        <v>1329</v>
      </c>
      <c r="H380" s="70">
        <v>50</v>
      </c>
      <c r="I380" s="72">
        <f>FastenersPriceList3[[#This Row],[Quantity (kg)]]/FastenersPriceList3[[#This Row],[SINGLE PC. WT.]]</f>
        <v>34.602076124567475</v>
      </c>
      <c r="J380" s="3">
        <v>135</v>
      </c>
      <c r="K380" s="3">
        <f>FastenersPriceList3[[#This Row],[1000 PCS/WT.]]*FastenersPriceList3[[#This Row],[Rate / PER kg (₹)]]</f>
        <v>195075</v>
      </c>
      <c r="L380" s="4">
        <f>FastenersPriceList3[[#This Row],[Rate / PER kg (₹)]]*FastenersPriceList3[[#This Row],[Quantity (kg)]]</f>
        <v>6750</v>
      </c>
      <c r="M380" s="4">
        <f>FastenersPriceList3[[#This Row],[SINGLE PC. WT.]]*FastenersPriceList3[[#This Row],[Rate / PER kg (₹)]]</f>
        <v>195.07500000000002</v>
      </c>
    </row>
    <row r="381" spans="1:13" ht="22.05" customHeight="1" x14ac:dyDescent="0.3">
      <c r="A381" s="2" t="s">
        <v>1703</v>
      </c>
      <c r="B381" s="12" t="s">
        <v>8</v>
      </c>
      <c r="C381" s="12">
        <v>8.8000000000000007</v>
      </c>
      <c r="D381" s="2">
        <v>1500</v>
      </c>
      <c r="E381" s="2">
        <f>FastenersPriceList3[[#This Row],[1000 PCS/WT.]]/1000</f>
        <v>1.5</v>
      </c>
      <c r="F381" s="2" t="s">
        <v>842</v>
      </c>
      <c r="G381" s="6" t="s">
        <v>1329</v>
      </c>
      <c r="H381" s="70">
        <v>50</v>
      </c>
      <c r="I381" s="72">
        <f>FastenersPriceList3[[#This Row],[Quantity (kg)]]/FastenersPriceList3[[#This Row],[SINGLE PC. WT.]]</f>
        <v>33.333333333333336</v>
      </c>
      <c r="J381" s="3">
        <v>135</v>
      </c>
      <c r="K381" s="3">
        <f>FastenersPriceList3[[#This Row],[1000 PCS/WT.]]*FastenersPriceList3[[#This Row],[Rate / PER kg (₹)]]</f>
        <v>202500</v>
      </c>
      <c r="L381" s="4">
        <f>FastenersPriceList3[[#This Row],[Rate / PER kg (₹)]]*FastenersPriceList3[[#This Row],[Quantity (kg)]]</f>
        <v>6750</v>
      </c>
      <c r="M381" s="4">
        <f>FastenersPriceList3[[#This Row],[SINGLE PC. WT.]]*FastenersPriceList3[[#This Row],[Rate / PER kg (₹)]]</f>
        <v>202.5</v>
      </c>
    </row>
    <row r="382" spans="1:13" ht="22.05" customHeight="1" x14ac:dyDescent="0.3">
      <c r="A382" s="2" t="s">
        <v>1704</v>
      </c>
      <c r="B382" s="12" t="s">
        <v>8</v>
      </c>
      <c r="C382" s="12">
        <v>8.8000000000000007</v>
      </c>
      <c r="D382" s="2">
        <v>1555</v>
      </c>
      <c r="E382" s="2">
        <f>FastenersPriceList3[[#This Row],[1000 PCS/WT.]]/1000</f>
        <v>1.5549999999999999</v>
      </c>
      <c r="F382" s="2" t="s">
        <v>843</v>
      </c>
      <c r="G382" s="6" t="s">
        <v>1329</v>
      </c>
      <c r="H382" s="70">
        <v>50</v>
      </c>
      <c r="I382" s="72">
        <f>FastenersPriceList3[[#This Row],[Quantity (kg)]]/FastenersPriceList3[[#This Row],[SINGLE PC. WT.]]</f>
        <v>32.154340836012864</v>
      </c>
      <c r="J382" s="3">
        <v>135</v>
      </c>
      <c r="K382" s="3">
        <f>FastenersPriceList3[[#This Row],[1000 PCS/WT.]]*FastenersPriceList3[[#This Row],[Rate / PER kg (₹)]]</f>
        <v>209925</v>
      </c>
      <c r="L382" s="4">
        <f>FastenersPriceList3[[#This Row],[Rate / PER kg (₹)]]*FastenersPriceList3[[#This Row],[Quantity (kg)]]</f>
        <v>6750</v>
      </c>
      <c r="M382" s="4">
        <f>FastenersPriceList3[[#This Row],[SINGLE PC. WT.]]*FastenersPriceList3[[#This Row],[Rate / PER kg (₹)]]</f>
        <v>209.92499999999998</v>
      </c>
    </row>
    <row r="383" spans="1:13" ht="22.05" customHeight="1" x14ac:dyDescent="0.3">
      <c r="A383" s="2" t="s">
        <v>1705</v>
      </c>
      <c r="B383" s="12" t="s">
        <v>8</v>
      </c>
      <c r="C383" s="12">
        <v>8.8000000000000007</v>
      </c>
      <c r="D383" s="2">
        <v>1610</v>
      </c>
      <c r="E383" s="2">
        <f>FastenersPriceList3[[#This Row],[1000 PCS/WT.]]/1000</f>
        <v>1.61</v>
      </c>
      <c r="F383" s="2" t="s">
        <v>844</v>
      </c>
      <c r="G383" s="6" t="s">
        <v>1329</v>
      </c>
      <c r="H383" s="70">
        <v>50</v>
      </c>
      <c r="I383" s="72">
        <f>FastenersPriceList3[[#This Row],[Quantity (kg)]]/FastenersPriceList3[[#This Row],[SINGLE PC. WT.]]</f>
        <v>31.05590062111801</v>
      </c>
      <c r="J383" s="3">
        <v>135</v>
      </c>
      <c r="K383" s="3">
        <f>FastenersPriceList3[[#This Row],[1000 PCS/WT.]]*FastenersPriceList3[[#This Row],[Rate / PER kg (₹)]]</f>
        <v>217350</v>
      </c>
      <c r="L383" s="4">
        <f>FastenersPriceList3[[#This Row],[Rate / PER kg (₹)]]*FastenersPriceList3[[#This Row],[Quantity (kg)]]</f>
        <v>6750</v>
      </c>
      <c r="M383" s="4">
        <f>FastenersPriceList3[[#This Row],[SINGLE PC. WT.]]*FastenersPriceList3[[#This Row],[Rate / PER kg (₹)]]</f>
        <v>217.35000000000002</v>
      </c>
    </row>
    <row r="384" spans="1:13" ht="22.05" customHeight="1" x14ac:dyDescent="0.3">
      <c r="A384" s="2" t="s">
        <v>1706</v>
      </c>
      <c r="B384" s="12" t="s">
        <v>8</v>
      </c>
      <c r="C384" s="12">
        <v>8.8000000000000007</v>
      </c>
      <c r="D384" s="2">
        <v>1665</v>
      </c>
      <c r="E384" s="2">
        <f>FastenersPriceList3[[#This Row],[1000 PCS/WT.]]/1000</f>
        <v>1.665</v>
      </c>
      <c r="F384" s="2" t="s">
        <v>845</v>
      </c>
      <c r="G384" s="6" t="s">
        <v>1329</v>
      </c>
      <c r="H384" s="70">
        <v>50</v>
      </c>
      <c r="I384" s="72">
        <f>FastenersPriceList3[[#This Row],[Quantity (kg)]]/FastenersPriceList3[[#This Row],[SINGLE PC. WT.]]</f>
        <v>30.03003003003003</v>
      </c>
      <c r="J384" s="3">
        <v>135</v>
      </c>
      <c r="K384" s="3">
        <f>FastenersPriceList3[[#This Row],[1000 PCS/WT.]]*FastenersPriceList3[[#This Row],[Rate / PER kg (₹)]]</f>
        <v>224775</v>
      </c>
      <c r="L384" s="4">
        <f>FastenersPriceList3[[#This Row],[Rate / PER kg (₹)]]*FastenersPriceList3[[#This Row],[Quantity (kg)]]</f>
        <v>6750</v>
      </c>
      <c r="M384" s="4">
        <f>FastenersPriceList3[[#This Row],[SINGLE PC. WT.]]*FastenersPriceList3[[#This Row],[Rate / PER kg (₹)]]</f>
        <v>224.77500000000001</v>
      </c>
    </row>
    <row r="385" spans="1:13" ht="22.05" customHeight="1" x14ac:dyDescent="0.3">
      <c r="A385" s="2" t="s">
        <v>1707</v>
      </c>
      <c r="B385" s="12" t="s">
        <v>8</v>
      </c>
      <c r="C385" s="12">
        <v>8.8000000000000007</v>
      </c>
      <c r="D385" s="2">
        <v>1720</v>
      </c>
      <c r="E385" s="2">
        <f>FastenersPriceList3[[#This Row],[1000 PCS/WT.]]/1000</f>
        <v>1.72</v>
      </c>
      <c r="F385" s="2" t="s">
        <v>846</v>
      </c>
      <c r="G385" s="6" t="s">
        <v>1329</v>
      </c>
      <c r="H385" s="70">
        <v>50</v>
      </c>
      <c r="I385" s="72">
        <f>FastenersPriceList3[[#This Row],[Quantity (kg)]]/FastenersPriceList3[[#This Row],[SINGLE PC. WT.]]</f>
        <v>29.069767441860467</v>
      </c>
      <c r="J385" s="3">
        <v>135</v>
      </c>
      <c r="K385" s="3">
        <f>FastenersPriceList3[[#This Row],[1000 PCS/WT.]]*FastenersPriceList3[[#This Row],[Rate / PER kg (₹)]]</f>
        <v>232200</v>
      </c>
      <c r="L385" s="4">
        <f>FastenersPriceList3[[#This Row],[Rate / PER kg (₹)]]*FastenersPriceList3[[#This Row],[Quantity (kg)]]</f>
        <v>6750</v>
      </c>
      <c r="M385" s="4">
        <f>FastenersPriceList3[[#This Row],[SINGLE PC. WT.]]*FastenersPriceList3[[#This Row],[Rate / PER kg (₹)]]</f>
        <v>232.2</v>
      </c>
    </row>
    <row r="386" spans="1:13" ht="22.05" customHeight="1" x14ac:dyDescent="0.3">
      <c r="A386" s="2" t="s">
        <v>1708</v>
      </c>
      <c r="B386" s="12" t="s">
        <v>8</v>
      </c>
      <c r="C386" s="12">
        <v>8.8000000000000007</v>
      </c>
      <c r="D386" s="2">
        <v>1824</v>
      </c>
      <c r="E386" s="2">
        <f>FastenersPriceList3[[#This Row],[1000 PCS/WT.]]/1000</f>
        <v>1.8240000000000001</v>
      </c>
      <c r="F386" s="2" t="s">
        <v>847</v>
      </c>
      <c r="G386" s="6" t="s">
        <v>1329</v>
      </c>
      <c r="H386" s="70">
        <v>50</v>
      </c>
      <c r="I386" s="72">
        <f>FastenersPriceList3[[#This Row],[Quantity (kg)]]/FastenersPriceList3[[#This Row],[SINGLE PC. WT.]]</f>
        <v>27.412280701754383</v>
      </c>
      <c r="J386" s="3">
        <v>138</v>
      </c>
      <c r="K386" s="3">
        <f>FastenersPriceList3[[#This Row],[1000 PCS/WT.]]*FastenersPriceList3[[#This Row],[Rate / PER kg (₹)]]</f>
        <v>251712</v>
      </c>
      <c r="L386" s="4">
        <f>FastenersPriceList3[[#This Row],[Rate / PER kg (₹)]]*FastenersPriceList3[[#This Row],[Quantity (kg)]]</f>
        <v>6900</v>
      </c>
      <c r="M386" s="4">
        <f>FastenersPriceList3[[#This Row],[SINGLE PC. WT.]]*FastenersPriceList3[[#This Row],[Rate / PER kg (₹)]]</f>
        <v>251.71200000000002</v>
      </c>
    </row>
    <row r="387" spans="1:13" ht="22.05" customHeight="1" x14ac:dyDescent="0.3">
      <c r="A387" s="2" t="s">
        <v>1709</v>
      </c>
      <c r="B387" s="12" t="s">
        <v>8</v>
      </c>
      <c r="C387" s="12">
        <v>8.8000000000000007</v>
      </c>
      <c r="D387" s="2">
        <v>1928</v>
      </c>
      <c r="E387" s="2">
        <f>FastenersPriceList3[[#This Row],[1000 PCS/WT.]]/1000</f>
        <v>1.9279999999999999</v>
      </c>
      <c r="F387" s="2" t="s">
        <v>848</v>
      </c>
      <c r="G387" s="6" t="s">
        <v>1329</v>
      </c>
      <c r="H387" s="70">
        <v>50</v>
      </c>
      <c r="I387" s="72">
        <f>FastenersPriceList3[[#This Row],[Quantity (kg)]]/FastenersPriceList3[[#This Row],[SINGLE PC. WT.]]</f>
        <v>25.933609958506224</v>
      </c>
      <c r="J387" s="3">
        <v>138</v>
      </c>
      <c r="K387" s="3">
        <f>FastenersPriceList3[[#This Row],[1000 PCS/WT.]]*FastenersPriceList3[[#This Row],[Rate / PER kg (₹)]]</f>
        <v>266064</v>
      </c>
      <c r="L387" s="4">
        <f>FastenersPriceList3[[#This Row],[Rate / PER kg (₹)]]*FastenersPriceList3[[#This Row],[Quantity (kg)]]</f>
        <v>6900</v>
      </c>
      <c r="M387" s="4">
        <f>FastenersPriceList3[[#This Row],[SINGLE PC. WT.]]*FastenersPriceList3[[#This Row],[Rate / PER kg (₹)]]</f>
        <v>266.06399999999996</v>
      </c>
    </row>
    <row r="388" spans="1:13" ht="22.05" customHeight="1" x14ac:dyDescent="0.3">
      <c r="A388" s="2" t="s">
        <v>1710</v>
      </c>
      <c r="B388" s="12" t="s">
        <v>8</v>
      </c>
      <c r="C388" s="12">
        <v>8.8000000000000007</v>
      </c>
      <c r="D388" s="2">
        <v>2032</v>
      </c>
      <c r="E388" s="2">
        <f>FastenersPriceList3[[#This Row],[1000 PCS/WT.]]/1000</f>
        <v>2.032</v>
      </c>
      <c r="F388" s="2" t="s">
        <v>849</v>
      </c>
      <c r="G388" s="6" t="s">
        <v>1329</v>
      </c>
      <c r="H388" s="70">
        <v>50</v>
      </c>
      <c r="I388" s="72">
        <f>FastenersPriceList3[[#This Row],[Quantity (kg)]]/FastenersPriceList3[[#This Row],[SINGLE PC. WT.]]</f>
        <v>24.606299212598426</v>
      </c>
      <c r="J388" s="3">
        <v>138</v>
      </c>
      <c r="K388" s="3">
        <f>FastenersPriceList3[[#This Row],[1000 PCS/WT.]]*FastenersPriceList3[[#This Row],[Rate / PER kg (₹)]]</f>
        <v>280416</v>
      </c>
      <c r="L388" s="4">
        <f>FastenersPriceList3[[#This Row],[Rate / PER kg (₹)]]*FastenersPriceList3[[#This Row],[Quantity (kg)]]</f>
        <v>6900</v>
      </c>
      <c r="M388" s="4">
        <f>FastenersPriceList3[[#This Row],[SINGLE PC. WT.]]*FastenersPriceList3[[#This Row],[Rate / PER kg (₹)]]</f>
        <v>280.416</v>
      </c>
    </row>
    <row r="389" spans="1:13" ht="22.05" customHeight="1" x14ac:dyDescent="0.3">
      <c r="A389" s="2" t="s">
        <v>1711</v>
      </c>
      <c r="B389" s="12" t="s">
        <v>8</v>
      </c>
      <c r="C389" s="12">
        <v>8.8000000000000007</v>
      </c>
      <c r="D389" s="2">
        <v>2136</v>
      </c>
      <c r="E389" s="2">
        <f>FastenersPriceList3[[#This Row],[1000 PCS/WT.]]/1000</f>
        <v>2.1360000000000001</v>
      </c>
      <c r="F389" s="2" t="s">
        <v>850</v>
      </c>
      <c r="G389" s="6" t="s">
        <v>1329</v>
      </c>
      <c r="H389" s="70">
        <v>50</v>
      </c>
      <c r="I389" s="72">
        <f>FastenersPriceList3[[#This Row],[Quantity (kg)]]/FastenersPriceList3[[#This Row],[SINGLE PC. WT.]]</f>
        <v>23.40823970037453</v>
      </c>
      <c r="J389" s="3">
        <v>138</v>
      </c>
      <c r="K389" s="3">
        <f>FastenersPriceList3[[#This Row],[1000 PCS/WT.]]*FastenersPriceList3[[#This Row],[Rate / PER kg (₹)]]</f>
        <v>294768</v>
      </c>
      <c r="L389" s="4">
        <f>FastenersPriceList3[[#This Row],[Rate / PER kg (₹)]]*FastenersPriceList3[[#This Row],[Quantity (kg)]]</f>
        <v>6900</v>
      </c>
      <c r="M389" s="4">
        <f>FastenersPriceList3[[#This Row],[SINGLE PC. WT.]]*FastenersPriceList3[[#This Row],[Rate / PER kg (₹)]]</f>
        <v>294.76800000000003</v>
      </c>
    </row>
    <row r="390" spans="1:13" ht="22.05" customHeight="1" x14ac:dyDescent="0.3">
      <c r="A390" s="2" t="s">
        <v>1712</v>
      </c>
      <c r="B390" s="12" t="s">
        <v>8</v>
      </c>
      <c r="C390" s="12">
        <v>8.8000000000000007</v>
      </c>
      <c r="D390" s="2">
        <v>2240</v>
      </c>
      <c r="E390" s="2">
        <f>FastenersPriceList3[[#This Row],[1000 PCS/WT.]]/1000</f>
        <v>2.2400000000000002</v>
      </c>
      <c r="F390" s="2" t="s">
        <v>851</v>
      </c>
      <c r="G390" s="6" t="s">
        <v>1329</v>
      </c>
      <c r="H390" s="70">
        <v>50</v>
      </c>
      <c r="I390" s="72">
        <f>FastenersPriceList3[[#This Row],[Quantity (kg)]]/FastenersPriceList3[[#This Row],[SINGLE PC. WT.]]</f>
        <v>22.321428571428569</v>
      </c>
      <c r="J390" s="3">
        <v>138</v>
      </c>
      <c r="K390" s="3">
        <f>FastenersPriceList3[[#This Row],[1000 PCS/WT.]]*FastenersPriceList3[[#This Row],[Rate / PER kg (₹)]]</f>
        <v>309120</v>
      </c>
      <c r="L390" s="4">
        <f>FastenersPriceList3[[#This Row],[Rate / PER kg (₹)]]*FastenersPriceList3[[#This Row],[Quantity (kg)]]</f>
        <v>6900</v>
      </c>
      <c r="M390" s="4">
        <f>FastenersPriceList3[[#This Row],[SINGLE PC. WT.]]*FastenersPriceList3[[#This Row],[Rate / PER kg (₹)]]</f>
        <v>309.12</v>
      </c>
    </row>
    <row r="391" spans="1:13" ht="22.05" customHeight="1" x14ac:dyDescent="0.3">
      <c r="A391" s="2" t="s">
        <v>1713</v>
      </c>
      <c r="B391" s="12" t="s">
        <v>8</v>
      </c>
      <c r="C391" s="12">
        <v>8.8000000000000007</v>
      </c>
      <c r="D391" s="2">
        <v>2344</v>
      </c>
      <c r="E391" s="2">
        <f>FastenersPriceList3[[#This Row],[1000 PCS/WT.]]/1000</f>
        <v>2.3439999999999999</v>
      </c>
      <c r="F391" s="2" t="s">
        <v>852</v>
      </c>
      <c r="G391" s="6" t="s">
        <v>1329</v>
      </c>
      <c r="H391" s="70">
        <v>50</v>
      </c>
      <c r="I391" s="72">
        <f>FastenersPriceList3[[#This Row],[Quantity (kg)]]/FastenersPriceList3[[#This Row],[SINGLE PC. WT.]]</f>
        <v>21.331058020477816</v>
      </c>
      <c r="J391" s="3">
        <v>138</v>
      </c>
      <c r="K391" s="3">
        <f>FastenersPriceList3[[#This Row],[1000 PCS/WT.]]*FastenersPriceList3[[#This Row],[Rate / PER kg (₹)]]</f>
        <v>323472</v>
      </c>
      <c r="L391" s="4">
        <f>FastenersPriceList3[[#This Row],[Rate / PER kg (₹)]]*FastenersPriceList3[[#This Row],[Quantity (kg)]]</f>
        <v>6900</v>
      </c>
      <c r="M391" s="4">
        <f>FastenersPriceList3[[#This Row],[SINGLE PC. WT.]]*FastenersPriceList3[[#This Row],[Rate / PER kg (₹)]]</f>
        <v>323.47199999999998</v>
      </c>
    </row>
    <row r="392" spans="1:13" ht="22.05" customHeight="1" x14ac:dyDescent="0.3">
      <c r="A392" s="2" t="s">
        <v>1714</v>
      </c>
      <c r="B392" s="12" t="s">
        <v>8</v>
      </c>
      <c r="C392" s="12">
        <v>8.8000000000000007</v>
      </c>
      <c r="D392" s="2">
        <v>2448</v>
      </c>
      <c r="E392" s="2">
        <f>FastenersPriceList3[[#This Row],[1000 PCS/WT.]]/1000</f>
        <v>2.448</v>
      </c>
      <c r="F392" s="2" t="s">
        <v>853</v>
      </c>
      <c r="G392" s="6" t="s">
        <v>1329</v>
      </c>
      <c r="H392" s="70">
        <v>50</v>
      </c>
      <c r="I392" s="72">
        <f>FastenersPriceList3[[#This Row],[Quantity (kg)]]/FastenersPriceList3[[#This Row],[SINGLE PC. WT.]]</f>
        <v>20.424836601307192</v>
      </c>
      <c r="J392" s="3">
        <v>138</v>
      </c>
      <c r="K392" s="3">
        <f>FastenersPriceList3[[#This Row],[1000 PCS/WT.]]*FastenersPriceList3[[#This Row],[Rate / PER kg (₹)]]</f>
        <v>337824</v>
      </c>
      <c r="L392" s="4">
        <f>FastenersPriceList3[[#This Row],[Rate / PER kg (₹)]]*FastenersPriceList3[[#This Row],[Quantity (kg)]]</f>
        <v>6900</v>
      </c>
      <c r="M392" s="4">
        <f>FastenersPriceList3[[#This Row],[SINGLE PC. WT.]]*FastenersPriceList3[[#This Row],[Rate / PER kg (₹)]]</f>
        <v>337.82400000000001</v>
      </c>
    </row>
    <row r="393" spans="1:13" ht="22.05" customHeight="1" x14ac:dyDescent="0.3">
      <c r="A393" s="2" t="s">
        <v>1715</v>
      </c>
      <c r="B393" s="12" t="s">
        <v>8</v>
      </c>
      <c r="C393" s="12">
        <v>8.8000000000000007</v>
      </c>
      <c r="D393" s="2">
        <v>2552</v>
      </c>
      <c r="E393" s="2">
        <f>FastenersPriceList3[[#This Row],[1000 PCS/WT.]]/1000</f>
        <v>2.552</v>
      </c>
      <c r="F393" s="2" t="s">
        <v>854</v>
      </c>
      <c r="G393" s="6" t="s">
        <v>1329</v>
      </c>
      <c r="H393" s="70">
        <v>50</v>
      </c>
      <c r="I393" s="72">
        <f>FastenersPriceList3[[#This Row],[Quantity (kg)]]/FastenersPriceList3[[#This Row],[SINGLE PC. WT.]]</f>
        <v>19.592476489028211</v>
      </c>
      <c r="J393" s="3">
        <v>138</v>
      </c>
      <c r="K393" s="3">
        <f>FastenersPriceList3[[#This Row],[1000 PCS/WT.]]*FastenersPriceList3[[#This Row],[Rate / PER kg (₹)]]</f>
        <v>352176</v>
      </c>
      <c r="L393" s="4">
        <f>FastenersPriceList3[[#This Row],[Rate / PER kg (₹)]]*FastenersPriceList3[[#This Row],[Quantity (kg)]]</f>
        <v>6900</v>
      </c>
      <c r="M393" s="4">
        <f>FastenersPriceList3[[#This Row],[SINGLE PC. WT.]]*FastenersPriceList3[[#This Row],[Rate / PER kg (₹)]]</f>
        <v>352.17599999999999</v>
      </c>
    </row>
    <row r="394" spans="1:13" ht="22.05" customHeight="1" x14ac:dyDescent="0.3">
      <c r="A394" s="2" t="s">
        <v>1716</v>
      </c>
      <c r="B394" s="12" t="s">
        <v>8</v>
      </c>
      <c r="C394" s="12">
        <v>8.8000000000000007</v>
      </c>
      <c r="D394" s="2">
        <v>2656</v>
      </c>
      <c r="E394" s="2">
        <f>FastenersPriceList3[[#This Row],[1000 PCS/WT.]]/1000</f>
        <v>2.6560000000000001</v>
      </c>
      <c r="F394" s="2" t="s">
        <v>855</v>
      </c>
      <c r="G394" s="6" t="s">
        <v>1329</v>
      </c>
      <c r="H394" s="70">
        <v>50</v>
      </c>
      <c r="I394" s="72">
        <f>FastenersPriceList3[[#This Row],[Quantity (kg)]]/FastenersPriceList3[[#This Row],[SINGLE PC. WT.]]</f>
        <v>18.825301204819276</v>
      </c>
      <c r="J394" s="3">
        <v>138</v>
      </c>
      <c r="K394" s="3">
        <f>FastenersPriceList3[[#This Row],[1000 PCS/WT.]]*FastenersPriceList3[[#This Row],[Rate / PER kg (₹)]]</f>
        <v>366528</v>
      </c>
      <c r="L394" s="4">
        <f>FastenersPriceList3[[#This Row],[Rate / PER kg (₹)]]*FastenersPriceList3[[#This Row],[Quantity (kg)]]</f>
        <v>6900</v>
      </c>
      <c r="M394" s="4">
        <f>FastenersPriceList3[[#This Row],[SINGLE PC. WT.]]*FastenersPriceList3[[#This Row],[Rate / PER kg (₹)]]</f>
        <v>366.52800000000002</v>
      </c>
    </row>
    <row r="395" spans="1:13" ht="22.05" customHeight="1" x14ac:dyDescent="0.3">
      <c r="A395" s="2" t="s">
        <v>1717</v>
      </c>
      <c r="B395" s="12" t="s">
        <v>8</v>
      </c>
      <c r="C395" s="12">
        <v>8.8000000000000007</v>
      </c>
      <c r="D395" s="2">
        <v>2760</v>
      </c>
      <c r="E395" s="2">
        <f>FastenersPriceList3[[#This Row],[1000 PCS/WT.]]/1000</f>
        <v>2.76</v>
      </c>
      <c r="F395" s="2" t="s">
        <v>856</v>
      </c>
      <c r="G395" s="6" t="s">
        <v>1329</v>
      </c>
      <c r="H395" s="70">
        <v>50</v>
      </c>
      <c r="I395" s="72">
        <f>FastenersPriceList3[[#This Row],[Quantity (kg)]]/FastenersPriceList3[[#This Row],[SINGLE PC. WT.]]</f>
        <v>18.115942028985508</v>
      </c>
      <c r="J395" s="3">
        <v>138</v>
      </c>
      <c r="K395" s="3">
        <f>FastenersPriceList3[[#This Row],[1000 PCS/WT.]]*FastenersPriceList3[[#This Row],[Rate / PER kg (₹)]]</f>
        <v>380880</v>
      </c>
      <c r="L395" s="4">
        <f>FastenersPriceList3[[#This Row],[Rate / PER kg (₹)]]*FastenersPriceList3[[#This Row],[Quantity (kg)]]</f>
        <v>6900</v>
      </c>
      <c r="M395" s="4">
        <f>FastenersPriceList3[[#This Row],[SINGLE PC. WT.]]*FastenersPriceList3[[#This Row],[Rate / PER kg (₹)]]</f>
        <v>380.88</v>
      </c>
    </row>
    <row r="396" spans="1:13" ht="22.05" customHeight="1" x14ac:dyDescent="0.3">
      <c r="A396" s="2" t="s">
        <v>1718</v>
      </c>
      <c r="B396" s="12" t="s">
        <v>8</v>
      </c>
      <c r="C396" s="12">
        <v>8.8000000000000007</v>
      </c>
      <c r="D396" s="2">
        <v>2864</v>
      </c>
      <c r="E396" s="2">
        <f>FastenersPriceList3[[#This Row],[1000 PCS/WT.]]/1000</f>
        <v>2.8639999999999999</v>
      </c>
      <c r="F396" s="2" t="s">
        <v>857</v>
      </c>
      <c r="G396" s="6" t="s">
        <v>1329</v>
      </c>
      <c r="H396" s="70">
        <v>50</v>
      </c>
      <c r="I396" s="72">
        <f>FastenersPriceList3[[#This Row],[Quantity (kg)]]/FastenersPriceList3[[#This Row],[SINGLE PC. WT.]]</f>
        <v>17.458100558659218</v>
      </c>
      <c r="J396" s="3">
        <v>140</v>
      </c>
      <c r="K396" s="3">
        <f>FastenersPriceList3[[#This Row],[1000 PCS/WT.]]*FastenersPriceList3[[#This Row],[Rate / PER kg (₹)]]</f>
        <v>400960</v>
      </c>
      <c r="L396" s="4">
        <f>FastenersPriceList3[[#This Row],[Rate / PER kg (₹)]]*FastenersPriceList3[[#This Row],[Quantity (kg)]]</f>
        <v>7000</v>
      </c>
      <c r="M396" s="4">
        <f>FastenersPriceList3[[#This Row],[SINGLE PC. WT.]]*FastenersPriceList3[[#This Row],[Rate / PER kg (₹)]]</f>
        <v>400.96</v>
      </c>
    </row>
    <row r="397" spans="1:13" ht="22.05" customHeight="1" x14ac:dyDescent="0.3">
      <c r="A397" s="2" t="s">
        <v>1719</v>
      </c>
      <c r="B397" s="12" t="s">
        <v>8</v>
      </c>
      <c r="C397" s="12">
        <v>8.8000000000000007</v>
      </c>
      <c r="D397" s="2">
        <v>2968</v>
      </c>
      <c r="E397" s="2">
        <f>FastenersPriceList3[[#This Row],[1000 PCS/WT.]]/1000</f>
        <v>2.968</v>
      </c>
      <c r="F397" s="2" t="s">
        <v>858</v>
      </c>
      <c r="G397" s="6" t="s">
        <v>1329</v>
      </c>
      <c r="H397" s="70">
        <v>50</v>
      </c>
      <c r="I397" s="72">
        <f>FastenersPriceList3[[#This Row],[Quantity (kg)]]/FastenersPriceList3[[#This Row],[SINGLE PC. WT.]]</f>
        <v>16.846361185983827</v>
      </c>
      <c r="J397" s="3">
        <v>140</v>
      </c>
      <c r="K397" s="3">
        <f>FastenersPriceList3[[#This Row],[1000 PCS/WT.]]*FastenersPriceList3[[#This Row],[Rate / PER kg (₹)]]</f>
        <v>415520</v>
      </c>
      <c r="L397" s="4">
        <f>FastenersPriceList3[[#This Row],[Rate / PER kg (₹)]]*FastenersPriceList3[[#This Row],[Quantity (kg)]]</f>
        <v>7000</v>
      </c>
      <c r="M397" s="4">
        <f>FastenersPriceList3[[#This Row],[SINGLE PC. WT.]]*FastenersPriceList3[[#This Row],[Rate / PER kg (₹)]]</f>
        <v>415.52</v>
      </c>
    </row>
    <row r="398" spans="1:13" ht="22.05" customHeight="1" x14ac:dyDescent="0.3">
      <c r="A398" s="2" t="s">
        <v>1720</v>
      </c>
      <c r="B398" s="12" t="s">
        <v>8</v>
      </c>
      <c r="C398" s="12">
        <v>8.8000000000000007</v>
      </c>
      <c r="D398" s="2">
        <v>3072</v>
      </c>
      <c r="E398" s="2">
        <f>FastenersPriceList3[[#This Row],[1000 PCS/WT.]]/1000</f>
        <v>3.0720000000000001</v>
      </c>
      <c r="F398" s="2" t="s">
        <v>859</v>
      </c>
      <c r="G398" s="6" t="s">
        <v>1329</v>
      </c>
      <c r="H398" s="70">
        <v>50</v>
      </c>
      <c r="I398" s="72">
        <f>FastenersPriceList3[[#This Row],[Quantity (kg)]]/FastenersPriceList3[[#This Row],[SINGLE PC. WT.]]</f>
        <v>16.276041666666668</v>
      </c>
      <c r="J398" s="3">
        <v>140</v>
      </c>
      <c r="K398" s="3">
        <f>FastenersPriceList3[[#This Row],[1000 PCS/WT.]]*FastenersPriceList3[[#This Row],[Rate / PER kg (₹)]]</f>
        <v>430080</v>
      </c>
      <c r="L398" s="4">
        <f>FastenersPriceList3[[#This Row],[Rate / PER kg (₹)]]*FastenersPriceList3[[#This Row],[Quantity (kg)]]</f>
        <v>7000</v>
      </c>
      <c r="M398" s="4">
        <f>FastenersPriceList3[[#This Row],[SINGLE PC. WT.]]*FastenersPriceList3[[#This Row],[Rate / PER kg (₹)]]</f>
        <v>430.08</v>
      </c>
    </row>
    <row r="399" spans="1:13" ht="22.05" customHeight="1" x14ac:dyDescent="0.3">
      <c r="A399" s="2" t="s">
        <v>1721</v>
      </c>
      <c r="B399" s="12" t="s">
        <v>8</v>
      </c>
      <c r="C399" s="12">
        <v>8.8000000000000007</v>
      </c>
      <c r="D399" s="2">
        <v>3176</v>
      </c>
      <c r="E399" s="2">
        <f>FastenersPriceList3[[#This Row],[1000 PCS/WT.]]/1000</f>
        <v>3.1760000000000002</v>
      </c>
      <c r="F399" s="2" t="s">
        <v>860</v>
      </c>
      <c r="G399" s="6" t="s">
        <v>1329</v>
      </c>
      <c r="H399" s="70">
        <v>50</v>
      </c>
      <c r="I399" s="72">
        <f>FastenersPriceList3[[#This Row],[Quantity (kg)]]/FastenersPriceList3[[#This Row],[SINGLE PC. WT.]]</f>
        <v>15.743073047858941</v>
      </c>
      <c r="J399" s="3">
        <v>140</v>
      </c>
      <c r="K399" s="3">
        <f>FastenersPriceList3[[#This Row],[1000 PCS/WT.]]*FastenersPriceList3[[#This Row],[Rate / PER kg (₹)]]</f>
        <v>444640</v>
      </c>
      <c r="L399" s="4">
        <f>FastenersPriceList3[[#This Row],[Rate / PER kg (₹)]]*FastenersPriceList3[[#This Row],[Quantity (kg)]]</f>
        <v>7000</v>
      </c>
      <c r="M399" s="4">
        <f>FastenersPriceList3[[#This Row],[SINGLE PC. WT.]]*FastenersPriceList3[[#This Row],[Rate / PER kg (₹)]]</f>
        <v>444.64000000000004</v>
      </c>
    </row>
    <row r="400" spans="1:13" ht="22.05" customHeight="1" x14ac:dyDescent="0.3">
      <c r="A400" s="2" t="s">
        <v>1722</v>
      </c>
      <c r="B400" s="12" t="s">
        <v>8</v>
      </c>
      <c r="C400" s="12">
        <v>8.8000000000000007</v>
      </c>
      <c r="D400" s="2">
        <v>3280</v>
      </c>
      <c r="E400" s="2">
        <f>FastenersPriceList3[[#This Row],[1000 PCS/WT.]]/1000</f>
        <v>3.28</v>
      </c>
      <c r="F400" s="2" t="s">
        <v>861</v>
      </c>
      <c r="G400" s="6" t="s">
        <v>1329</v>
      </c>
      <c r="H400" s="70">
        <v>50</v>
      </c>
      <c r="I400" s="72">
        <f>FastenersPriceList3[[#This Row],[Quantity (kg)]]/FastenersPriceList3[[#This Row],[SINGLE PC. WT.]]</f>
        <v>15.24390243902439</v>
      </c>
      <c r="J400" s="3">
        <v>140</v>
      </c>
      <c r="K400" s="3">
        <f>FastenersPriceList3[[#This Row],[1000 PCS/WT.]]*FastenersPriceList3[[#This Row],[Rate / PER kg (₹)]]</f>
        <v>459200</v>
      </c>
      <c r="L400" s="4">
        <f>FastenersPriceList3[[#This Row],[Rate / PER kg (₹)]]*FastenersPriceList3[[#This Row],[Quantity (kg)]]</f>
        <v>7000</v>
      </c>
      <c r="M400" s="4">
        <f>FastenersPriceList3[[#This Row],[SINGLE PC. WT.]]*FastenersPriceList3[[#This Row],[Rate / PER kg (₹)]]</f>
        <v>459.2</v>
      </c>
    </row>
    <row r="401" spans="1:13" ht="22.05" customHeight="1" x14ac:dyDescent="0.3">
      <c r="A401" s="2" t="s">
        <v>1723</v>
      </c>
      <c r="B401" s="12" t="s">
        <v>8</v>
      </c>
      <c r="C401" s="12">
        <v>8.8000000000000007</v>
      </c>
      <c r="D401" s="2">
        <v>3384</v>
      </c>
      <c r="E401" s="2">
        <f>FastenersPriceList3[[#This Row],[1000 PCS/WT.]]/1000</f>
        <v>3.3839999999999999</v>
      </c>
      <c r="F401" s="2" t="s">
        <v>862</v>
      </c>
      <c r="G401" s="6" t="s">
        <v>1329</v>
      </c>
      <c r="H401" s="70">
        <v>50</v>
      </c>
      <c r="I401" s="72">
        <f>FastenersPriceList3[[#This Row],[Quantity (kg)]]/FastenersPriceList3[[#This Row],[SINGLE PC. WT.]]</f>
        <v>14.775413711583925</v>
      </c>
      <c r="J401" s="3">
        <v>140</v>
      </c>
      <c r="K401" s="3">
        <f>FastenersPriceList3[[#This Row],[1000 PCS/WT.]]*FastenersPriceList3[[#This Row],[Rate / PER kg (₹)]]</f>
        <v>473760</v>
      </c>
      <c r="L401" s="4">
        <f>FastenersPriceList3[[#This Row],[Rate / PER kg (₹)]]*FastenersPriceList3[[#This Row],[Quantity (kg)]]</f>
        <v>7000</v>
      </c>
      <c r="M401" s="4">
        <f>FastenersPriceList3[[#This Row],[SINGLE PC. WT.]]*FastenersPriceList3[[#This Row],[Rate / PER kg (₹)]]</f>
        <v>473.76</v>
      </c>
    </row>
    <row r="402" spans="1:13" ht="22.05" customHeight="1" x14ac:dyDescent="0.3">
      <c r="A402" s="2" t="s">
        <v>1724</v>
      </c>
      <c r="B402" s="12" t="s">
        <v>8</v>
      </c>
      <c r="C402" s="12">
        <v>8.8000000000000007</v>
      </c>
      <c r="D402" s="2">
        <v>3488</v>
      </c>
      <c r="E402" s="2">
        <f>FastenersPriceList3[[#This Row],[1000 PCS/WT.]]/1000</f>
        <v>3.488</v>
      </c>
      <c r="F402" s="2" t="s">
        <v>863</v>
      </c>
      <c r="G402" s="6" t="s">
        <v>1329</v>
      </c>
      <c r="H402" s="70">
        <v>50</v>
      </c>
      <c r="I402" s="72">
        <f>FastenersPriceList3[[#This Row],[Quantity (kg)]]/FastenersPriceList3[[#This Row],[SINGLE PC. WT.]]</f>
        <v>14.334862385321101</v>
      </c>
      <c r="J402" s="3">
        <v>140</v>
      </c>
      <c r="K402" s="3">
        <f>FastenersPriceList3[[#This Row],[1000 PCS/WT.]]*FastenersPriceList3[[#This Row],[Rate / PER kg (₹)]]</f>
        <v>488320</v>
      </c>
      <c r="L402" s="4">
        <f>FastenersPriceList3[[#This Row],[Rate / PER kg (₹)]]*FastenersPriceList3[[#This Row],[Quantity (kg)]]</f>
        <v>7000</v>
      </c>
      <c r="M402" s="4">
        <f>FastenersPriceList3[[#This Row],[SINGLE PC. WT.]]*FastenersPriceList3[[#This Row],[Rate / PER kg (₹)]]</f>
        <v>488.32</v>
      </c>
    </row>
    <row r="403" spans="1:13" ht="22.05" customHeight="1" x14ac:dyDescent="0.3">
      <c r="A403" s="2" t="s">
        <v>1725</v>
      </c>
      <c r="B403" s="12" t="s">
        <v>8</v>
      </c>
      <c r="C403" s="12">
        <v>8.8000000000000007</v>
      </c>
      <c r="D403" s="2">
        <v>3592</v>
      </c>
      <c r="E403" s="2">
        <f>FastenersPriceList3[[#This Row],[1000 PCS/WT.]]/1000</f>
        <v>3.5920000000000001</v>
      </c>
      <c r="F403" s="2" t="s">
        <v>864</v>
      </c>
      <c r="G403" s="6" t="s">
        <v>1329</v>
      </c>
      <c r="H403" s="70">
        <v>50</v>
      </c>
      <c r="I403" s="72">
        <f>FastenersPriceList3[[#This Row],[Quantity (kg)]]/FastenersPriceList3[[#This Row],[SINGLE PC. WT.]]</f>
        <v>13.919821826280623</v>
      </c>
      <c r="J403" s="3">
        <v>140</v>
      </c>
      <c r="K403" s="3">
        <f>FastenersPriceList3[[#This Row],[1000 PCS/WT.]]*FastenersPriceList3[[#This Row],[Rate / PER kg (₹)]]</f>
        <v>502880</v>
      </c>
      <c r="L403" s="4">
        <f>FastenersPriceList3[[#This Row],[Rate / PER kg (₹)]]*FastenersPriceList3[[#This Row],[Quantity (kg)]]</f>
        <v>7000</v>
      </c>
      <c r="M403" s="4">
        <f>FastenersPriceList3[[#This Row],[SINGLE PC. WT.]]*FastenersPriceList3[[#This Row],[Rate / PER kg (₹)]]</f>
        <v>502.88</v>
      </c>
    </row>
    <row r="404" spans="1:13" ht="22.05" customHeight="1" x14ac:dyDescent="0.3">
      <c r="A404" s="2" t="s">
        <v>1726</v>
      </c>
      <c r="B404" s="12" t="s">
        <v>8</v>
      </c>
      <c r="C404" s="12">
        <v>8.8000000000000007</v>
      </c>
      <c r="D404" s="2">
        <v>3696</v>
      </c>
      <c r="E404" s="2">
        <f>FastenersPriceList3[[#This Row],[1000 PCS/WT.]]/1000</f>
        <v>3.6960000000000002</v>
      </c>
      <c r="F404" s="2" t="s">
        <v>865</v>
      </c>
      <c r="G404" s="6" t="s">
        <v>1329</v>
      </c>
      <c r="H404" s="70">
        <v>50</v>
      </c>
      <c r="I404" s="72">
        <f>FastenersPriceList3[[#This Row],[Quantity (kg)]]/FastenersPriceList3[[#This Row],[SINGLE PC. WT.]]</f>
        <v>13.528138528138527</v>
      </c>
      <c r="J404" s="3">
        <v>140</v>
      </c>
      <c r="K404" s="3">
        <f>FastenersPriceList3[[#This Row],[1000 PCS/WT.]]*FastenersPriceList3[[#This Row],[Rate / PER kg (₹)]]</f>
        <v>517440</v>
      </c>
      <c r="L404" s="4">
        <f>FastenersPriceList3[[#This Row],[Rate / PER kg (₹)]]*FastenersPriceList3[[#This Row],[Quantity (kg)]]</f>
        <v>7000</v>
      </c>
      <c r="M404" s="4">
        <f>FastenersPriceList3[[#This Row],[SINGLE PC. WT.]]*FastenersPriceList3[[#This Row],[Rate / PER kg (₹)]]</f>
        <v>517.44000000000005</v>
      </c>
    </row>
    <row r="405" spans="1:13" ht="22.05" customHeight="1" x14ac:dyDescent="0.3">
      <c r="A405" s="2" t="s">
        <v>1727</v>
      </c>
      <c r="B405" s="12" t="s">
        <v>8</v>
      </c>
      <c r="C405" s="12">
        <v>8.8000000000000007</v>
      </c>
      <c r="D405" s="2">
        <v>3800</v>
      </c>
      <c r="E405" s="2">
        <f>FastenersPriceList3[[#This Row],[1000 PCS/WT.]]/1000</f>
        <v>3.8</v>
      </c>
      <c r="F405" s="2" t="s">
        <v>866</v>
      </c>
      <c r="G405" s="6" t="s">
        <v>1329</v>
      </c>
      <c r="H405" s="70">
        <v>50</v>
      </c>
      <c r="I405" s="72">
        <f>FastenersPriceList3[[#This Row],[Quantity (kg)]]/FastenersPriceList3[[#This Row],[SINGLE PC. WT.]]</f>
        <v>13.157894736842106</v>
      </c>
      <c r="J405" s="3">
        <v>140</v>
      </c>
      <c r="K405" s="3">
        <f>FastenersPriceList3[[#This Row],[1000 PCS/WT.]]*FastenersPriceList3[[#This Row],[Rate / PER kg (₹)]]</f>
        <v>532000</v>
      </c>
      <c r="L405" s="4">
        <f>FastenersPriceList3[[#This Row],[Rate / PER kg (₹)]]*FastenersPriceList3[[#This Row],[Quantity (kg)]]</f>
        <v>7000</v>
      </c>
      <c r="M405" s="4">
        <f>FastenersPriceList3[[#This Row],[SINGLE PC. WT.]]*FastenersPriceList3[[#This Row],[Rate / PER kg (₹)]]</f>
        <v>532</v>
      </c>
    </row>
    <row r="406" spans="1:13" ht="22.05" customHeight="1" x14ac:dyDescent="0.3">
      <c r="A406" s="2" t="s">
        <v>1728</v>
      </c>
      <c r="B406" s="12" t="s">
        <v>8</v>
      </c>
      <c r="C406" s="12">
        <v>8.8000000000000007</v>
      </c>
      <c r="D406" s="2">
        <v>1900</v>
      </c>
      <c r="E406" s="2">
        <f>FastenersPriceList3[[#This Row],[1000 PCS/WT.]]/1000</f>
        <v>1.9</v>
      </c>
      <c r="F406" s="2" t="s">
        <v>867</v>
      </c>
      <c r="G406" s="6" t="s">
        <v>1329</v>
      </c>
      <c r="H406" s="70">
        <v>50</v>
      </c>
      <c r="I406" s="72">
        <f>FastenersPriceList3[[#This Row],[Quantity (kg)]]/FastenersPriceList3[[#This Row],[SINGLE PC. WT.]]</f>
        <v>26.315789473684212</v>
      </c>
      <c r="J406" s="3">
        <v>135</v>
      </c>
      <c r="K406" s="3">
        <f>FastenersPriceList3[[#This Row],[1000 PCS/WT.]]*FastenersPriceList3[[#This Row],[Rate / PER kg (₹)]]</f>
        <v>256500</v>
      </c>
      <c r="L406" s="4">
        <f>FastenersPriceList3[[#This Row],[Rate / PER kg (₹)]]*FastenersPriceList3[[#This Row],[Quantity (kg)]]</f>
        <v>6750</v>
      </c>
      <c r="M406" s="4">
        <f>FastenersPriceList3[[#This Row],[SINGLE PC. WT.]]*FastenersPriceList3[[#This Row],[Rate / PER kg (₹)]]</f>
        <v>256.5</v>
      </c>
    </row>
    <row r="407" spans="1:13" ht="22.05" customHeight="1" x14ac:dyDescent="0.3">
      <c r="A407" s="2" t="s">
        <v>1729</v>
      </c>
      <c r="B407" s="12" t="s">
        <v>8</v>
      </c>
      <c r="C407" s="12">
        <v>8.8000000000000007</v>
      </c>
      <c r="D407" s="2">
        <v>1945</v>
      </c>
      <c r="E407" s="2">
        <f>FastenersPriceList3[[#This Row],[1000 PCS/WT.]]/1000</f>
        <v>1.9450000000000001</v>
      </c>
      <c r="F407" s="2" t="s">
        <v>868</v>
      </c>
      <c r="G407" s="6" t="s">
        <v>1329</v>
      </c>
      <c r="H407" s="70">
        <v>50</v>
      </c>
      <c r="I407" s="72">
        <f>FastenersPriceList3[[#This Row],[Quantity (kg)]]/FastenersPriceList3[[#This Row],[SINGLE PC. WT.]]</f>
        <v>25.70694087403599</v>
      </c>
      <c r="J407" s="3">
        <v>135</v>
      </c>
      <c r="K407" s="3">
        <f>FastenersPriceList3[[#This Row],[1000 PCS/WT.]]*FastenersPriceList3[[#This Row],[Rate / PER kg (₹)]]</f>
        <v>262575</v>
      </c>
      <c r="L407" s="4">
        <f>FastenersPriceList3[[#This Row],[Rate / PER kg (₹)]]*FastenersPriceList3[[#This Row],[Quantity (kg)]]</f>
        <v>6750</v>
      </c>
      <c r="M407" s="4">
        <f>FastenersPriceList3[[#This Row],[SINGLE PC. WT.]]*FastenersPriceList3[[#This Row],[Rate / PER kg (₹)]]</f>
        <v>262.57499999999999</v>
      </c>
    </row>
    <row r="408" spans="1:13" ht="22.05" customHeight="1" x14ac:dyDescent="0.3">
      <c r="A408" s="2" t="s">
        <v>1730</v>
      </c>
      <c r="B408" s="12" t="s">
        <v>8</v>
      </c>
      <c r="C408" s="12">
        <v>8.8000000000000007</v>
      </c>
      <c r="D408" s="2">
        <v>1990</v>
      </c>
      <c r="E408" s="2">
        <f>FastenersPriceList3[[#This Row],[1000 PCS/WT.]]/1000</f>
        <v>1.99</v>
      </c>
      <c r="F408" s="2" t="s">
        <v>869</v>
      </c>
      <c r="G408" s="6" t="s">
        <v>1329</v>
      </c>
      <c r="H408" s="70">
        <v>50</v>
      </c>
      <c r="I408" s="72">
        <f>FastenersPriceList3[[#This Row],[Quantity (kg)]]/FastenersPriceList3[[#This Row],[SINGLE PC. WT.]]</f>
        <v>25.125628140703519</v>
      </c>
      <c r="J408" s="3">
        <v>135</v>
      </c>
      <c r="K408" s="3">
        <f>FastenersPriceList3[[#This Row],[1000 PCS/WT.]]*FastenersPriceList3[[#This Row],[Rate / PER kg (₹)]]</f>
        <v>268650</v>
      </c>
      <c r="L408" s="4">
        <f>FastenersPriceList3[[#This Row],[Rate / PER kg (₹)]]*FastenersPriceList3[[#This Row],[Quantity (kg)]]</f>
        <v>6750</v>
      </c>
      <c r="M408" s="4">
        <f>FastenersPriceList3[[#This Row],[SINGLE PC. WT.]]*FastenersPriceList3[[#This Row],[Rate / PER kg (₹)]]</f>
        <v>268.64999999999998</v>
      </c>
    </row>
    <row r="409" spans="1:13" ht="22.05" customHeight="1" x14ac:dyDescent="0.3">
      <c r="A409" s="2" t="s">
        <v>1731</v>
      </c>
      <c r="B409" s="12" t="s">
        <v>8</v>
      </c>
      <c r="C409" s="12">
        <v>8.8000000000000007</v>
      </c>
      <c r="D409" s="2">
        <v>2080</v>
      </c>
      <c r="E409" s="2">
        <f>FastenersPriceList3[[#This Row],[1000 PCS/WT.]]/1000</f>
        <v>2.08</v>
      </c>
      <c r="F409" s="2" t="s">
        <v>870</v>
      </c>
      <c r="G409" s="6" t="s">
        <v>1329</v>
      </c>
      <c r="H409" s="70">
        <v>50</v>
      </c>
      <c r="I409" s="72">
        <f>FastenersPriceList3[[#This Row],[Quantity (kg)]]/FastenersPriceList3[[#This Row],[SINGLE PC. WT.]]</f>
        <v>24.038461538461537</v>
      </c>
      <c r="J409" s="3">
        <v>135</v>
      </c>
      <c r="K409" s="3">
        <f>FastenersPriceList3[[#This Row],[1000 PCS/WT.]]*FastenersPriceList3[[#This Row],[Rate / PER kg (₹)]]</f>
        <v>280800</v>
      </c>
      <c r="L409" s="4">
        <f>FastenersPriceList3[[#This Row],[Rate / PER kg (₹)]]*FastenersPriceList3[[#This Row],[Quantity (kg)]]</f>
        <v>6750</v>
      </c>
      <c r="M409" s="4">
        <f>FastenersPriceList3[[#This Row],[SINGLE PC. WT.]]*FastenersPriceList3[[#This Row],[Rate / PER kg (₹)]]</f>
        <v>280.8</v>
      </c>
    </row>
    <row r="410" spans="1:13" ht="22.05" customHeight="1" x14ac:dyDescent="0.3">
      <c r="A410" s="2" t="s">
        <v>1732</v>
      </c>
      <c r="B410" s="12" t="s">
        <v>8</v>
      </c>
      <c r="C410" s="12">
        <v>8.8000000000000007</v>
      </c>
      <c r="D410" s="2">
        <v>2170</v>
      </c>
      <c r="E410" s="2">
        <f>FastenersPriceList3[[#This Row],[1000 PCS/WT.]]/1000</f>
        <v>2.17</v>
      </c>
      <c r="F410" s="2" t="s">
        <v>871</v>
      </c>
      <c r="G410" s="6" t="s">
        <v>1329</v>
      </c>
      <c r="H410" s="70">
        <v>50</v>
      </c>
      <c r="I410" s="72">
        <f>FastenersPriceList3[[#This Row],[Quantity (kg)]]/FastenersPriceList3[[#This Row],[SINGLE PC. WT.]]</f>
        <v>23.041474654377883</v>
      </c>
      <c r="J410" s="3">
        <v>135</v>
      </c>
      <c r="K410" s="3">
        <f>FastenersPriceList3[[#This Row],[1000 PCS/WT.]]*FastenersPriceList3[[#This Row],[Rate / PER kg (₹)]]</f>
        <v>292950</v>
      </c>
      <c r="L410" s="4">
        <f>FastenersPriceList3[[#This Row],[Rate / PER kg (₹)]]*FastenersPriceList3[[#This Row],[Quantity (kg)]]</f>
        <v>6750</v>
      </c>
      <c r="M410" s="4">
        <f>FastenersPriceList3[[#This Row],[SINGLE PC. WT.]]*FastenersPriceList3[[#This Row],[Rate / PER kg (₹)]]</f>
        <v>292.95</v>
      </c>
    </row>
    <row r="411" spans="1:13" ht="22.05" customHeight="1" x14ac:dyDescent="0.3">
      <c r="A411" s="2" t="s">
        <v>1733</v>
      </c>
      <c r="B411" s="12" t="s">
        <v>8</v>
      </c>
      <c r="C411" s="12">
        <v>8.8000000000000007</v>
      </c>
      <c r="D411" s="2">
        <v>2260</v>
      </c>
      <c r="E411" s="2">
        <f>FastenersPriceList3[[#This Row],[1000 PCS/WT.]]/1000</f>
        <v>2.2599999999999998</v>
      </c>
      <c r="F411" s="2" t="s">
        <v>872</v>
      </c>
      <c r="G411" s="6" t="s">
        <v>1329</v>
      </c>
      <c r="H411" s="70">
        <v>50</v>
      </c>
      <c r="I411" s="72">
        <f>FastenersPriceList3[[#This Row],[Quantity (kg)]]/FastenersPriceList3[[#This Row],[SINGLE PC. WT.]]</f>
        <v>22.123893805309738</v>
      </c>
      <c r="J411" s="3">
        <v>135</v>
      </c>
      <c r="K411" s="3">
        <f>FastenersPriceList3[[#This Row],[1000 PCS/WT.]]*FastenersPriceList3[[#This Row],[Rate / PER kg (₹)]]</f>
        <v>305100</v>
      </c>
      <c r="L411" s="4">
        <f>FastenersPriceList3[[#This Row],[Rate / PER kg (₹)]]*FastenersPriceList3[[#This Row],[Quantity (kg)]]</f>
        <v>6750</v>
      </c>
      <c r="M411" s="4">
        <f>FastenersPriceList3[[#This Row],[SINGLE PC. WT.]]*FastenersPriceList3[[#This Row],[Rate / PER kg (₹)]]</f>
        <v>305.09999999999997</v>
      </c>
    </row>
    <row r="412" spans="1:13" ht="22.05" customHeight="1" x14ac:dyDescent="0.3">
      <c r="A412" s="2" t="s">
        <v>1734</v>
      </c>
      <c r="B412" s="12" t="s">
        <v>8</v>
      </c>
      <c r="C412" s="12">
        <v>8.8000000000000007</v>
      </c>
      <c r="D412" s="2">
        <v>2350</v>
      </c>
      <c r="E412" s="2">
        <f>FastenersPriceList3[[#This Row],[1000 PCS/WT.]]/1000</f>
        <v>2.35</v>
      </c>
      <c r="F412" s="2" t="s">
        <v>873</v>
      </c>
      <c r="G412" s="6" t="s">
        <v>1329</v>
      </c>
      <c r="H412" s="70">
        <v>50</v>
      </c>
      <c r="I412" s="72">
        <f>FastenersPriceList3[[#This Row],[Quantity (kg)]]/FastenersPriceList3[[#This Row],[SINGLE PC. WT.]]</f>
        <v>21.276595744680851</v>
      </c>
      <c r="J412" s="3">
        <v>135</v>
      </c>
      <c r="K412" s="3">
        <f>FastenersPriceList3[[#This Row],[1000 PCS/WT.]]*FastenersPriceList3[[#This Row],[Rate / PER kg (₹)]]</f>
        <v>317250</v>
      </c>
      <c r="L412" s="4">
        <f>FastenersPriceList3[[#This Row],[Rate / PER kg (₹)]]*FastenersPriceList3[[#This Row],[Quantity (kg)]]</f>
        <v>6750</v>
      </c>
      <c r="M412" s="4">
        <f>FastenersPriceList3[[#This Row],[SINGLE PC. WT.]]*FastenersPriceList3[[#This Row],[Rate / PER kg (₹)]]</f>
        <v>317.25</v>
      </c>
    </row>
    <row r="413" spans="1:13" ht="22.05" customHeight="1" x14ac:dyDescent="0.3">
      <c r="A413" s="2" t="s">
        <v>1735</v>
      </c>
      <c r="B413" s="12" t="s">
        <v>8</v>
      </c>
      <c r="C413" s="12">
        <v>8.8000000000000007</v>
      </c>
      <c r="D413" s="2">
        <v>2440</v>
      </c>
      <c r="E413" s="2">
        <f>FastenersPriceList3[[#This Row],[1000 PCS/WT.]]/1000</f>
        <v>2.44</v>
      </c>
      <c r="F413" s="2" t="s">
        <v>874</v>
      </c>
      <c r="G413" s="6" t="s">
        <v>1329</v>
      </c>
      <c r="H413" s="70">
        <v>50</v>
      </c>
      <c r="I413" s="72">
        <f>FastenersPriceList3[[#This Row],[Quantity (kg)]]/FastenersPriceList3[[#This Row],[SINGLE PC. WT.]]</f>
        <v>20.491803278688526</v>
      </c>
      <c r="J413" s="3">
        <v>135</v>
      </c>
      <c r="K413" s="3">
        <f>FastenersPriceList3[[#This Row],[1000 PCS/WT.]]*FastenersPriceList3[[#This Row],[Rate / PER kg (₹)]]</f>
        <v>329400</v>
      </c>
      <c r="L413" s="4">
        <f>FastenersPriceList3[[#This Row],[Rate / PER kg (₹)]]*FastenersPriceList3[[#This Row],[Quantity (kg)]]</f>
        <v>6750</v>
      </c>
      <c r="M413" s="4">
        <f>FastenersPriceList3[[#This Row],[SINGLE PC. WT.]]*FastenersPriceList3[[#This Row],[Rate / PER kg (₹)]]</f>
        <v>329.4</v>
      </c>
    </row>
    <row r="414" spans="1:13" ht="22.05" customHeight="1" x14ac:dyDescent="0.3">
      <c r="A414" s="2" t="s">
        <v>1736</v>
      </c>
      <c r="B414" s="12" t="s">
        <v>8</v>
      </c>
      <c r="C414" s="12">
        <v>8.8000000000000007</v>
      </c>
      <c r="D414" s="2">
        <v>2530</v>
      </c>
      <c r="E414" s="2">
        <f>FastenersPriceList3[[#This Row],[1000 PCS/WT.]]/1000</f>
        <v>2.5299999999999998</v>
      </c>
      <c r="F414" s="2" t="s">
        <v>875</v>
      </c>
      <c r="G414" s="6" t="s">
        <v>1329</v>
      </c>
      <c r="H414" s="70">
        <v>50</v>
      </c>
      <c r="I414" s="72">
        <f>FastenersPriceList3[[#This Row],[Quantity (kg)]]/FastenersPriceList3[[#This Row],[SINGLE PC. WT.]]</f>
        <v>19.762845849802375</v>
      </c>
      <c r="J414" s="3">
        <v>135</v>
      </c>
      <c r="K414" s="3">
        <f>FastenersPriceList3[[#This Row],[1000 PCS/WT.]]*FastenersPriceList3[[#This Row],[Rate / PER kg (₹)]]</f>
        <v>341550</v>
      </c>
      <c r="L414" s="4">
        <f>FastenersPriceList3[[#This Row],[Rate / PER kg (₹)]]*FastenersPriceList3[[#This Row],[Quantity (kg)]]</f>
        <v>6750</v>
      </c>
      <c r="M414" s="4">
        <f>FastenersPriceList3[[#This Row],[SINGLE PC. WT.]]*FastenersPriceList3[[#This Row],[Rate / PER kg (₹)]]</f>
        <v>341.54999999999995</v>
      </c>
    </row>
    <row r="415" spans="1:13" ht="22.05" customHeight="1" x14ac:dyDescent="0.3">
      <c r="A415" s="2" t="s">
        <v>1737</v>
      </c>
      <c r="B415" s="12" t="s">
        <v>8</v>
      </c>
      <c r="C415" s="12">
        <v>8.8000000000000007</v>
      </c>
      <c r="D415" s="2">
        <v>2620</v>
      </c>
      <c r="E415" s="2">
        <f>FastenersPriceList3[[#This Row],[1000 PCS/WT.]]/1000</f>
        <v>2.62</v>
      </c>
      <c r="F415" s="2" t="s">
        <v>876</v>
      </c>
      <c r="G415" s="6" t="s">
        <v>1329</v>
      </c>
      <c r="H415" s="70">
        <v>50</v>
      </c>
      <c r="I415" s="72">
        <f>FastenersPriceList3[[#This Row],[Quantity (kg)]]/FastenersPriceList3[[#This Row],[SINGLE PC. WT.]]</f>
        <v>19.083969465648853</v>
      </c>
      <c r="J415" s="3">
        <v>135</v>
      </c>
      <c r="K415" s="3">
        <f>FastenersPriceList3[[#This Row],[1000 PCS/WT.]]*FastenersPriceList3[[#This Row],[Rate / PER kg (₹)]]</f>
        <v>353700</v>
      </c>
      <c r="L415" s="4">
        <f>FastenersPriceList3[[#This Row],[Rate / PER kg (₹)]]*FastenersPriceList3[[#This Row],[Quantity (kg)]]</f>
        <v>6750</v>
      </c>
      <c r="M415" s="4">
        <f>FastenersPriceList3[[#This Row],[SINGLE PC. WT.]]*FastenersPriceList3[[#This Row],[Rate / PER kg (₹)]]</f>
        <v>353.7</v>
      </c>
    </row>
    <row r="416" spans="1:13" ht="22.05" customHeight="1" x14ac:dyDescent="0.3">
      <c r="A416" s="2" t="s">
        <v>1738</v>
      </c>
      <c r="B416" s="12" t="s">
        <v>8</v>
      </c>
      <c r="C416" s="12">
        <v>8.8000000000000007</v>
      </c>
      <c r="D416" s="2">
        <v>2710</v>
      </c>
      <c r="E416" s="2">
        <f>FastenersPriceList3[[#This Row],[1000 PCS/WT.]]/1000</f>
        <v>2.71</v>
      </c>
      <c r="F416" s="2" t="s">
        <v>877</v>
      </c>
      <c r="G416" s="6" t="s">
        <v>1329</v>
      </c>
      <c r="H416" s="70">
        <v>50</v>
      </c>
      <c r="I416" s="72">
        <f>FastenersPriceList3[[#This Row],[Quantity (kg)]]/FastenersPriceList3[[#This Row],[SINGLE PC. WT.]]</f>
        <v>18.450184501845019</v>
      </c>
      <c r="J416" s="3">
        <v>135</v>
      </c>
      <c r="K416" s="3">
        <f>FastenersPriceList3[[#This Row],[1000 PCS/WT.]]*FastenersPriceList3[[#This Row],[Rate / PER kg (₹)]]</f>
        <v>365850</v>
      </c>
      <c r="L416" s="4">
        <f>FastenersPriceList3[[#This Row],[Rate / PER kg (₹)]]*FastenersPriceList3[[#This Row],[Quantity (kg)]]</f>
        <v>6750</v>
      </c>
      <c r="M416" s="4">
        <f>FastenersPriceList3[[#This Row],[SINGLE PC. WT.]]*FastenersPriceList3[[#This Row],[Rate / PER kg (₹)]]</f>
        <v>365.85</v>
      </c>
    </row>
    <row r="417" spans="1:13" ht="22.05" customHeight="1" x14ac:dyDescent="0.3">
      <c r="A417" s="2" t="s">
        <v>1739</v>
      </c>
      <c r="B417" s="12" t="s">
        <v>8</v>
      </c>
      <c r="C417" s="12">
        <v>8.8000000000000007</v>
      </c>
      <c r="D417" s="2">
        <v>2800</v>
      </c>
      <c r="E417" s="2">
        <f>FastenersPriceList3[[#This Row],[1000 PCS/WT.]]/1000</f>
        <v>2.8</v>
      </c>
      <c r="F417" s="2" t="s">
        <v>878</v>
      </c>
      <c r="G417" s="6" t="s">
        <v>1329</v>
      </c>
      <c r="H417" s="70">
        <v>50</v>
      </c>
      <c r="I417" s="72">
        <f>FastenersPriceList3[[#This Row],[Quantity (kg)]]/FastenersPriceList3[[#This Row],[SINGLE PC. WT.]]</f>
        <v>17.857142857142858</v>
      </c>
      <c r="J417" s="3">
        <v>135</v>
      </c>
      <c r="K417" s="3">
        <f>FastenersPriceList3[[#This Row],[1000 PCS/WT.]]*FastenersPriceList3[[#This Row],[Rate / PER kg (₹)]]</f>
        <v>378000</v>
      </c>
      <c r="L417" s="4">
        <f>FastenersPriceList3[[#This Row],[Rate / PER kg (₹)]]*FastenersPriceList3[[#This Row],[Quantity (kg)]]</f>
        <v>6750</v>
      </c>
      <c r="M417" s="4">
        <f>FastenersPriceList3[[#This Row],[SINGLE PC. WT.]]*FastenersPriceList3[[#This Row],[Rate / PER kg (₹)]]</f>
        <v>378</v>
      </c>
    </row>
    <row r="418" spans="1:13" ht="22.05" customHeight="1" x14ac:dyDescent="0.3">
      <c r="A418" s="2" t="s">
        <v>1740</v>
      </c>
      <c r="B418" s="12" t="s">
        <v>8</v>
      </c>
      <c r="C418" s="12">
        <v>8.8000000000000007</v>
      </c>
      <c r="D418" s="2">
        <v>2890</v>
      </c>
      <c r="E418" s="2">
        <f>FastenersPriceList3[[#This Row],[1000 PCS/WT.]]/1000</f>
        <v>2.89</v>
      </c>
      <c r="F418" s="2" t="s">
        <v>879</v>
      </c>
      <c r="G418" s="6" t="s">
        <v>1329</v>
      </c>
      <c r="H418" s="70">
        <v>50</v>
      </c>
      <c r="I418" s="72">
        <f>FastenersPriceList3[[#This Row],[Quantity (kg)]]/FastenersPriceList3[[#This Row],[SINGLE PC. WT.]]</f>
        <v>17.301038062283737</v>
      </c>
      <c r="J418" s="3">
        <v>135</v>
      </c>
      <c r="K418" s="3">
        <f>FastenersPriceList3[[#This Row],[1000 PCS/WT.]]*FastenersPriceList3[[#This Row],[Rate / PER kg (₹)]]</f>
        <v>390150</v>
      </c>
      <c r="L418" s="4">
        <f>FastenersPriceList3[[#This Row],[Rate / PER kg (₹)]]*FastenersPriceList3[[#This Row],[Quantity (kg)]]</f>
        <v>6750</v>
      </c>
      <c r="M418" s="4">
        <f>FastenersPriceList3[[#This Row],[SINGLE PC. WT.]]*FastenersPriceList3[[#This Row],[Rate / PER kg (₹)]]</f>
        <v>390.15000000000003</v>
      </c>
    </row>
    <row r="419" spans="1:13" ht="22.05" customHeight="1" x14ac:dyDescent="0.3">
      <c r="A419" s="2" t="s">
        <v>1741</v>
      </c>
      <c r="B419" s="12" t="s">
        <v>8</v>
      </c>
      <c r="C419" s="12">
        <v>8.8000000000000007</v>
      </c>
      <c r="D419" s="2">
        <v>2980</v>
      </c>
      <c r="E419" s="2">
        <f>FastenersPriceList3[[#This Row],[1000 PCS/WT.]]/1000</f>
        <v>2.98</v>
      </c>
      <c r="F419" s="2" t="s">
        <v>880</v>
      </c>
      <c r="G419" s="6" t="s">
        <v>1329</v>
      </c>
      <c r="H419" s="70">
        <v>50</v>
      </c>
      <c r="I419" s="72">
        <f>FastenersPriceList3[[#This Row],[Quantity (kg)]]/FastenersPriceList3[[#This Row],[SINGLE PC. WT.]]</f>
        <v>16.778523489932887</v>
      </c>
      <c r="J419" s="3">
        <v>135</v>
      </c>
      <c r="K419" s="3">
        <f>FastenersPriceList3[[#This Row],[1000 PCS/WT.]]*FastenersPriceList3[[#This Row],[Rate / PER kg (₹)]]</f>
        <v>402300</v>
      </c>
      <c r="L419" s="4">
        <f>FastenersPriceList3[[#This Row],[Rate / PER kg (₹)]]*FastenersPriceList3[[#This Row],[Quantity (kg)]]</f>
        <v>6750</v>
      </c>
      <c r="M419" s="4">
        <f>FastenersPriceList3[[#This Row],[SINGLE PC. WT.]]*FastenersPriceList3[[#This Row],[Rate / PER kg (₹)]]</f>
        <v>402.3</v>
      </c>
    </row>
    <row r="420" spans="1:13" ht="22.05" customHeight="1" x14ac:dyDescent="0.3">
      <c r="A420" s="2" t="s">
        <v>1742</v>
      </c>
      <c r="B420" s="12" t="s">
        <v>8</v>
      </c>
      <c r="C420" s="12">
        <v>8.8000000000000007</v>
      </c>
      <c r="D420" s="2">
        <v>3070</v>
      </c>
      <c r="E420" s="2">
        <f>FastenersPriceList3[[#This Row],[1000 PCS/WT.]]/1000</f>
        <v>3.07</v>
      </c>
      <c r="F420" s="2" t="s">
        <v>881</v>
      </c>
      <c r="G420" s="6" t="s">
        <v>1329</v>
      </c>
      <c r="H420" s="70">
        <v>50</v>
      </c>
      <c r="I420" s="72">
        <f>FastenersPriceList3[[#This Row],[Quantity (kg)]]/FastenersPriceList3[[#This Row],[SINGLE PC. WT.]]</f>
        <v>16.286644951140065</v>
      </c>
      <c r="J420" s="3">
        <v>138</v>
      </c>
      <c r="K420" s="3">
        <f>FastenersPriceList3[[#This Row],[1000 PCS/WT.]]*FastenersPriceList3[[#This Row],[Rate / PER kg (₹)]]</f>
        <v>423660</v>
      </c>
      <c r="L420" s="4">
        <f>FastenersPriceList3[[#This Row],[Rate / PER kg (₹)]]*FastenersPriceList3[[#This Row],[Quantity (kg)]]</f>
        <v>6900</v>
      </c>
      <c r="M420" s="4">
        <f>FastenersPriceList3[[#This Row],[SINGLE PC. WT.]]*FastenersPriceList3[[#This Row],[Rate / PER kg (₹)]]</f>
        <v>423.65999999999997</v>
      </c>
    </row>
    <row r="421" spans="1:13" ht="22.05" customHeight="1" x14ac:dyDescent="0.3">
      <c r="A421" s="2" t="s">
        <v>1743</v>
      </c>
      <c r="B421" s="12" t="s">
        <v>8</v>
      </c>
      <c r="C421" s="12">
        <v>8.8000000000000007</v>
      </c>
      <c r="D421" s="2">
        <v>3160</v>
      </c>
      <c r="E421" s="2">
        <f>FastenersPriceList3[[#This Row],[1000 PCS/WT.]]/1000</f>
        <v>3.16</v>
      </c>
      <c r="F421" s="2" t="s">
        <v>882</v>
      </c>
      <c r="G421" s="6" t="s">
        <v>1329</v>
      </c>
      <c r="H421" s="70">
        <v>50</v>
      </c>
      <c r="I421" s="72">
        <f>FastenersPriceList3[[#This Row],[Quantity (kg)]]/FastenersPriceList3[[#This Row],[SINGLE PC. WT.]]</f>
        <v>15.822784810126581</v>
      </c>
      <c r="J421" s="3">
        <v>138</v>
      </c>
      <c r="K421" s="3">
        <f>FastenersPriceList3[[#This Row],[1000 PCS/WT.]]*FastenersPriceList3[[#This Row],[Rate / PER kg (₹)]]</f>
        <v>436080</v>
      </c>
      <c r="L421" s="4">
        <f>FastenersPriceList3[[#This Row],[Rate / PER kg (₹)]]*FastenersPriceList3[[#This Row],[Quantity (kg)]]</f>
        <v>6900</v>
      </c>
      <c r="M421" s="4">
        <f>FastenersPriceList3[[#This Row],[SINGLE PC. WT.]]*FastenersPriceList3[[#This Row],[Rate / PER kg (₹)]]</f>
        <v>436.08000000000004</v>
      </c>
    </row>
    <row r="422" spans="1:13" ht="22.05" customHeight="1" x14ac:dyDescent="0.3">
      <c r="A422" s="2" t="s">
        <v>1744</v>
      </c>
      <c r="B422" s="12" t="s">
        <v>8</v>
      </c>
      <c r="C422" s="12">
        <v>8.8000000000000007</v>
      </c>
      <c r="D422" s="2">
        <v>3250</v>
      </c>
      <c r="E422" s="2">
        <f>FastenersPriceList3[[#This Row],[1000 PCS/WT.]]/1000</f>
        <v>3.25</v>
      </c>
      <c r="F422" s="2" t="s">
        <v>883</v>
      </c>
      <c r="G422" s="6" t="s">
        <v>1329</v>
      </c>
      <c r="H422" s="70">
        <v>50</v>
      </c>
      <c r="I422" s="72">
        <f>FastenersPriceList3[[#This Row],[Quantity (kg)]]/FastenersPriceList3[[#This Row],[SINGLE PC. WT.]]</f>
        <v>15.384615384615385</v>
      </c>
      <c r="J422" s="3">
        <v>138</v>
      </c>
      <c r="K422" s="3">
        <f>FastenersPriceList3[[#This Row],[1000 PCS/WT.]]*FastenersPriceList3[[#This Row],[Rate / PER kg (₹)]]</f>
        <v>448500</v>
      </c>
      <c r="L422" s="4">
        <f>FastenersPriceList3[[#This Row],[Rate / PER kg (₹)]]*FastenersPriceList3[[#This Row],[Quantity (kg)]]</f>
        <v>6900</v>
      </c>
      <c r="M422" s="4">
        <f>FastenersPriceList3[[#This Row],[SINGLE PC. WT.]]*FastenersPriceList3[[#This Row],[Rate / PER kg (₹)]]</f>
        <v>448.5</v>
      </c>
    </row>
    <row r="423" spans="1:13" ht="22.05" customHeight="1" x14ac:dyDescent="0.3">
      <c r="A423" s="2" t="s">
        <v>1745</v>
      </c>
      <c r="B423" s="12" t="s">
        <v>8</v>
      </c>
      <c r="C423" s="12">
        <v>8.8000000000000007</v>
      </c>
      <c r="D423" s="2">
        <v>3340</v>
      </c>
      <c r="E423" s="2">
        <f>FastenersPriceList3[[#This Row],[1000 PCS/WT.]]/1000</f>
        <v>3.34</v>
      </c>
      <c r="F423" s="2" t="s">
        <v>884</v>
      </c>
      <c r="G423" s="6" t="s">
        <v>1329</v>
      </c>
      <c r="H423" s="70">
        <v>50</v>
      </c>
      <c r="I423" s="72">
        <f>FastenersPriceList3[[#This Row],[Quantity (kg)]]/FastenersPriceList3[[#This Row],[SINGLE PC. WT.]]</f>
        <v>14.970059880239521</v>
      </c>
      <c r="J423" s="3">
        <v>138</v>
      </c>
      <c r="K423" s="3">
        <f>FastenersPriceList3[[#This Row],[1000 PCS/WT.]]*FastenersPriceList3[[#This Row],[Rate / PER kg (₹)]]</f>
        <v>460920</v>
      </c>
      <c r="L423" s="4">
        <f>FastenersPriceList3[[#This Row],[Rate / PER kg (₹)]]*FastenersPriceList3[[#This Row],[Quantity (kg)]]</f>
        <v>6900</v>
      </c>
      <c r="M423" s="4">
        <f>FastenersPriceList3[[#This Row],[SINGLE PC. WT.]]*FastenersPriceList3[[#This Row],[Rate / PER kg (₹)]]</f>
        <v>460.91999999999996</v>
      </c>
    </row>
    <row r="424" spans="1:13" ht="22.05" customHeight="1" x14ac:dyDescent="0.3">
      <c r="A424" s="2" t="s">
        <v>1746</v>
      </c>
      <c r="B424" s="12" t="s">
        <v>8</v>
      </c>
      <c r="C424" s="12">
        <v>8.8000000000000007</v>
      </c>
      <c r="D424" s="2">
        <v>3430</v>
      </c>
      <c r="E424" s="2">
        <f>FastenersPriceList3[[#This Row],[1000 PCS/WT.]]/1000</f>
        <v>3.43</v>
      </c>
      <c r="F424" s="2" t="s">
        <v>885</v>
      </c>
      <c r="G424" s="6" t="s">
        <v>1329</v>
      </c>
      <c r="H424" s="70">
        <v>50</v>
      </c>
      <c r="I424" s="72">
        <f>FastenersPriceList3[[#This Row],[Quantity (kg)]]/FastenersPriceList3[[#This Row],[SINGLE PC. WT.]]</f>
        <v>14.577259475218659</v>
      </c>
      <c r="J424" s="3">
        <v>138</v>
      </c>
      <c r="K424" s="3">
        <f>FastenersPriceList3[[#This Row],[1000 PCS/WT.]]*FastenersPriceList3[[#This Row],[Rate / PER kg (₹)]]</f>
        <v>473340</v>
      </c>
      <c r="L424" s="4">
        <f>FastenersPriceList3[[#This Row],[Rate / PER kg (₹)]]*FastenersPriceList3[[#This Row],[Quantity (kg)]]</f>
        <v>6900</v>
      </c>
      <c r="M424" s="4">
        <f>FastenersPriceList3[[#This Row],[SINGLE PC. WT.]]*FastenersPriceList3[[#This Row],[Rate / PER kg (₹)]]</f>
        <v>473.34000000000003</v>
      </c>
    </row>
    <row r="425" spans="1:13" ht="22.05" customHeight="1" x14ac:dyDescent="0.3">
      <c r="A425" s="2" t="s">
        <v>1747</v>
      </c>
      <c r="B425" s="12" t="s">
        <v>8</v>
      </c>
      <c r="C425" s="12">
        <v>8.8000000000000007</v>
      </c>
      <c r="D425" s="2">
        <v>3520</v>
      </c>
      <c r="E425" s="2">
        <f>FastenersPriceList3[[#This Row],[1000 PCS/WT.]]/1000</f>
        <v>3.52</v>
      </c>
      <c r="F425" s="2" t="s">
        <v>886</v>
      </c>
      <c r="G425" s="6" t="s">
        <v>1329</v>
      </c>
      <c r="H425" s="70">
        <v>50</v>
      </c>
      <c r="I425" s="72">
        <f>FastenersPriceList3[[#This Row],[Quantity (kg)]]/FastenersPriceList3[[#This Row],[SINGLE PC. WT.]]</f>
        <v>14.204545454545455</v>
      </c>
      <c r="J425" s="3">
        <v>138</v>
      </c>
      <c r="K425" s="3">
        <f>FastenersPriceList3[[#This Row],[1000 PCS/WT.]]*FastenersPriceList3[[#This Row],[Rate / PER kg (₹)]]</f>
        <v>485760</v>
      </c>
      <c r="L425" s="4">
        <f>FastenersPriceList3[[#This Row],[Rate / PER kg (₹)]]*FastenersPriceList3[[#This Row],[Quantity (kg)]]</f>
        <v>6900</v>
      </c>
      <c r="M425" s="4">
        <f>FastenersPriceList3[[#This Row],[SINGLE PC. WT.]]*FastenersPriceList3[[#This Row],[Rate / PER kg (₹)]]</f>
        <v>485.76</v>
      </c>
    </row>
    <row r="426" spans="1:13" ht="22.05" customHeight="1" x14ac:dyDescent="0.3">
      <c r="A426" s="2" t="s">
        <v>1748</v>
      </c>
      <c r="B426" s="12" t="s">
        <v>8</v>
      </c>
      <c r="C426" s="12">
        <v>8.8000000000000007</v>
      </c>
      <c r="D426" s="2">
        <v>3610</v>
      </c>
      <c r="E426" s="2">
        <f>FastenersPriceList3[[#This Row],[1000 PCS/WT.]]/1000</f>
        <v>3.61</v>
      </c>
      <c r="F426" s="2" t="s">
        <v>887</v>
      </c>
      <c r="G426" s="6" t="s">
        <v>1329</v>
      </c>
      <c r="H426" s="70">
        <v>50</v>
      </c>
      <c r="I426" s="72">
        <f>FastenersPriceList3[[#This Row],[Quantity (kg)]]/FastenersPriceList3[[#This Row],[SINGLE PC. WT.]]</f>
        <v>13.850415512465375</v>
      </c>
      <c r="J426" s="3">
        <v>138</v>
      </c>
      <c r="K426" s="3">
        <f>FastenersPriceList3[[#This Row],[1000 PCS/WT.]]*FastenersPriceList3[[#This Row],[Rate / PER kg (₹)]]</f>
        <v>498180</v>
      </c>
      <c r="L426" s="4">
        <f>FastenersPriceList3[[#This Row],[Rate / PER kg (₹)]]*FastenersPriceList3[[#This Row],[Quantity (kg)]]</f>
        <v>6900</v>
      </c>
      <c r="M426" s="4">
        <f>FastenersPriceList3[[#This Row],[SINGLE PC. WT.]]*FastenersPriceList3[[#This Row],[Rate / PER kg (₹)]]</f>
        <v>498.18</v>
      </c>
    </row>
    <row r="427" spans="1:13" ht="22.05" customHeight="1" x14ac:dyDescent="0.3">
      <c r="A427" s="2" t="s">
        <v>1749</v>
      </c>
      <c r="B427" s="12" t="s">
        <v>8</v>
      </c>
      <c r="C427" s="12">
        <v>8.8000000000000007</v>
      </c>
      <c r="D427" s="2">
        <v>3700</v>
      </c>
      <c r="E427" s="2">
        <f>FastenersPriceList3[[#This Row],[1000 PCS/WT.]]/1000</f>
        <v>3.7</v>
      </c>
      <c r="F427" s="2" t="s">
        <v>888</v>
      </c>
      <c r="G427" s="6" t="s">
        <v>1329</v>
      </c>
      <c r="H427" s="70">
        <v>50</v>
      </c>
      <c r="I427" s="72">
        <f>FastenersPriceList3[[#This Row],[Quantity (kg)]]/FastenersPriceList3[[#This Row],[SINGLE PC. WT.]]</f>
        <v>13.513513513513512</v>
      </c>
      <c r="J427" s="3">
        <v>138</v>
      </c>
      <c r="K427" s="3">
        <f>FastenersPriceList3[[#This Row],[1000 PCS/WT.]]*FastenersPriceList3[[#This Row],[Rate / PER kg (₹)]]</f>
        <v>510600</v>
      </c>
      <c r="L427" s="4">
        <f>FastenersPriceList3[[#This Row],[Rate / PER kg (₹)]]*FastenersPriceList3[[#This Row],[Quantity (kg)]]</f>
        <v>6900</v>
      </c>
      <c r="M427" s="4">
        <f>FastenersPriceList3[[#This Row],[SINGLE PC. WT.]]*FastenersPriceList3[[#This Row],[Rate / PER kg (₹)]]</f>
        <v>510.6</v>
      </c>
    </row>
    <row r="428" spans="1:13" ht="22.05" customHeight="1" x14ac:dyDescent="0.3">
      <c r="A428" s="2" t="s">
        <v>1750</v>
      </c>
      <c r="B428" s="12" t="s">
        <v>8</v>
      </c>
      <c r="C428" s="12">
        <v>8.8000000000000007</v>
      </c>
      <c r="D428" s="2">
        <v>3790</v>
      </c>
      <c r="E428" s="2">
        <f>FastenersPriceList3[[#This Row],[1000 PCS/WT.]]/1000</f>
        <v>3.79</v>
      </c>
      <c r="F428" s="2" t="s">
        <v>889</v>
      </c>
      <c r="G428" s="6" t="s">
        <v>1329</v>
      </c>
      <c r="H428" s="70">
        <v>50</v>
      </c>
      <c r="I428" s="72">
        <f>FastenersPriceList3[[#This Row],[Quantity (kg)]]/FastenersPriceList3[[#This Row],[SINGLE PC. WT.]]</f>
        <v>13.192612137203167</v>
      </c>
      <c r="J428" s="3">
        <v>138</v>
      </c>
      <c r="K428" s="3">
        <f>FastenersPriceList3[[#This Row],[1000 PCS/WT.]]*FastenersPriceList3[[#This Row],[Rate / PER kg (₹)]]</f>
        <v>523020</v>
      </c>
      <c r="L428" s="4">
        <f>FastenersPriceList3[[#This Row],[Rate / PER kg (₹)]]*FastenersPriceList3[[#This Row],[Quantity (kg)]]</f>
        <v>6900</v>
      </c>
      <c r="M428" s="4">
        <f>FastenersPriceList3[[#This Row],[SINGLE PC. WT.]]*FastenersPriceList3[[#This Row],[Rate / PER kg (₹)]]</f>
        <v>523.02</v>
      </c>
    </row>
    <row r="429" spans="1:13" ht="22.05" customHeight="1" x14ac:dyDescent="0.3">
      <c r="A429" s="2" t="s">
        <v>1751</v>
      </c>
      <c r="B429" s="12" t="s">
        <v>8</v>
      </c>
      <c r="C429" s="12">
        <v>8.8000000000000007</v>
      </c>
      <c r="D429" s="2">
        <v>3880</v>
      </c>
      <c r="E429" s="2">
        <f>FastenersPriceList3[[#This Row],[1000 PCS/WT.]]/1000</f>
        <v>3.88</v>
      </c>
      <c r="F429" s="2" t="s">
        <v>890</v>
      </c>
      <c r="G429" s="6" t="s">
        <v>1329</v>
      </c>
      <c r="H429" s="70">
        <v>50</v>
      </c>
      <c r="I429" s="72">
        <f>FastenersPriceList3[[#This Row],[Quantity (kg)]]/FastenersPriceList3[[#This Row],[SINGLE PC. WT.]]</f>
        <v>12.88659793814433</v>
      </c>
      <c r="J429" s="3">
        <v>138</v>
      </c>
      <c r="K429" s="3">
        <f>FastenersPriceList3[[#This Row],[1000 PCS/WT.]]*FastenersPriceList3[[#This Row],[Rate / PER kg (₹)]]</f>
        <v>535440</v>
      </c>
      <c r="L429" s="4">
        <f>FastenersPriceList3[[#This Row],[Rate / PER kg (₹)]]*FastenersPriceList3[[#This Row],[Quantity (kg)]]</f>
        <v>6900</v>
      </c>
      <c r="M429" s="4">
        <f>FastenersPriceList3[[#This Row],[SINGLE PC. WT.]]*FastenersPriceList3[[#This Row],[Rate / PER kg (₹)]]</f>
        <v>535.43999999999994</v>
      </c>
    </row>
    <row r="430" spans="1:13" x14ac:dyDescent="0.3">
      <c r="A430" s="5"/>
      <c r="B430" s="5"/>
      <c r="C430" s="5"/>
      <c r="D430" s="5"/>
      <c r="E430" s="5"/>
      <c r="F430" s="5"/>
      <c r="G430" s="5"/>
      <c r="H430" s="71"/>
      <c r="I430" s="68"/>
      <c r="J430" s="5"/>
      <c r="K430" s="5"/>
      <c r="L430" s="5"/>
      <c r="M430" s="5"/>
    </row>
    <row r="431" spans="1:13" ht="25.95" customHeight="1" x14ac:dyDescent="0.3">
      <c r="A431" s="34" t="s">
        <v>7</v>
      </c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1">
        <f>SUM(L5:L429)</f>
        <v>2798900</v>
      </c>
      <c r="M431" s="1">
        <f>SUM(M5:M429)</f>
        <v>52682.474559999988</v>
      </c>
    </row>
  </sheetData>
  <mergeCells count="3">
    <mergeCell ref="A1:M1"/>
    <mergeCell ref="A2:M2"/>
    <mergeCell ref="A431:K43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A663-02BF-4316-90E5-9C9FDC8BDFEA}">
  <dimension ref="A1:M431"/>
  <sheetViews>
    <sheetView topLeftCell="A204" workbookViewId="0">
      <selection activeCell="A221" sqref="A221"/>
    </sheetView>
  </sheetViews>
  <sheetFormatPr defaultRowHeight="14.4" x14ac:dyDescent="0.3"/>
  <cols>
    <col min="1" max="1" width="18.109375" customWidth="1"/>
    <col min="2" max="2" width="27.77734375" customWidth="1"/>
    <col min="3" max="3" width="10.44140625" customWidth="1"/>
    <col min="4" max="5" width="9.21875" customWidth="1"/>
    <col min="6" max="6" width="9" customWidth="1"/>
    <col min="7" max="7" width="7.109375" customWidth="1"/>
    <col min="8" max="8" width="9.6640625" style="69" customWidth="1"/>
    <col min="9" max="9" width="10.21875" style="65" customWidth="1"/>
    <col min="10" max="10" width="7.88671875" customWidth="1"/>
    <col min="11" max="11" width="11.77734375" customWidth="1"/>
    <col min="12" max="12" width="9.33203125" customWidth="1"/>
    <col min="13" max="13" width="13.109375" customWidth="1"/>
  </cols>
  <sheetData>
    <row r="1" spans="1:13" ht="31.95" customHeight="1" x14ac:dyDescent="0.3">
      <c r="A1" s="35" t="s">
        <v>898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34.049999999999997" customHeight="1" x14ac:dyDescent="0.3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15" thickBot="1" x14ac:dyDescent="0.35"/>
    <row r="4" spans="1:13" ht="37.950000000000003" customHeight="1" thickBot="1" x14ac:dyDescent="0.35">
      <c r="A4" s="9" t="s">
        <v>1</v>
      </c>
      <c r="B4" s="10" t="s">
        <v>2</v>
      </c>
      <c r="C4" s="10" t="s">
        <v>3</v>
      </c>
      <c r="D4" s="10" t="s">
        <v>634</v>
      </c>
      <c r="E4" s="10" t="s">
        <v>891</v>
      </c>
      <c r="F4" s="10" t="s">
        <v>4</v>
      </c>
      <c r="G4" s="10" t="s">
        <v>5</v>
      </c>
      <c r="H4" s="66" t="s">
        <v>6</v>
      </c>
      <c r="I4" s="66" t="s">
        <v>892</v>
      </c>
      <c r="J4" s="10" t="s">
        <v>894</v>
      </c>
      <c r="K4" s="10" t="s">
        <v>178</v>
      </c>
      <c r="L4" s="10" t="s">
        <v>895</v>
      </c>
      <c r="M4" s="11" t="s">
        <v>900</v>
      </c>
    </row>
    <row r="5" spans="1:13" ht="22.05" customHeight="1" x14ac:dyDescent="0.3">
      <c r="A5" s="6" t="s">
        <v>1754</v>
      </c>
      <c r="B5" s="6" t="s">
        <v>8</v>
      </c>
      <c r="C5" s="12">
        <v>10.9</v>
      </c>
      <c r="D5" s="6">
        <v>2.63</v>
      </c>
      <c r="E5" s="6">
        <f>FastenersPriceList34[[#This Row],[1000 PCS/WT.]]/1000</f>
        <v>2.63E-3</v>
      </c>
      <c r="F5" s="6" t="s">
        <v>10</v>
      </c>
      <c r="G5" s="6" t="s">
        <v>1755</v>
      </c>
      <c r="H5" s="70">
        <v>50</v>
      </c>
      <c r="I5" s="67">
        <f>FastenersPriceList34[[#This Row],[Quantity (kg)]]/FastenersPriceList34[[#This Row],[SINGLE PC. WT.]]</f>
        <v>19011.406844106463</v>
      </c>
      <c r="J5" s="7">
        <v>135</v>
      </c>
      <c r="K5" s="7">
        <f>FastenersPriceList34[[#This Row],[1000 PCS/WT.]]*FastenersPriceList34[[#This Row],[Rate / PER kg (₹)]]</f>
        <v>355.05</v>
      </c>
      <c r="L5" s="8">
        <f>FastenersPriceList34[[#This Row],[Rate / PER kg (₹)]]*FastenersPriceList34[[#This Row],[Quantity (kg)]]</f>
        <v>6750</v>
      </c>
      <c r="M5" s="8">
        <f>FastenersPriceList34[[#This Row],[SINGLE PC. WT.]]*FastenersPriceList34[[#This Row],[Rate / PER kg (₹)]]</f>
        <v>0.35504999999999998</v>
      </c>
    </row>
    <row r="6" spans="1:13" ht="22.05" customHeight="1" x14ac:dyDescent="0.3">
      <c r="A6" s="2" t="s">
        <v>1756</v>
      </c>
      <c r="B6" s="12" t="s">
        <v>8</v>
      </c>
      <c r="C6" s="12">
        <v>10.9</v>
      </c>
      <c r="D6" s="2">
        <v>3.37</v>
      </c>
      <c r="E6" s="2">
        <f>FastenersPriceList34[[#This Row],[1000 PCS/WT.]]/1000</f>
        <v>3.3700000000000002E-3</v>
      </c>
      <c r="F6" s="2" t="s">
        <v>12</v>
      </c>
      <c r="G6" s="6" t="s">
        <v>1755</v>
      </c>
      <c r="H6" s="70">
        <v>50</v>
      </c>
      <c r="I6" s="72">
        <f>FastenersPriceList34[[#This Row],[Quantity (kg)]]/FastenersPriceList34[[#This Row],[SINGLE PC. WT.]]</f>
        <v>14836.795252225518</v>
      </c>
      <c r="J6" s="3">
        <v>135</v>
      </c>
      <c r="K6" s="3">
        <f>FastenersPriceList34[[#This Row],[1000 PCS/WT.]]*FastenersPriceList34[[#This Row],[Rate / PER kg (₹)]]</f>
        <v>454.95</v>
      </c>
      <c r="L6" s="4">
        <f>FastenersPriceList34[[#This Row],[Rate / PER kg (₹)]]*FastenersPriceList34[[#This Row],[Quantity (kg)]]</f>
        <v>6750</v>
      </c>
      <c r="M6" s="4">
        <f>FastenersPriceList34[[#This Row],[SINGLE PC. WT.]]*FastenersPriceList34[[#This Row],[Rate / PER kg (₹)]]</f>
        <v>0.45495000000000002</v>
      </c>
    </row>
    <row r="7" spans="1:13" ht="22.05" customHeight="1" x14ac:dyDescent="0.3">
      <c r="A7" s="2" t="s">
        <v>1757</v>
      </c>
      <c r="B7" s="12" t="s">
        <v>8</v>
      </c>
      <c r="C7" s="12">
        <v>10.9</v>
      </c>
      <c r="D7" s="2">
        <v>3.87</v>
      </c>
      <c r="E7" s="2">
        <f>FastenersPriceList34[[#This Row],[1000 PCS/WT.]]/1000</f>
        <v>3.8700000000000002E-3</v>
      </c>
      <c r="F7" s="2" t="s">
        <v>13</v>
      </c>
      <c r="G7" s="6" t="s">
        <v>1755</v>
      </c>
      <c r="H7" s="70">
        <v>50</v>
      </c>
      <c r="I7" s="72">
        <f>FastenersPriceList34[[#This Row],[Quantity (kg)]]/FastenersPriceList34[[#This Row],[SINGLE PC. WT.]]</f>
        <v>12919.896640826873</v>
      </c>
      <c r="J7" s="3">
        <v>135</v>
      </c>
      <c r="K7" s="3">
        <f>FastenersPriceList34[[#This Row],[1000 PCS/WT.]]*FastenersPriceList34[[#This Row],[Rate / PER kg (₹)]]</f>
        <v>522.45000000000005</v>
      </c>
      <c r="L7" s="4">
        <f>FastenersPriceList34[[#This Row],[Rate / PER kg (₹)]]*FastenersPriceList34[[#This Row],[Quantity (kg)]]</f>
        <v>6750</v>
      </c>
      <c r="M7" s="4">
        <f>FastenersPriceList34[[#This Row],[SINGLE PC. WT.]]*FastenersPriceList34[[#This Row],[Rate / PER kg (₹)]]</f>
        <v>0.52244999999999997</v>
      </c>
    </row>
    <row r="8" spans="1:13" ht="22.05" customHeight="1" x14ac:dyDescent="0.3">
      <c r="A8" s="2" t="s">
        <v>1758</v>
      </c>
      <c r="B8" s="12" t="s">
        <v>8</v>
      </c>
      <c r="C8" s="12">
        <v>10.9</v>
      </c>
      <c r="D8" s="2">
        <v>4.49</v>
      </c>
      <c r="E8" s="2">
        <f>FastenersPriceList34[[#This Row],[1000 PCS/WT.]]/1000</f>
        <v>4.4900000000000001E-3</v>
      </c>
      <c r="F8" s="2" t="s">
        <v>14</v>
      </c>
      <c r="G8" s="6" t="s">
        <v>1755</v>
      </c>
      <c r="H8" s="70">
        <v>50</v>
      </c>
      <c r="I8" s="72">
        <f>FastenersPriceList34[[#This Row],[Quantity (kg)]]/FastenersPriceList34[[#This Row],[SINGLE PC. WT.]]</f>
        <v>11135.8574610245</v>
      </c>
      <c r="J8" s="3">
        <v>135</v>
      </c>
      <c r="K8" s="3">
        <f>FastenersPriceList34[[#This Row],[1000 PCS/WT.]]*FastenersPriceList34[[#This Row],[Rate / PER kg (₹)]]</f>
        <v>606.15</v>
      </c>
      <c r="L8" s="4">
        <f>FastenersPriceList34[[#This Row],[Rate / PER kg (₹)]]*FastenersPriceList34[[#This Row],[Quantity (kg)]]</f>
        <v>6750</v>
      </c>
      <c r="M8" s="4">
        <f>FastenersPriceList34[[#This Row],[SINGLE PC. WT.]]*FastenersPriceList34[[#This Row],[Rate / PER kg (₹)]]</f>
        <v>0.60614999999999997</v>
      </c>
    </row>
    <row r="9" spans="1:13" ht="22.05" customHeight="1" x14ac:dyDescent="0.3">
      <c r="A9" s="2" t="s">
        <v>1759</v>
      </c>
      <c r="B9" s="12" t="s">
        <v>8</v>
      </c>
      <c r="C9" s="12">
        <v>10.9</v>
      </c>
      <c r="D9" s="2">
        <v>5.1100000000000003</v>
      </c>
      <c r="E9" s="2">
        <f>FastenersPriceList34[[#This Row],[1000 PCS/WT.]]/1000</f>
        <v>5.11E-3</v>
      </c>
      <c r="F9" s="2" t="s">
        <v>15</v>
      </c>
      <c r="G9" s="6" t="s">
        <v>1755</v>
      </c>
      <c r="H9" s="70">
        <v>50</v>
      </c>
      <c r="I9" s="72">
        <f>FastenersPriceList34[[#This Row],[Quantity (kg)]]/FastenersPriceList34[[#This Row],[SINGLE PC. WT.]]</f>
        <v>9784.7358121330726</v>
      </c>
      <c r="J9" s="3">
        <v>133</v>
      </c>
      <c r="K9" s="3">
        <f>FastenersPriceList34[[#This Row],[1000 PCS/WT.]]*FastenersPriceList34[[#This Row],[Rate / PER kg (₹)]]</f>
        <v>679.63</v>
      </c>
      <c r="L9" s="4">
        <f>FastenersPriceList34[[#This Row],[Rate / PER kg (₹)]]*FastenersPriceList34[[#This Row],[Quantity (kg)]]</f>
        <v>6650</v>
      </c>
      <c r="M9" s="4">
        <f>FastenersPriceList34[[#This Row],[SINGLE PC. WT.]]*FastenersPriceList34[[#This Row],[Rate / PER kg (₹)]]</f>
        <v>0.67962999999999996</v>
      </c>
    </row>
    <row r="10" spans="1:13" ht="22.05" customHeight="1" x14ac:dyDescent="0.3">
      <c r="A10" s="2" t="s">
        <v>1760</v>
      </c>
      <c r="B10" s="12" t="s">
        <v>8</v>
      </c>
      <c r="C10" s="12">
        <v>10.9</v>
      </c>
      <c r="D10" s="2">
        <v>5.73</v>
      </c>
      <c r="E10" s="2">
        <f>FastenersPriceList34[[#This Row],[1000 PCS/WT.]]/1000</f>
        <v>5.7300000000000007E-3</v>
      </c>
      <c r="F10" s="2" t="s">
        <v>16</v>
      </c>
      <c r="G10" s="6" t="s">
        <v>1755</v>
      </c>
      <c r="H10" s="70">
        <v>50</v>
      </c>
      <c r="I10" s="72">
        <f>FastenersPriceList34[[#This Row],[Quantity (kg)]]/FastenersPriceList34[[#This Row],[SINGLE PC. WT.]]</f>
        <v>8726.0034904013955</v>
      </c>
      <c r="J10" s="3">
        <v>133</v>
      </c>
      <c r="K10" s="3">
        <f>FastenersPriceList34[[#This Row],[1000 PCS/WT.]]*FastenersPriceList34[[#This Row],[Rate / PER kg (₹)]]</f>
        <v>762.09</v>
      </c>
      <c r="L10" s="4">
        <f>FastenersPriceList34[[#This Row],[Rate / PER kg (₹)]]*FastenersPriceList34[[#This Row],[Quantity (kg)]]</f>
        <v>6650</v>
      </c>
      <c r="M10" s="4">
        <f>FastenersPriceList34[[#This Row],[SINGLE PC. WT.]]*FastenersPriceList34[[#This Row],[Rate / PER kg (₹)]]</f>
        <v>0.76209000000000005</v>
      </c>
    </row>
    <row r="11" spans="1:13" ht="22.05" customHeight="1" x14ac:dyDescent="0.3">
      <c r="A11" s="2" t="s">
        <v>1761</v>
      </c>
      <c r="B11" s="12" t="s">
        <v>8</v>
      </c>
      <c r="C11" s="12">
        <v>10.9</v>
      </c>
      <c r="D11" s="2">
        <v>6.35</v>
      </c>
      <c r="E11" s="2">
        <f>FastenersPriceList34[[#This Row],[1000 PCS/WT.]]/1000</f>
        <v>6.3499999999999997E-3</v>
      </c>
      <c r="F11" s="2" t="s">
        <v>17</v>
      </c>
      <c r="G11" s="6" t="s">
        <v>1755</v>
      </c>
      <c r="H11" s="70">
        <v>50</v>
      </c>
      <c r="I11" s="72">
        <f>FastenersPriceList34[[#This Row],[Quantity (kg)]]/FastenersPriceList34[[#This Row],[SINGLE PC. WT.]]</f>
        <v>7874.0157480314965</v>
      </c>
      <c r="J11" s="3">
        <v>133</v>
      </c>
      <c r="K11" s="3">
        <f>FastenersPriceList34[[#This Row],[1000 PCS/WT.]]*FastenersPriceList34[[#This Row],[Rate / PER kg (₹)]]</f>
        <v>844.55</v>
      </c>
      <c r="L11" s="4">
        <f>FastenersPriceList34[[#This Row],[Rate / PER kg (₹)]]*FastenersPriceList34[[#This Row],[Quantity (kg)]]</f>
        <v>6650</v>
      </c>
      <c r="M11" s="4">
        <f>FastenersPriceList34[[#This Row],[SINGLE PC. WT.]]*FastenersPriceList34[[#This Row],[Rate / PER kg (₹)]]</f>
        <v>0.84454999999999991</v>
      </c>
    </row>
    <row r="12" spans="1:13" ht="22.05" customHeight="1" x14ac:dyDescent="0.3">
      <c r="A12" s="2" t="s">
        <v>1762</v>
      </c>
      <c r="B12" s="12" t="s">
        <v>8</v>
      </c>
      <c r="C12" s="12">
        <v>10.9</v>
      </c>
      <c r="D12" s="2">
        <v>6.99</v>
      </c>
      <c r="E12" s="2">
        <f>FastenersPriceList34[[#This Row],[1000 PCS/WT.]]/1000</f>
        <v>6.9900000000000006E-3</v>
      </c>
      <c r="F12" s="2" t="s">
        <v>18</v>
      </c>
      <c r="G12" s="6" t="s">
        <v>1755</v>
      </c>
      <c r="H12" s="70">
        <v>50</v>
      </c>
      <c r="I12" s="72">
        <f>FastenersPriceList34[[#This Row],[Quantity (kg)]]/FastenersPriceList34[[#This Row],[SINGLE PC. WT.]]</f>
        <v>7153.0758226037187</v>
      </c>
      <c r="J12" s="3">
        <v>133</v>
      </c>
      <c r="K12" s="3">
        <f>FastenersPriceList34[[#This Row],[1000 PCS/WT.]]*FastenersPriceList34[[#This Row],[Rate / PER kg (₹)]]</f>
        <v>929.67000000000007</v>
      </c>
      <c r="L12" s="4">
        <f>FastenersPriceList34[[#This Row],[Rate / PER kg (₹)]]*FastenersPriceList34[[#This Row],[Quantity (kg)]]</f>
        <v>6650</v>
      </c>
      <c r="M12" s="4">
        <f>FastenersPriceList34[[#This Row],[SINGLE PC. WT.]]*FastenersPriceList34[[#This Row],[Rate / PER kg (₹)]]</f>
        <v>0.92967000000000011</v>
      </c>
    </row>
    <row r="13" spans="1:13" ht="22.05" customHeight="1" x14ac:dyDescent="0.3">
      <c r="A13" s="2" t="s">
        <v>1763</v>
      </c>
      <c r="B13" s="12" t="s">
        <v>8</v>
      </c>
      <c r="C13" s="12">
        <v>10.9</v>
      </c>
      <c r="D13" s="2">
        <v>7.59</v>
      </c>
      <c r="E13" s="2">
        <f>FastenersPriceList34[[#This Row],[1000 PCS/WT.]]/1000</f>
        <v>7.5899999999999995E-3</v>
      </c>
      <c r="F13" s="2" t="s">
        <v>19</v>
      </c>
      <c r="G13" s="6" t="s">
        <v>1755</v>
      </c>
      <c r="H13" s="70">
        <v>50</v>
      </c>
      <c r="I13" s="72">
        <f>FastenersPriceList34[[#This Row],[Quantity (kg)]]/FastenersPriceList34[[#This Row],[SINGLE PC. WT.]]</f>
        <v>6587.6152832674579</v>
      </c>
      <c r="J13" s="3">
        <v>133</v>
      </c>
      <c r="K13" s="3">
        <f>FastenersPriceList34[[#This Row],[1000 PCS/WT.]]*FastenersPriceList34[[#This Row],[Rate / PER kg (₹)]]</f>
        <v>1009.47</v>
      </c>
      <c r="L13" s="4">
        <f>FastenersPriceList34[[#This Row],[Rate / PER kg (₹)]]*FastenersPriceList34[[#This Row],[Quantity (kg)]]</f>
        <v>6650</v>
      </c>
      <c r="M13" s="4">
        <f>FastenersPriceList34[[#This Row],[SINGLE PC. WT.]]*FastenersPriceList34[[#This Row],[Rate / PER kg (₹)]]</f>
        <v>1.0094699999999999</v>
      </c>
    </row>
    <row r="14" spans="1:13" ht="22.05" customHeight="1" x14ac:dyDescent="0.3">
      <c r="A14" s="2" t="s">
        <v>1764</v>
      </c>
      <c r="B14" s="12" t="s">
        <v>8</v>
      </c>
      <c r="C14" s="12">
        <v>10.9</v>
      </c>
      <c r="D14" s="2">
        <v>8.2100000000000009</v>
      </c>
      <c r="E14" s="2">
        <f>FastenersPriceList34[[#This Row],[1000 PCS/WT.]]/1000</f>
        <v>8.2100000000000003E-3</v>
      </c>
      <c r="F14" s="2" t="s">
        <v>20</v>
      </c>
      <c r="G14" s="6" t="s">
        <v>1755</v>
      </c>
      <c r="H14" s="70">
        <v>50</v>
      </c>
      <c r="I14" s="72">
        <f>FastenersPriceList34[[#This Row],[Quantity (kg)]]/FastenersPriceList34[[#This Row],[SINGLE PC. WT.]]</f>
        <v>6090.1339829476246</v>
      </c>
      <c r="J14" s="3">
        <v>131</v>
      </c>
      <c r="K14" s="3">
        <f>FastenersPriceList34[[#This Row],[1000 PCS/WT.]]*FastenersPriceList34[[#This Row],[Rate / PER kg (₹)]]</f>
        <v>1075.5100000000002</v>
      </c>
      <c r="L14" s="4">
        <f>FastenersPriceList34[[#This Row],[Rate / PER kg (₹)]]*FastenersPriceList34[[#This Row],[Quantity (kg)]]</f>
        <v>6550</v>
      </c>
      <c r="M14" s="4">
        <f>FastenersPriceList34[[#This Row],[SINGLE PC. WT.]]*FastenersPriceList34[[#This Row],[Rate / PER kg (₹)]]</f>
        <v>1.07551</v>
      </c>
    </row>
    <row r="15" spans="1:13" ht="22.05" customHeight="1" x14ac:dyDescent="0.3">
      <c r="A15" s="2" t="s">
        <v>1765</v>
      </c>
      <c r="B15" s="12" t="s">
        <v>8</v>
      </c>
      <c r="C15" s="12">
        <v>10.9</v>
      </c>
      <c r="D15" s="2">
        <v>8.83</v>
      </c>
      <c r="E15" s="2">
        <f>FastenersPriceList34[[#This Row],[1000 PCS/WT.]]/1000</f>
        <v>8.8299999999999993E-3</v>
      </c>
      <c r="F15" s="2" t="s">
        <v>21</v>
      </c>
      <c r="G15" s="6" t="s">
        <v>1755</v>
      </c>
      <c r="H15" s="70">
        <v>50</v>
      </c>
      <c r="I15" s="72">
        <f>FastenersPriceList34[[#This Row],[Quantity (kg)]]/FastenersPriceList34[[#This Row],[SINGLE PC. WT.]]</f>
        <v>5662.5141562853914</v>
      </c>
      <c r="J15" s="3">
        <v>131</v>
      </c>
      <c r="K15" s="3">
        <f>FastenersPriceList34[[#This Row],[1000 PCS/WT.]]*FastenersPriceList34[[#This Row],[Rate / PER kg (₹)]]</f>
        <v>1156.73</v>
      </c>
      <c r="L15" s="4">
        <f>FastenersPriceList34[[#This Row],[Rate / PER kg (₹)]]*FastenersPriceList34[[#This Row],[Quantity (kg)]]</f>
        <v>6550</v>
      </c>
      <c r="M15" s="4">
        <f>FastenersPriceList34[[#This Row],[SINGLE PC. WT.]]*FastenersPriceList34[[#This Row],[Rate / PER kg (₹)]]</f>
        <v>1.1567299999999998</v>
      </c>
    </row>
    <row r="16" spans="1:13" ht="22.05" customHeight="1" x14ac:dyDescent="0.3">
      <c r="A16" s="2" t="s">
        <v>1766</v>
      </c>
      <c r="B16" s="12" t="s">
        <v>8</v>
      </c>
      <c r="C16" s="12">
        <v>10.9</v>
      </c>
      <c r="D16" s="2">
        <v>9.4499999999999993</v>
      </c>
      <c r="E16" s="2">
        <f>FastenersPriceList34[[#This Row],[1000 PCS/WT.]]/1000</f>
        <v>9.4500000000000001E-3</v>
      </c>
      <c r="F16" s="2" t="s">
        <v>22</v>
      </c>
      <c r="G16" s="6" t="s">
        <v>1755</v>
      </c>
      <c r="H16" s="70">
        <v>50</v>
      </c>
      <c r="I16" s="72">
        <f>FastenersPriceList34[[#This Row],[Quantity (kg)]]/FastenersPriceList34[[#This Row],[SINGLE PC. WT.]]</f>
        <v>5291.0052910052909</v>
      </c>
      <c r="J16" s="3">
        <v>131</v>
      </c>
      <c r="K16" s="3">
        <f>FastenersPriceList34[[#This Row],[1000 PCS/WT.]]*FastenersPriceList34[[#This Row],[Rate / PER kg (₹)]]</f>
        <v>1237.9499999999998</v>
      </c>
      <c r="L16" s="4">
        <f>FastenersPriceList34[[#This Row],[Rate / PER kg (₹)]]*FastenersPriceList34[[#This Row],[Quantity (kg)]]</f>
        <v>6550</v>
      </c>
      <c r="M16" s="4">
        <f>FastenersPriceList34[[#This Row],[SINGLE PC. WT.]]*FastenersPriceList34[[#This Row],[Rate / PER kg (₹)]]</f>
        <v>1.2379500000000001</v>
      </c>
    </row>
    <row r="17" spans="1:13" ht="22.05" customHeight="1" x14ac:dyDescent="0.3">
      <c r="A17" s="2" t="s">
        <v>1767</v>
      </c>
      <c r="B17" s="12" t="s">
        <v>8</v>
      </c>
      <c r="C17" s="12">
        <v>10.9</v>
      </c>
      <c r="D17" s="2">
        <v>10.1</v>
      </c>
      <c r="E17" s="2">
        <f>FastenersPriceList34[[#This Row],[1000 PCS/WT.]]/1000</f>
        <v>1.01E-2</v>
      </c>
      <c r="F17" s="2" t="s">
        <v>23</v>
      </c>
      <c r="G17" s="6" t="s">
        <v>1755</v>
      </c>
      <c r="H17" s="70">
        <v>50</v>
      </c>
      <c r="I17" s="72">
        <f>FastenersPriceList34[[#This Row],[Quantity (kg)]]/FastenersPriceList34[[#This Row],[SINGLE PC. WT.]]</f>
        <v>4950.4950495049507</v>
      </c>
      <c r="J17" s="3">
        <v>130</v>
      </c>
      <c r="K17" s="3">
        <f>FastenersPriceList34[[#This Row],[1000 PCS/WT.]]*FastenersPriceList34[[#This Row],[Rate / PER kg (₹)]]</f>
        <v>1313</v>
      </c>
      <c r="L17" s="4">
        <f>FastenersPriceList34[[#This Row],[Rate / PER kg (₹)]]*FastenersPriceList34[[#This Row],[Quantity (kg)]]</f>
        <v>6500</v>
      </c>
      <c r="M17" s="4">
        <f>FastenersPriceList34[[#This Row],[SINGLE PC. WT.]]*FastenersPriceList34[[#This Row],[Rate / PER kg (₹)]]</f>
        <v>1.3129999999999999</v>
      </c>
    </row>
    <row r="18" spans="1:13" ht="22.05" customHeight="1" x14ac:dyDescent="0.3">
      <c r="A18" s="2" t="s">
        <v>1768</v>
      </c>
      <c r="B18" s="12" t="s">
        <v>8</v>
      </c>
      <c r="C18" s="12">
        <v>10.9</v>
      </c>
      <c r="D18" s="2">
        <v>10.7</v>
      </c>
      <c r="E18" s="2">
        <f>FastenersPriceList34[[#This Row],[1000 PCS/WT.]]/1000</f>
        <v>1.0699999999999999E-2</v>
      </c>
      <c r="F18" s="2" t="s">
        <v>24</v>
      </c>
      <c r="G18" s="6" t="s">
        <v>1755</v>
      </c>
      <c r="H18" s="70">
        <v>50</v>
      </c>
      <c r="I18" s="72">
        <f>FastenersPriceList34[[#This Row],[Quantity (kg)]]/FastenersPriceList34[[#This Row],[SINGLE PC. WT.]]</f>
        <v>4672.8971962616824</v>
      </c>
      <c r="J18" s="3">
        <v>130</v>
      </c>
      <c r="K18" s="3">
        <f>FastenersPriceList34[[#This Row],[1000 PCS/WT.]]*FastenersPriceList34[[#This Row],[Rate / PER kg (₹)]]</f>
        <v>1391</v>
      </c>
      <c r="L18" s="4">
        <f>FastenersPriceList34[[#This Row],[Rate / PER kg (₹)]]*FastenersPriceList34[[#This Row],[Quantity (kg)]]</f>
        <v>6500</v>
      </c>
      <c r="M18" s="4">
        <f>FastenersPriceList34[[#This Row],[SINGLE PC. WT.]]*FastenersPriceList34[[#This Row],[Rate / PER kg (₹)]]</f>
        <v>1.391</v>
      </c>
    </row>
    <row r="19" spans="1:13" ht="22.05" customHeight="1" x14ac:dyDescent="0.3">
      <c r="A19" s="2" t="s">
        <v>1769</v>
      </c>
      <c r="B19" s="12" t="s">
        <v>8</v>
      </c>
      <c r="C19" s="12">
        <v>10.9</v>
      </c>
      <c r="D19" s="2">
        <v>11.3</v>
      </c>
      <c r="E19" s="2">
        <f>FastenersPriceList34[[#This Row],[1000 PCS/WT.]]/1000</f>
        <v>1.1300000000000001E-2</v>
      </c>
      <c r="F19" s="2" t="s">
        <v>25</v>
      </c>
      <c r="G19" s="6" t="s">
        <v>1755</v>
      </c>
      <c r="H19" s="70">
        <v>50</v>
      </c>
      <c r="I19" s="72">
        <f>FastenersPriceList34[[#This Row],[Quantity (kg)]]/FastenersPriceList34[[#This Row],[SINGLE PC. WT.]]</f>
        <v>4424.7787610619462</v>
      </c>
      <c r="J19" s="3">
        <v>130</v>
      </c>
      <c r="K19" s="3">
        <f>FastenersPriceList34[[#This Row],[1000 PCS/WT.]]*FastenersPriceList34[[#This Row],[Rate / PER kg (₹)]]</f>
        <v>1469</v>
      </c>
      <c r="L19" s="4">
        <f>FastenersPriceList34[[#This Row],[Rate / PER kg (₹)]]*FastenersPriceList34[[#This Row],[Quantity (kg)]]</f>
        <v>6500</v>
      </c>
      <c r="M19" s="4">
        <f>FastenersPriceList34[[#This Row],[SINGLE PC. WT.]]*FastenersPriceList34[[#This Row],[Rate / PER kg (₹)]]</f>
        <v>1.4690000000000001</v>
      </c>
    </row>
    <row r="20" spans="1:13" ht="22.05" customHeight="1" x14ac:dyDescent="0.3">
      <c r="A20" s="2" t="s">
        <v>1770</v>
      </c>
      <c r="B20" s="12" t="s">
        <v>8</v>
      </c>
      <c r="C20" s="12">
        <v>10.9</v>
      </c>
      <c r="D20" s="2">
        <v>4.08</v>
      </c>
      <c r="E20" s="6">
        <f>FastenersPriceList34[[#This Row],[1000 PCS/WT.]]/1000</f>
        <v>4.0800000000000003E-3</v>
      </c>
      <c r="F20" s="6" t="s">
        <v>26</v>
      </c>
      <c r="G20" s="6" t="s">
        <v>1755</v>
      </c>
      <c r="H20" s="70">
        <v>50</v>
      </c>
      <c r="I20" s="72">
        <f>FastenersPriceList34[[#This Row],[Quantity (kg)]]/FastenersPriceList34[[#This Row],[SINGLE PC. WT.]]</f>
        <v>12254.901960784313</v>
      </c>
      <c r="J20" s="3">
        <v>135</v>
      </c>
      <c r="K20" s="3">
        <f>FastenersPriceList34[[#This Row],[1000 PCS/WT.]]*FastenersPriceList34[[#This Row],[Rate / PER kg (₹)]]</f>
        <v>550.79999999999995</v>
      </c>
      <c r="L20" s="4">
        <f>FastenersPriceList34[[#This Row],[Rate / PER kg (₹)]]*FastenersPriceList34[[#This Row],[Quantity (kg)]]</f>
        <v>6750</v>
      </c>
      <c r="M20" s="4">
        <f>FastenersPriceList34[[#This Row],[SINGLE PC. WT.]]*FastenersPriceList34[[#This Row],[Rate / PER kg (₹)]]</f>
        <v>0.55080000000000007</v>
      </c>
    </row>
    <row r="21" spans="1:13" ht="22.05" customHeight="1" x14ac:dyDescent="0.3">
      <c r="A21" s="2" t="s">
        <v>1771</v>
      </c>
      <c r="B21" s="12" t="s">
        <v>8</v>
      </c>
      <c r="C21" s="12">
        <v>10.9</v>
      </c>
      <c r="D21" s="2">
        <v>5.1100000000000003</v>
      </c>
      <c r="E21" s="2">
        <f>FastenersPriceList34[[#This Row],[1000 PCS/WT.]]/1000</f>
        <v>5.11E-3</v>
      </c>
      <c r="F21" s="2" t="s">
        <v>27</v>
      </c>
      <c r="G21" s="6" t="s">
        <v>1755</v>
      </c>
      <c r="H21" s="70">
        <v>50</v>
      </c>
      <c r="I21" s="72">
        <f>FastenersPriceList34[[#This Row],[Quantity (kg)]]/FastenersPriceList34[[#This Row],[SINGLE PC. WT.]]</f>
        <v>9784.7358121330726</v>
      </c>
      <c r="J21" s="3">
        <v>135</v>
      </c>
      <c r="K21" s="3">
        <f>FastenersPriceList34[[#This Row],[1000 PCS/WT.]]*FastenersPriceList34[[#This Row],[Rate / PER kg (₹)]]</f>
        <v>689.85</v>
      </c>
      <c r="L21" s="4">
        <f>FastenersPriceList34[[#This Row],[Rate / PER kg (₹)]]*FastenersPriceList34[[#This Row],[Quantity (kg)]]</f>
        <v>6750</v>
      </c>
      <c r="M21" s="4">
        <f>FastenersPriceList34[[#This Row],[SINGLE PC. WT.]]*FastenersPriceList34[[#This Row],[Rate / PER kg (₹)]]</f>
        <v>0.68984999999999996</v>
      </c>
    </row>
    <row r="22" spans="1:13" ht="22.05" customHeight="1" x14ac:dyDescent="0.3">
      <c r="A22" s="2" t="s">
        <v>1772</v>
      </c>
      <c r="B22" s="12" t="s">
        <v>8</v>
      </c>
      <c r="C22" s="12">
        <v>10.9</v>
      </c>
      <c r="D22" s="2">
        <v>5.8</v>
      </c>
      <c r="E22" s="2">
        <f>FastenersPriceList34[[#This Row],[1000 PCS/WT.]]/1000</f>
        <v>5.7999999999999996E-3</v>
      </c>
      <c r="F22" s="2" t="s">
        <v>28</v>
      </c>
      <c r="G22" s="6" t="s">
        <v>1755</v>
      </c>
      <c r="H22" s="70">
        <v>50</v>
      </c>
      <c r="I22" s="72">
        <f>FastenersPriceList34[[#This Row],[Quantity (kg)]]/FastenersPriceList34[[#This Row],[SINGLE PC. WT.]]</f>
        <v>8620.6896551724149</v>
      </c>
      <c r="J22" s="3">
        <v>135</v>
      </c>
      <c r="K22" s="3">
        <f>FastenersPriceList34[[#This Row],[1000 PCS/WT.]]*FastenersPriceList34[[#This Row],[Rate / PER kg (₹)]]</f>
        <v>783</v>
      </c>
      <c r="L22" s="4">
        <f>FastenersPriceList34[[#This Row],[Rate / PER kg (₹)]]*FastenersPriceList34[[#This Row],[Quantity (kg)]]</f>
        <v>6750</v>
      </c>
      <c r="M22" s="4">
        <f>FastenersPriceList34[[#This Row],[SINGLE PC. WT.]]*FastenersPriceList34[[#This Row],[Rate / PER kg (₹)]]</f>
        <v>0.78299999999999992</v>
      </c>
    </row>
    <row r="23" spans="1:13" ht="22.05" customHeight="1" x14ac:dyDescent="0.3">
      <c r="A23" s="2" t="s">
        <v>1773</v>
      </c>
      <c r="B23" s="12" t="s">
        <v>8</v>
      </c>
      <c r="C23" s="12">
        <v>10.9</v>
      </c>
      <c r="D23" s="2">
        <v>6.65</v>
      </c>
      <c r="E23" s="2">
        <f>FastenersPriceList34[[#This Row],[1000 PCS/WT.]]/1000</f>
        <v>6.6500000000000005E-3</v>
      </c>
      <c r="F23" s="2" t="s">
        <v>29</v>
      </c>
      <c r="G23" s="6" t="s">
        <v>1755</v>
      </c>
      <c r="H23" s="70">
        <v>50</v>
      </c>
      <c r="I23" s="72">
        <f>FastenersPriceList34[[#This Row],[Quantity (kg)]]/FastenersPriceList34[[#This Row],[SINGLE PC. WT.]]</f>
        <v>7518.7969924812023</v>
      </c>
      <c r="J23" s="3">
        <v>135</v>
      </c>
      <c r="K23" s="3">
        <f>FastenersPriceList34[[#This Row],[1000 PCS/WT.]]*FastenersPriceList34[[#This Row],[Rate / PER kg (₹)]]</f>
        <v>897.75</v>
      </c>
      <c r="L23" s="4">
        <f>FastenersPriceList34[[#This Row],[Rate / PER kg (₹)]]*FastenersPriceList34[[#This Row],[Quantity (kg)]]</f>
        <v>6750</v>
      </c>
      <c r="M23" s="4">
        <f>FastenersPriceList34[[#This Row],[SINGLE PC. WT.]]*FastenersPriceList34[[#This Row],[Rate / PER kg (₹)]]</f>
        <v>0.89775000000000005</v>
      </c>
    </row>
    <row r="24" spans="1:13" ht="22.05" customHeight="1" x14ac:dyDescent="0.3">
      <c r="A24" s="2" t="s">
        <v>1774</v>
      </c>
      <c r="B24" s="12" t="s">
        <v>8</v>
      </c>
      <c r="C24" s="12">
        <v>10.9</v>
      </c>
      <c r="D24" s="2">
        <v>7.78</v>
      </c>
      <c r="E24" s="2">
        <f>FastenersPriceList34[[#This Row],[1000 PCS/WT.]]/1000</f>
        <v>7.7800000000000005E-3</v>
      </c>
      <c r="F24" s="2" t="s">
        <v>30</v>
      </c>
      <c r="G24" s="6" t="s">
        <v>1755</v>
      </c>
      <c r="H24" s="70">
        <v>50</v>
      </c>
      <c r="I24" s="72">
        <f>FastenersPriceList34[[#This Row],[Quantity (kg)]]/FastenersPriceList34[[#This Row],[SINGLE PC. WT.]]</f>
        <v>6426.7352185089967</v>
      </c>
      <c r="J24" s="3">
        <v>133</v>
      </c>
      <c r="K24" s="3">
        <f>FastenersPriceList34[[#This Row],[1000 PCS/WT.]]*FastenersPriceList34[[#This Row],[Rate / PER kg (₹)]]</f>
        <v>1034.74</v>
      </c>
      <c r="L24" s="4">
        <f>FastenersPriceList34[[#This Row],[Rate / PER kg (₹)]]*FastenersPriceList34[[#This Row],[Quantity (kg)]]</f>
        <v>6650</v>
      </c>
      <c r="M24" s="4">
        <f>FastenersPriceList34[[#This Row],[SINGLE PC. WT.]]*FastenersPriceList34[[#This Row],[Rate / PER kg (₹)]]</f>
        <v>1.03474</v>
      </c>
    </row>
    <row r="25" spans="1:13" ht="22.05" customHeight="1" x14ac:dyDescent="0.3">
      <c r="A25" s="2" t="s">
        <v>1775</v>
      </c>
      <c r="B25" s="12" t="s">
        <v>8</v>
      </c>
      <c r="C25" s="12">
        <v>10.9</v>
      </c>
      <c r="D25" s="2">
        <v>8.91</v>
      </c>
      <c r="E25" s="2">
        <f>FastenersPriceList34[[#This Row],[1000 PCS/WT.]]/1000</f>
        <v>8.9099999999999995E-3</v>
      </c>
      <c r="F25" s="2" t="s">
        <v>31</v>
      </c>
      <c r="G25" s="6" t="s">
        <v>1755</v>
      </c>
      <c r="H25" s="70">
        <v>50</v>
      </c>
      <c r="I25" s="72">
        <f>FastenersPriceList34[[#This Row],[Quantity (kg)]]/FastenersPriceList34[[#This Row],[SINGLE PC. WT.]]</f>
        <v>5611.672278338945</v>
      </c>
      <c r="J25" s="3">
        <v>133</v>
      </c>
      <c r="K25" s="3">
        <f>FastenersPriceList34[[#This Row],[1000 PCS/WT.]]*FastenersPriceList34[[#This Row],[Rate / PER kg (₹)]]</f>
        <v>1185.03</v>
      </c>
      <c r="L25" s="4">
        <f>FastenersPriceList34[[#This Row],[Rate / PER kg (₹)]]*FastenersPriceList34[[#This Row],[Quantity (kg)]]</f>
        <v>6650</v>
      </c>
      <c r="M25" s="4">
        <f>FastenersPriceList34[[#This Row],[SINGLE PC. WT.]]*FastenersPriceList34[[#This Row],[Rate / PER kg (₹)]]</f>
        <v>1.18503</v>
      </c>
    </row>
    <row r="26" spans="1:13" ht="22.05" customHeight="1" x14ac:dyDescent="0.3">
      <c r="A26" s="2" t="s">
        <v>1776</v>
      </c>
      <c r="B26" s="12" t="s">
        <v>8</v>
      </c>
      <c r="C26" s="12">
        <v>10.9</v>
      </c>
      <c r="D26" s="2">
        <v>9.0399999999999991</v>
      </c>
      <c r="E26" s="2">
        <f>FastenersPriceList34[[#This Row],[1000 PCS/WT.]]/1000</f>
        <v>9.0399999999999994E-3</v>
      </c>
      <c r="F26" s="2" t="s">
        <v>32</v>
      </c>
      <c r="G26" s="6" t="s">
        <v>1755</v>
      </c>
      <c r="H26" s="70">
        <v>50</v>
      </c>
      <c r="I26" s="72">
        <f>FastenersPriceList34[[#This Row],[Quantity (kg)]]/FastenersPriceList34[[#This Row],[SINGLE PC. WT.]]</f>
        <v>5530.9734513274343</v>
      </c>
      <c r="J26" s="3">
        <v>133</v>
      </c>
      <c r="K26" s="3">
        <f>FastenersPriceList34[[#This Row],[1000 PCS/WT.]]*FastenersPriceList34[[#This Row],[Rate / PER kg (₹)]]</f>
        <v>1202.32</v>
      </c>
      <c r="L26" s="4">
        <f>FastenersPriceList34[[#This Row],[Rate / PER kg (₹)]]*FastenersPriceList34[[#This Row],[Quantity (kg)]]</f>
        <v>6650</v>
      </c>
      <c r="M26" s="4">
        <f>FastenersPriceList34[[#This Row],[SINGLE PC. WT.]]*FastenersPriceList34[[#This Row],[Rate / PER kg (₹)]]</f>
        <v>1.2023199999999998</v>
      </c>
    </row>
    <row r="27" spans="1:13" ht="22.05" customHeight="1" x14ac:dyDescent="0.3">
      <c r="A27" s="2" t="s">
        <v>1777</v>
      </c>
      <c r="B27" s="12" t="s">
        <v>8</v>
      </c>
      <c r="C27" s="12">
        <v>10.9</v>
      </c>
      <c r="D27" s="2">
        <v>10.17</v>
      </c>
      <c r="E27" s="2">
        <f>FastenersPriceList34[[#This Row],[1000 PCS/WT.]]/1000</f>
        <v>1.017E-2</v>
      </c>
      <c r="F27" s="2" t="s">
        <v>33</v>
      </c>
      <c r="G27" s="6" t="s">
        <v>1755</v>
      </c>
      <c r="H27" s="70">
        <v>50</v>
      </c>
      <c r="I27" s="72">
        <f>FastenersPriceList34[[#This Row],[Quantity (kg)]]/FastenersPriceList34[[#This Row],[SINGLE PC. WT.]]</f>
        <v>4916.420845624385</v>
      </c>
      <c r="J27" s="3">
        <v>133</v>
      </c>
      <c r="K27" s="3">
        <f>FastenersPriceList34[[#This Row],[1000 PCS/WT.]]*FastenersPriceList34[[#This Row],[Rate / PER kg (₹)]]</f>
        <v>1352.61</v>
      </c>
      <c r="L27" s="4">
        <f>FastenersPriceList34[[#This Row],[Rate / PER kg (₹)]]*FastenersPriceList34[[#This Row],[Quantity (kg)]]</f>
        <v>6650</v>
      </c>
      <c r="M27" s="4">
        <f>FastenersPriceList34[[#This Row],[SINGLE PC. WT.]]*FastenersPriceList34[[#This Row],[Rate / PER kg (₹)]]</f>
        <v>1.3526100000000001</v>
      </c>
    </row>
    <row r="28" spans="1:13" ht="22.05" customHeight="1" x14ac:dyDescent="0.3">
      <c r="A28" s="2" t="s">
        <v>1778</v>
      </c>
      <c r="B28" s="12" t="s">
        <v>8</v>
      </c>
      <c r="C28" s="12">
        <v>10.9</v>
      </c>
      <c r="D28" s="2">
        <v>11.3</v>
      </c>
      <c r="E28" s="2">
        <f>FastenersPriceList34[[#This Row],[1000 PCS/WT.]]/1000</f>
        <v>1.1300000000000001E-2</v>
      </c>
      <c r="F28" s="2" t="s">
        <v>34</v>
      </c>
      <c r="G28" s="6" t="s">
        <v>1755</v>
      </c>
      <c r="H28" s="70">
        <v>50</v>
      </c>
      <c r="I28" s="72">
        <f>FastenersPriceList34[[#This Row],[Quantity (kg)]]/FastenersPriceList34[[#This Row],[SINGLE PC. WT.]]</f>
        <v>4424.7787610619462</v>
      </c>
      <c r="J28" s="3">
        <v>133</v>
      </c>
      <c r="K28" s="3">
        <f>FastenersPriceList34[[#This Row],[1000 PCS/WT.]]*FastenersPriceList34[[#This Row],[Rate / PER kg (₹)]]</f>
        <v>1502.9</v>
      </c>
      <c r="L28" s="4">
        <f>FastenersPriceList34[[#This Row],[Rate / PER kg (₹)]]*FastenersPriceList34[[#This Row],[Quantity (kg)]]</f>
        <v>6650</v>
      </c>
      <c r="M28" s="4">
        <f>FastenersPriceList34[[#This Row],[SINGLE PC. WT.]]*FastenersPriceList34[[#This Row],[Rate / PER kg (₹)]]</f>
        <v>1.5029000000000001</v>
      </c>
    </row>
    <row r="29" spans="1:13" ht="22.05" customHeight="1" x14ac:dyDescent="0.3">
      <c r="A29" s="2" t="s">
        <v>1779</v>
      </c>
      <c r="B29" s="12" t="s">
        <v>8</v>
      </c>
      <c r="C29" s="12">
        <v>10.9</v>
      </c>
      <c r="D29" s="2">
        <v>12.4</v>
      </c>
      <c r="E29" s="2">
        <f>FastenersPriceList34[[#This Row],[1000 PCS/WT.]]/1000</f>
        <v>1.24E-2</v>
      </c>
      <c r="F29" s="2" t="s">
        <v>35</v>
      </c>
      <c r="G29" s="6" t="s">
        <v>1755</v>
      </c>
      <c r="H29" s="70">
        <v>50</v>
      </c>
      <c r="I29" s="72">
        <f>FastenersPriceList34[[#This Row],[Quantity (kg)]]/FastenersPriceList34[[#This Row],[SINGLE PC. WT.]]</f>
        <v>4032.2580645161293</v>
      </c>
      <c r="J29" s="3">
        <v>131</v>
      </c>
      <c r="K29" s="3">
        <f>FastenersPriceList34[[#This Row],[1000 PCS/WT.]]*FastenersPriceList34[[#This Row],[Rate / PER kg (₹)]]</f>
        <v>1624.4</v>
      </c>
      <c r="L29" s="4">
        <f>FastenersPriceList34[[#This Row],[Rate / PER kg (₹)]]*FastenersPriceList34[[#This Row],[Quantity (kg)]]</f>
        <v>6550</v>
      </c>
      <c r="M29" s="4">
        <f>FastenersPriceList34[[#This Row],[SINGLE PC. WT.]]*FastenersPriceList34[[#This Row],[Rate / PER kg (₹)]]</f>
        <v>1.6243999999999998</v>
      </c>
    </row>
    <row r="30" spans="1:13" ht="22.05" customHeight="1" x14ac:dyDescent="0.3">
      <c r="A30" s="2" t="s">
        <v>1780</v>
      </c>
      <c r="B30" s="12" t="s">
        <v>8</v>
      </c>
      <c r="C30" s="12">
        <v>10.9</v>
      </c>
      <c r="D30" s="2">
        <v>13.5</v>
      </c>
      <c r="E30" s="2">
        <f>FastenersPriceList34[[#This Row],[1000 PCS/WT.]]/1000</f>
        <v>1.35E-2</v>
      </c>
      <c r="F30" s="2" t="s">
        <v>36</v>
      </c>
      <c r="G30" s="6" t="s">
        <v>1755</v>
      </c>
      <c r="H30" s="70">
        <v>50</v>
      </c>
      <c r="I30" s="72">
        <f>FastenersPriceList34[[#This Row],[Quantity (kg)]]/FastenersPriceList34[[#This Row],[SINGLE PC. WT.]]</f>
        <v>3703.7037037037039</v>
      </c>
      <c r="J30" s="3">
        <v>131</v>
      </c>
      <c r="K30" s="3">
        <f>FastenersPriceList34[[#This Row],[1000 PCS/WT.]]*FastenersPriceList34[[#This Row],[Rate / PER kg (₹)]]</f>
        <v>1768.5</v>
      </c>
      <c r="L30" s="4">
        <f>FastenersPriceList34[[#This Row],[Rate / PER kg (₹)]]*FastenersPriceList34[[#This Row],[Quantity (kg)]]</f>
        <v>6550</v>
      </c>
      <c r="M30" s="4">
        <f>FastenersPriceList34[[#This Row],[SINGLE PC. WT.]]*FastenersPriceList34[[#This Row],[Rate / PER kg (₹)]]</f>
        <v>1.7685</v>
      </c>
    </row>
    <row r="31" spans="1:13" ht="22.05" customHeight="1" x14ac:dyDescent="0.3">
      <c r="A31" s="2" t="s">
        <v>1781</v>
      </c>
      <c r="B31" s="12" t="s">
        <v>8</v>
      </c>
      <c r="C31" s="12">
        <v>10.9</v>
      </c>
      <c r="D31" s="2">
        <v>14.6</v>
      </c>
      <c r="E31" s="2">
        <f>FastenersPriceList34[[#This Row],[1000 PCS/WT.]]/1000</f>
        <v>1.46E-2</v>
      </c>
      <c r="F31" s="2" t="s">
        <v>37</v>
      </c>
      <c r="G31" s="6" t="s">
        <v>1755</v>
      </c>
      <c r="H31" s="70">
        <v>50</v>
      </c>
      <c r="I31" s="72">
        <f>FastenersPriceList34[[#This Row],[Quantity (kg)]]/FastenersPriceList34[[#This Row],[SINGLE PC. WT.]]</f>
        <v>3424.6575342465753</v>
      </c>
      <c r="J31" s="3">
        <v>131</v>
      </c>
      <c r="K31" s="3">
        <f>FastenersPriceList34[[#This Row],[1000 PCS/WT.]]*FastenersPriceList34[[#This Row],[Rate / PER kg (₹)]]</f>
        <v>1912.6</v>
      </c>
      <c r="L31" s="4">
        <f>FastenersPriceList34[[#This Row],[Rate / PER kg (₹)]]*FastenersPriceList34[[#This Row],[Quantity (kg)]]</f>
        <v>6550</v>
      </c>
      <c r="M31" s="4">
        <f>FastenersPriceList34[[#This Row],[SINGLE PC. WT.]]*FastenersPriceList34[[#This Row],[Rate / PER kg (₹)]]</f>
        <v>1.9126000000000001</v>
      </c>
    </row>
    <row r="32" spans="1:13" ht="22.05" customHeight="1" x14ac:dyDescent="0.3">
      <c r="A32" s="2" t="s">
        <v>1782</v>
      </c>
      <c r="B32" s="12" t="s">
        <v>8</v>
      </c>
      <c r="C32" s="12">
        <v>10.9</v>
      </c>
      <c r="D32" s="2">
        <v>15.7</v>
      </c>
      <c r="E32" s="2">
        <f>FastenersPriceList34[[#This Row],[1000 PCS/WT.]]/1000</f>
        <v>1.5699999999999999E-2</v>
      </c>
      <c r="F32" s="2" t="s">
        <v>38</v>
      </c>
      <c r="G32" s="6" t="s">
        <v>1755</v>
      </c>
      <c r="H32" s="70">
        <v>50</v>
      </c>
      <c r="I32" s="72">
        <f>FastenersPriceList34[[#This Row],[Quantity (kg)]]/FastenersPriceList34[[#This Row],[SINGLE PC. WT.]]</f>
        <v>3184.7133757961788</v>
      </c>
      <c r="J32" s="3">
        <v>135</v>
      </c>
      <c r="K32" s="3">
        <f>FastenersPriceList34[[#This Row],[1000 PCS/WT.]]*FastenersPriceList34[[#This Row],[Rate / PER kg (₹)]]</f>
        <v>2119.5</v>
      </c>
      <c r="L32" s="4">
        <f>FastenersPriceList34[[#This Row],[Rate / PER kg (₹)]]*FastenersPriceList34[[#This Row],[Quantity (kg)]]</f>
        <v>6750</v>
      </c>
      <c r="M32" s="4">
        <f>FastenersPriceList34[[#This Row],[SINGLE PC. WT.]]*FastenersPriceList34[[#This Row],[Rate / PER kg (₹)]]</f>
        <v>2.1194999999999999</v>
      </c>
    </row>
    <row r="33" spans="1:13" ht="22.05" customHeight="1" x14ac:dyDescent="0.3">
      <c r="A33" s="2" t="s">
        <v>1783</v>
      </c>
      <c r="B33" s="12" t="s">
        <v>8</v>
      </c>
      <c r="C33" s="12">
        <v>10.9</v>
      </c>
      <c r="D33" s="2">
        <v>16.8</v>
      </c>
      <c r="E33" s="2">
        <f>FastenersPriceList34[[#This Row],[1000 PCS/WT.]]/1000</f>
        <v>1.6800000000000002E-2</v>
      </c>
      <c r="F33" s="2" t="s">
        <v>39</v>
      </c>
      <c r="G33" s="6" t="s">
        <v>1755</v>
      </c>
      <c r="H33" s="70">
        <v>50</v>
      </c>
      <c r="I33" s="72">
        <f>FastenersPriceList34[[#This Row],[Quantity (kg)]]/FastenersPriceList34[[#This Row],[SINGLE PC. WT.]]</f>
        <v>2976.1904761904757</v>
      </c>
      <c r="J33" s="3">
        <v>135</v>
      </c>
      <c r="K33" s="3">
        <f>FastenersPriceList34[[#This Row],[1000 PCS/WT.]]*FastenersPriceList34[[#This Row],[Rate / PER kg (₹)]]</f>
        <v>2268</v>
      </c>
      <c r="L33" s="4">
        <f>FastenersPriceList34[[#This Row],[Rate / PER kg (₹)]]*FastenersPriceList34[[#This Row],[Quantity (kg)]]</f>
        <v>6750</v>
      </c>
      <c r="M33" s="4">
        <f>FastenersPriceList34[[#This Row],[SINGLE PC. WT.]]*FastenersPriceList34[[#This Row],[Rate / PER kg (₹)]]</f>
        <v>2.2680000000000002</v>
      </c>
    </row>
    <row r="34" spans="1:13" ht="22.05" customHeight="1" x14ac:dyDescent="0.3">
      <c r="A34" s="2" t="s">
        <v>1784</v>
      </c>
      <c r="B34" s="12" t="s">
        <v>8</v>
      </c>
      <c r="C34" s="12">
        <v>10.9</v>
      </c>
      <c r="D34" s="2">
        <v>18</v>
      </c>
      <c r="E34" s="2">
        <f>FastenersPriceList34[[#This Row],[1000 PCS/WT.]]/1000</f>
        <v>1.7999999999999999E-2</v>
      </c>
      <c r="F34" s="2" t="s">
        <v>40</v>
      </c>
      <c r="G34" s="6" t="s">
        <v>1755</v>
      </c>
      <c r="H34" s="70">
        <v>50</v>
      </c>
      <c r="I34" s="72">
        <f>FastenersPriceList34[[#This Row],[Quantity (kg)]]/FastenersPriceList34[[#This Row],[SINGLE PC. WT.]]</f>
        <v>2777.7777777777778</v>
      </c>
      <c r="J34" s="3">
        <v>135</v>
      </c>
      <c r="K34" s="3">
        <f>FastenersPriceList34[[#This Row],[1000 PCS/WT.]]*FastenersPriceList34[[#This Row],[Rate / PER kg (₹)]]</f>
        <v>2430</v>
      </c>
      <c r="L34" s="4">
        <f>FastenersPriceList34[[#This Row],[Rate / PER kg (₹)]]*FastenersPriceList34[[#This Row],[Quantity (kg)]]</f>
        <v>6750</v>
      </c>
      <c r="M34" s="4">
        <f>FastenersPriceList34[[#This Row],[SINGLE PC. WT.]]*FastenersPriceList34[[#This Row],[Rate / PER kg (₹)]]</f>
        <v>2.4299999999999997</v>
      </c>
    </row>
    <row r="35" spans="1:13" ht="22.05" customHeight="1" x14ac:dyDescent="0.3">
      <c r="A35" s="2" t="s">
        <v>1785</v>
      </c>
      <c r="B35" s="12" t="s">
        <v>8</v>
      </c>
      <c r="C35" s="12">
        <v>10.9</v>
      </c>
      <c r="D35" s="2">
        <v>11.1</v>
      </c>
      <c r="E35" s="2">
        <f>FastenersPriceList34[[#This Row],[1000 PCS/WT.]]/1000</f>
        <v>1.11E-2</v>
      </c>
      <c r="F35" s="2" t="s">
        <v>41</v>
      </c>
      <c r="G35" s="6" t="s">
        <v>1755</v>
      </c>
      <c r="H35" s="70">
        <v>50</v>
      </c>
      <c r="I35" s="72">
        <f>FastenersPriceList34[[#This Row],[Quantity (kg)]]/FastenersPriceList34[[#This Row],[SINGLE PC. WT.]]</f>
        <v>4504.5045045045044</v>
      </c>
      <c r="J35" s="3">
        <v>125</v>
      </c>
      <c r="K35" s="3">
        <f>FastenersPriceList34[[#This Row],[1000 PCS/WT.]]*FastenersPriceList34[[#This Row],[Rate / PER kg (₹)]]</f>
        <v>1387.5</v>
      </c>
      <c r="L35" s="4">
        <f>FastenersPriceList34[[#This Row],[Rate / PER kg (₹)]]*FastenersPriceList34[[#This Row],[Quantity (kg)]]</f>
        <v>6250</v>
      </c>
      <c r="M35" s="4">
        <f>FastenersPriceList34[[#This Row],[SINGLE PC. WT.]]*FastenersPriceList34[[#This Row],[Rate / PER kg (₹)]]</f>
        <v>1.3875</v>
      </c>
    </row>
    <row r="36" spans="1:13" ht="22.05" customHeight="1" x14ac:dyDescent="0.3">
      <c r="A36" s="2" t="s">
        <v>1786</v>
      </c>
      <c r="B36" s="12" t="s">
        <v>8</v>
      </c>
      <c r="C36" s="12">
        <v>10.9</v>
      </c>
      <c r="D36" s="2">
        <v>12.4</v>
      </c>
      <c r="E36" s="2">
        <f>FastenersPriceList34[[#This Row],[1000 PCS/WT.]]/1000</f>
        <v>1.24E-2</v>
      </c>
      <c r="F36" s="2" t="s">
        <v>42</v>
      </c>
      <c r="G36" s="6" t="s">
        <v>1755</v>
      </c>
      <c r="H36" s="70">
        <v>50</v>
      </c>
      <c r="I36" s="72">
        <f>FastenersPriceList34[[#This Row],[Quantity (kg)]]/FastenersPriceList34[[#This Row],[SINGLE PC. WT.]]</f>
        <v>4032.2580645161293</v>
      </c>
      <c r="J36" s="3">
        <v>125</v>
      </c>
      <c r="K36" s="3">
        <f>FastenersPriceList34[[#This Row],[1000 PCS/WT.]]*FastenersPriceList34[[#This Row],[Rate / PER kg (₹)]]</f>
        <v>1550</v>
      </c>
      <c r="L36" s="4">
        <f>FastenersPriceList34[[#This Row],[Rate / PER kg (₹)]]*FastenersPriceList34[[#This Row],[Quantity (kg)]]</f>
        <v>6250</v>
      </c>
      <c r="M36" s="4">
        <f>FastenersPriceList34[[#This Row],[SINGLE PC. WT.]]*FastenersPriceList34[[#This Row],[Rate / PER kg (₹)]]</f>
        <v>1.55</v>
      </c>
    </row>
    <row r="37" spans="1:13" ht="22.05" customHeight="1" x14ac:dyDescent="0.3">
      <c r="A37" s="2" t="s">
        <v>1787</v>
      </c>
      <c r="B37" s="12" t="s">
        <v>8</v>
      </c>
      <c r="C37" s="12">
        <v>10.9</v>
      </c>
      <c r="D37" s="2">
        <v>14.1</v>
      </c>
      <c r="E37" s="2">
        <f>FastenersPriceList34[[#This Row],[1000 PCS/WT.]]/1000</f>
        <v>1.41E-2</v>
      </c>
      <c r="F37" s="2" t="s">
        <v>43</v>
      </c>
      <c r="G37" s="6" t="s">
        <v>1755</v>
      </c>
      <c r="H37" s="70">
        <v>50</v>
      </c>
      <c r="I37" s="72">
        <f>FastenersPriceList34[[#This Row],[Quantity (kg)]]/FastenersPriceList34[[#This Row],[SINGLE PC. WT.]]</f>
        <v>3546.0992907801419</v>
      </c>
      <c r="J37" s="3">
        <v>125</v>
      </c>
      <c r="K37" s="3">
        <f>FastenersPriceList34[[#This Row],[1000 PCS/WT.]]*FastenersPriceList34[[#This Row],[Rate / PER kg (₹)]]</f>
        <v>1762.5</v>
      </c>
      <c r="L37" s="4">
        <f>FastenersPriceList34[[#This Row],[Rate / PER kg (₹)]]*FastenersPriceList34[[#This Row],[Quantity (kg)]]</f>
        <v>6250</v>
      </c>
      <c r="M37" s="4">
        <f>FastenersPriceList34[[#This Row],[SINGLE PC. WT.]]*FastenersPriceList34[[#This Row],[Rate / PER kg (₹)]]</f>
        <v>1.7625</v>
      </c>
    </row>
    <row r="38" spans="1:13" ht="22.05" customHeight="1" x14ac:dyDescent="0.3">
      <c r="A38" s="2" t="s">
        <v>1788</v>
      </c>
      <c r="B38" s="12" t="s">
        <v>8</v>
      </c>
      <c r="C38" s="12">
        <v>10.9</v>
      </c>
      <c r="D38" s="2">
        <v>15.7</v>
      </c>
      <c r="E38" s="2">
        <f>FastenersPriceList34[[#This Row],[1000 PCS/WT.]]/1000</f>
        <v>1.5699999999999999E-2</v>
      </c>
      <c r="F38" s="2" t="s">
        <v>44</v>
      </c>
      <c r="G38" s="6" t="s">
        <v>1755</v>
      </c>
      <c r="H38" s="70">
        <v>50</v>
      </c>
      <c r="I38" s="72">
        <f>FastenersPriceList34[[#This Row],[Quantity (kg)]]/FastenersPriceList34[[#This Row],[SINGLE PC. WT.]]</f>
        <v>3184.7133757961788</v>
      </c>
      <c r="J38" s="3">
        <v>125</v>
      </c>
      <c r="K38" s="3">
        <f>FastenersPriceList34[[#This Row],[1000 PCS/WT.]]*FastenersPriceList34[[#This Row],[Rate / PER kg (₹)]]</f>
        <v>1962.5</v>
      </c>
      <c r="L38" s="4">
        <f>FastenersPriceList34[[#This Row],[Rate / PER kg (₹)]]*FastenersPriceList34[[#This Row],[Quantity (kg)]]</f>
        <v>6250</v>
      </c>
      <c r="M38" s="4">
        <f>FastenersPriceList34[[#This Row],[SINGLE PC. WT.]]*FastenersPriceList34[[#This Row],[Rate / PER kg (₹)]]</f>
        <v>1.9624999999999999</v>
      </c>
    </row>
    <row r="39" spans="1:13" ht="22.05" customHeight="1" x14ac:dyDescent="0.3">
      <c r="A39" s="2" t="s">
        <v>1789</v>
      </c>
      <c r="B39" s="12" t="s">
        <v>8</v>
      </c>
      <c r="C39" s="12">
        <v>10.9</v>
      </c>
      <c r="D39" s="2">
        <v>17.7</v>
      </c>
      <c r="E39" s="2">
        <f>FastenersPriceList34[[#This Row],[1000 PCS/WT.]]/1000</f>
        <v>1.77E-2</v>
      </c>
      <c r="F39" s="2" t="s">
        <v>45</v>
      </c>
      <c r="G39" s="6" t="s">
        <v>1755</v>
      </c>
      <c r="H39" s="70">
        <v>50</v>
      </c>
      <c r="I39" s="72">
        <f>FastenersPriceList34[[#This Row],[Quantity (kg)]]/FastenersPriceList34[[#This Row],[SINGLE PC. WT.]]</f>
        <v>2824.8587570621467</v>
      </c>
      <c r="J39" s="3">
        <v>125</v>
      </c>
      <c r="K39" s="3">
        <f>FastenersPriceList34[[#This Row],[1000 PCS/WT.]]*FastenersPriceList34[[#This Row],[Rate / PER kg (₹)]]</f>
        <v>2212.5</v>
      </c>
      <c r="L39" s="4">
        <f>FastenersPriceList34[[#This Row],[Rate / PER kg (₹)]]*FastenersPriceList34[[#This Row],[Quantity (kg)]]</f>
        <v>6250</v>
      </c>
      <c r="M39" s="4">
        <f>FastenersPriceList34[[#This Row],[SINGLE PC. WT.]]*FastenersPriceList34[[#This Row],[Rate / PER kg (₹)]]</f>
        <v>2.2124999999999999</v>
      </c>
    </row>
    <row r="40" spans="1:13" ht="22.05" customHeight="1" x14ac:dyDescent="0.3">
      <c r="A40" s="2" t="s">
        <v>1790</v>
      </c>
      <c r="B40" s="12" t="s">
        <v>8</v>
      </c>
      <c r="C40" s="12">
        <v>10.9</v>
      </c>
      <c r="D40" s="2">
        <v>19.7</v>
      </c>
      <c r="E40" s="2">
        <f>FastenersPriceList34[[#This Row],[1000 PCS/WT.]]/1000</f>
        <v>1.9699999999999999E-2</v>
      </c>
      <c r="F40" s="2" t="s">
        <v>46</v>
      </c>
      <c r="G40" s="6" t="s">
        <v>1755</v>
      </c>
      <c r="H40" s="70">
        <v>50</v>
      </c>
      <c r="I40" s="72">
        <f>FastenersPriceList34[[#This Row],[Quantity (kg)]]/FastenersPriceList34[[#This Row],[SINGLE PC. WT.]]</f>
        <v>2538.0710659898477</v>
      </c>
      <c r="J40" s="3">
        <v>125</v>
      </c>
      <c r="K40" s="3">
        <f>FastenersPriceList34[[#This Row],[1000 PCS/WT.]]*FastenersPriceList34[[#This Row],[Rate / PER kg (₹)]]</f>
        <v>2462.5</v>
      </c>
      <c r="L40" s="4">
        <f>FastenersPriceList34[[#This Row],[Rate / PER kg (₹)]]*FastenersPriceList34[[#This Row],[Quantity (kg)]]</f>
        <v>6250</v>
      </c>
      <c r="M40" s="4">
        <f>FastenersPriceList34[[#This Row],[SINGLE PC. WT.]]*FastenersPriceList34[[#This Row],[Rate / PER kg (₹)]]</f>
        <v>2.4624999999999999</v>
      </c>
    </row>
    <row r="41" spans="1:13" ht="22.05" customHeight="1" x14ac:dyDescent="0.3">
      <c r="A41" s="2" t="s">
        <v>1791</v>
      </c>
      <c r="B41" s="12" t="s">
        <v>8</v>
      </c>
      <c r="C41" s="12">
        <v>10.9</v>
      </c>
      <c r="D41" s="2">
        <v>21.7</v>
      </c>
      <c r="E41" s="2">
        <f>FastenersPriceList34[[#This Row],[1000 PCS/WT.]]/1000</f>
        <v>2.1700000000000001E-2</v>
      </c>
      <c r="F41" s="2" t="s">
        <v>47</v>
      </c>
      <c r="G41" s="6" t="s">
        <v>1755</v>
      </c>
      <c r="H41" s="70">
        <v>50</v>
      </c>
      <c r="I41" s="72">
        <f>FastenersPriceList34[[#This Row],[Quantity (kg)]]/FastenersPriceList34[[#This Row],[SINGLE PC. WT.]]</f>
        <v>2304.147465437788</v>
      </c>
      <c r="J41" s="3">
        <v>125</v>
      </c>
      <c r="K41" s="3">
        <f>FastenersPriceList34[[#This Row],[1000 PCS/WT.]]*FastenersPriceList34[[#This Row],[Rate / PER kg (₹)]]</f>
        <v>2712.5</v>
      </c>
      <c r="L41" s="4">
        <f>FastenersPriceList34[[#This Row],[Rate / PER kg (₹)]]*FastenersPriceList34[[#This Row],[Quantity (kg)]]</f>
        <v>6250</v>
      </c>
      <c r="M41" s="4">
        <f>FastenersPriceList34[[#This Row],[SINGLE PC. WT.]]*FastenersPriceList34[[#This Row],[Rate / PER kg (₹)]]</f>
        <v>2.7124999999999999</v>
      </c>
    </row>
    <row r="42" spans="1:13" ht="22.05" customHeight="1" x14ac:dyDescent="0.3">
      <c r="A42" s="2" t="s">
        <v>1792</v>
      </c>
      <c r="B42" s="12" t="s">
        <v>8</v>
      </c>
      <c r="C42" s="12">
        <v>10.9</v>
      </c>
      <c r="D42" s="2">
        <v>23.7</v>
      </c>
      <c r="E42" s="2">
        <f>FastenersPriceList34[[#This Row],[1000 PCS/WT.]]/1000</f>
        <v>2.3699999999999999E-2</v>
      </c>
      <c r="F42" s="2" t="s">
        <v>48</v>
      </c>
      <c r="G42" s="6" t="s">
        <v>1755</v>
      </c>
      <c r="H42" s="70">
        <v>50</v>
      </c>
      <c r="I42" s="72">
        <f>FastenersPriceList34[[#This Row],[Quantity (kg)]]/FastenersPriceList34[[#This Row],[SINGLE PC. WT.]]</f>
        <v>2109.7046413502112</v>
      </c>
      <c r="J42" s="3">
        <v>125</v>
      </c>
      <c r="K42" s="3">
        <f>FastenersPriceList34[[#This Row],[1000 PCS/WT.]]*FastenersPriceList34[[#This Row],[Rate / PER kg (₹)]]</f>
        <v>2962.5</v>
      </c>
      <c r="L42" s="4">
        <f>FastenersPriceList34[[#This Row],[Rate / PER kg (₹)]]*FastenersPriceList34[[#This Row],[Quantity (kg)]]</f>
        <v>6250</v>
      </c>
      <c r="M42" s="4">
        <f>FastenersPriceList34[[#This Row],[SINGLE PC. WT.]]*FastenersPriceList34[[#This Row],[Rate / PER kg (₹)]]</f>
        <v>2.9624999999999999</v>
      </c>
    </row>
    <row r="43" spans="1:13" ht="22.05" customHeight="1" x14ac:dyDescent="0.3">
      <c r="A43" s="2" t="s">
        <v>1793</v>
      </c>
      <c r="B43" s="12" t="s">
        <v>8</v>
      </c>
      <c r="C43" s="12">
        <v>10.9</v>
      </c>
      <c r="D43" s="2">
        <v>25.7</v>
      </c>
      <c r="E43" s="2">
        <f>FastenersPriceList34[[#This Row],[1000 PCS/WT.]]/1000</f>
        <v>2.5700000000000001E-2</v>
      </c>
      <c r="F43" s="2" t="s">
        <v>49</v>
      </c>
      <c r="G43" s="6" t="s">
        <v>1755</v>
      </c>
      <c r="H43" s="70">
        <v>50</v>
      </c>
      <c r="I43" s="72">
        <f>FastenersPriceList34[[#This Row],[Quantity (kg)]]/FastenersPriceList34[[#This Row],[SINGLE PC. WT.]]</f>
        <v>1945.5252918287938</v>
      </c>
      <c r="J43" s="3">
        <v>123</v>
      </c>
      <c r="K43" s="3">
        <f>FastenersPriceList34[[#This Row],[1000 PCS/WT.]]*FastenersPriceList34[[#This Row],[Rate / PER kg (₹)]]</f>
        <v>3161.1</v>
      </c>
      <c r="L43" s="4">
        <f>FastenersPriceList34[[#This Row],[Rate / PER kg (₹)]]*FastenersPriceList34[[#This Row],[Quantity (kg)]]</f>
        <v>6150</v>
      </c>
      <c r="M43" s="4">
        <f>FastenersPriceList34[[#This Row],[SINGLE PC. WT.]]*FastenersPriceList34[[#This Row],[Rate / PER kg (₹)]]</f>
        <v>3.1611000000000002</v>
      </c>
    </row>
    <row r="44" spans="1:13" ht="22.05" customHeight="1" x14ac:dyDescent="0.3">
      <c r="A44" s="2" t="s">
        <v>1794</v>
      </c>
      <c r="B44" s="12" t="s">
        <v>8</v>
      </c>
      <c r="C44" s="12">
        <v>10.9</v>
      </c>
      <c r="D44" s="2">
        <v>27.7</v>
      </c>
      <c r="E44" s="2">
        <f>FastenersPriceList34[[#This Row],[1000 PCS/WT.]]/1000</f>
        <v>2.7699999999999999E-2</v>
      </c>
      <c r="F44" s="2" t="s">
        <v>50</v>
      </c>
      <c r="G44" s="6" t="s">
        <v>1755</v>
      </c>
      <c r="H44" s="70">
        <v>50</v>
      </c>
      <c r="I44" s="72">
        <f>FastenersPriceList34[[#This Row],[Quantity (kg)]]/FastenersPriceList34[[#This Row],[SINGLE PC. WT.]]</f>
        <v>1805.0541516245487</v>
      </c>
      <c r="J44" s="3">
        <v>123</v>
      </c>
      <c r="K44" s="3">
        <f>FastenersPriceList34[[#This Row],[1000 PCS/WT.]]*FastenersPriceList34[[#This Row],[Rate / PER kg (₹)]]</f>
        <v>3407.1</v>
      </c>
      <c r="L44" s="4">
        <f>FastenersPriceList34[[#This Row],[Rate / PER kg (₹)]]*FastenersPriceList34[[#This Row],[Quantity (kg)]]</f>
        <v>6150</v>
      </c>
      <c r="M44" s="4">
        <f>FastenersPriceList34[[#This Row],[SINGLE PC. WT.]]*FastenersPriceList34[[#This Row],[Rate / PER kg (₹)]]</f>
        <v>3.4070999999999998</v>
      </c>
    </row>
    <row r="45" spans="1:13" ht="22.05" customHeight="1" x14ac:dyDescent="0.3">
      <c r="A45" s="2" t="s">
        <v>1795</v>
      </c>
      <c r="B45" s="12" t="s">
        <v>8</v>
      </c>
      <c r="C45" s="12">
        <v>10.9</v>
      </c>
      <c r="D45" s="2">
        <v>29.7</v>
      </c>
      <c r="E45" s="2">
        <f>FastenersPriceList34[[#This Row],[1000 PCS/WT.]]/1000</f>
        <v>2.9700000000000001E-2</v>
      </c>
      <c r="F45" s="2" t="s">
        <v>51</v>
      </c>
      <c r="G45" s="6" t="s">
        <v>1755</v>
      </c>
      <c r="H45" s="70">
        <v>50</v>
      </c>
      <c r="I45" s="72">
        <f>FastenersPriceList34[[#This Row],[Quantity (kg)]]/FastenersPriceList34[[#This Row],[SINGLE PC. WT.]]</f>
        <v>1683.5016835016834</v>
      </c>
      <c r="J45" s="3">
        <v>123</v>
      </c>
      <c r="K45" s="3">
        <f>FastenersPriceList34[[#This Row],[1000 PCS/WT.]]*FastenersPriceList34[[#This Row],[Rate / PER kg (₹)]]</f>
        <v>3653.1</v>
      </c>
      <c r="L45" s="4">
        <f>FastenersPriceList34[[#This Row],[Rate / PER kg (₹)]]*FastenersPriceList34[[#This Row],[Quantity (kg)]]</f>
        <v>6150</v>
      </c>
      <c r="M45" s="4">
        <f>FastenersPriceList34[[#This Row],[SINGLE PC. WT.]]*FastenersPriceList34[[#This Row],[Rate / PER kg (₹)]]</f>
        <v>3.6531000000000002</v>
      </c>
    </row>
    <row r="46" spans="1:13" ht="22.05" customHeight="1" x14ac:dyDescent="0.3">
      <c r="A46" s="2" t="s">
        <v>1796</v>
      </c>
      <c r="B46" s="12" t="s">
        <v>8</v>
      </c>
      <c r="C46" s="12">
        <v>10.9</v>
      </c>
      <c r="D46" s="2">
        <v>31.7</v>
      </c>
      <c r="E46" s="2">
        <f>FastenersPriceList34[[#This Row],[1000 PCS/WT.]]/1000</f>
        <v>3.1699999999999999E-2</v>
      </c>
      <c r="F46" s="2" t="s">
        <v>52</v>
      </c>
      <c r="G46" s="6" t="s">
        <v>1755</v>
      </c>
      <c r="H46" s="70">
        <v>50</v>
      </c>
      <c r="I46" s="72">
        <f>FastenersPriceList34[[#This Row],[Quantity (kg)]]/FastenersPriceList34[[#This Row],[SINGLE PC. WT.]]</f>
        <v>1577.2870662460568</v>
      </c>
      <c r="J46" s="3">
        <v>123</v>
      </c>
      <c r="K46" s="3">
        <f>FastenersPriceList34[[#This Row],[1000 PCS/WT.]]*FastenersPriceList34[[#This Row],[Rate / PER kg (₹)]]</f>
        <v>3899.1</v>
      </c>
      <c r="L46" s="4">
        <f>FastenersPriceList34[[#This Row],[Rate / PER kg (₹)]]*FastenersPriceList34[[#This Row],[Quantity (kg)]]</f>
        <v>6150</v>
      </c>
      <c r="M46" s="4">
        <f>FastenersPriceList34[[#This Row],[SINGLE PC. WT.]]*FastenersPriceList34[[#This Row],[Rate / PER kg (₹)]]</f>
        <v>3.8990999999999998</v>
      </c>
    </row>
    <row r="47" spans="1:13" ht="22.05" customHeight="1" x14ac:dyDescent="0.3">
      <c r="A47" s="2" t="s">
        <v>1797</v>
      </c>
      <c r="B47" s="12" t="s">
        <v>8</v>
      </c>
      <c r="C47" s="12">
        <v>10.9</v>
      </c>
      <c r="D47" s="2">
        <v>33.700000000000003</v>
      </c>
      <c r="E47" s="2">
        <f>FastenersPriceList34[[#This Row],[1000 PCS/WT.]]/1000</f>
        <v>3.3700000000000001E-2</v>
      </c>
      <c r="F47" s="2" t="s">
        <v>53</v>
      </c>
      <c r="G47" s="6" t="s">
        <v>1755</v>
      </c>
      <c r="H47" s="70">
        <v>50</v>
      </c>
      <c r="I47" s="72">
        <f>FastenersPriceList34[[#This Row],[Quantity (kg)]]/FastenersPriceList34[[#This Row],[SINGLE PC. WT.]]</f>
        <v>1483.679525222552</v>
      </c>
      <c r="J47" s="3">
        <v>123</v>
      </c>
      <c r="K47" s="3">
        <f>FastenersPriceList34[[#This Row],[1000 PCS/WT.]]*FastenersPriceList34[[#This Row],[Rate / PER kg (₹)]]</f>
        <v>4145.1000000000004</v>
      </c>
      <c r="L47" s="4">
        <f>FastenersPriceList34[[#This Row],[Rate / PER kg (₹)]]*FastenersPriceList34[[#This Row],[Quantity (kg)]]</f>
        <v>6150</v>
      </c>
      <c r="M47" s="4">
        <f>FastenersPriceList34[[#This Row],[SINGLE PC. WT.]]*FastenersPriceList34[[#This Row],[Rate / PER kg (₹)]]</f>
        <v>4.1451000000000002</v>
      </c>
    </row>
    <row r="48" spans="1:13" ht="22.05" customHeight="1" x14ac:dyDescent="0.3">
      <c r="A48" s="2" t="s">
        <v>1798</v>
      </c>
      <c r="B48" s="12" t="s">
        <v>8</v>
      </c>
      <c r="C48" s="12">
        <v>10.9</v>
      </c>
      <c r="D48" s="2">
        <v>35.700000000000003</v>
      </c>
      <c r="E48" s="2">
        <f>FastenersPriceList34[[#This Row],[1000 PCS/WT.]]/1000</f>
        <v>3.5700000000000003E-2</v>
      </c>
      <c r="F48" s="2" t="s">
        <v>54</v>
      </c>
      <c r="G48" s="6" t="s">
        <v>1755</v>
      </c>
      <c r="H48" s="70">
        <v>50</v>
      </c>
      <c r="I48" s="72">
        <f>FastenersPriceList34[[#This Row],[Quantity (kg)]]/FastenersPriceList34[[#This Row],[SINGLE PC. WT.]]</f>
        <v>1400.5602240896358</v>
      </c>
      <c r="J48" s="3">
        <v>123</v>
      </c>
      <c r="K48" s="3">
        <f>FastenersPriceList34[[#This Row],[1000 PCS/WT.]]*FastenersPriceList34[[#This Row],[Rate / PER kg (₹)]]</f>
        <v>4391.1000000000004</v>
      </c>
      <c r="L48" s="4">
        <f>FastenersPriceList34[[#This Row],[Rate / PER kg (₹)]]*FastenersPriceList34[[#This Row],[Quantity (kg)]]</f>
        <v>6150</v>
      </c>
      <c r="M48" s="4">
        <f>FastenersPriceList34[[#This Row],[SINGLE PC. WT.]]*FastenersPriceList34[[#This Row],[Rate / PER kg (₹)]]</f>
        <v>4.3911000000000007</v>
      </c>
    </row>
    <row r="49" spans="1:13" ht="22.05" customHeight="1" x14ac:dyDescent="0.3">
      <c r="A49" s="2" t="s">
        <v>1799</v>
      </c>
      <c r="B49" s="12" t="s">
        <v>8</v>
      </c>
      <c r="C49" s="12">
        <v>10.9</v>
      </c>
      <c r="D49" s="2">
        <v>37.700000000000003</v>
      </c>
      <c r="E49" s="2">
        <f>FastenersPriceList34[[#This Row],[1000 PCS/WT.]]/1000</f>
        <v>3.7700000000000004E-2</v>
      </c>
      <c r="F49" s="2" t="s">
        <v>55</v>
      </c>
      <c r="G49" s="6" t="s">
        <v>1755</v>
      </c>
      <c r="H49" s="70">
        <v>50</v>
      </c>
      <c r="I49" s="72">
        <f>FastenersPriceList34[[#This Row],[Quantity (kg)]]/FastenersPriceList34[[#This Row],[SINGLE PC. WT.]]</f>
        <v>1326.259946949602</v>
      </c>
      <c r="J49" s="3">
        <v>125</v>
      </c>
      <c r="K49" s="3">
        <f>FastenersPriceList34[[#This Row],[1000 PCS/WT.]]*FastenersPriceList34[[#This Row],[Rate / PER kg (₹)]]</f>
        <v>4712.5</v>
      </c>
      <c r="L49" s="4">
        <f>FastenersPriceList34[[#This Row],[Rate / PER kg (₹)]]*FastenersPriceList34[[#This Row],[Quantity (kg)]]</f>
        <v>6250</v>
      </c>
      <c r="M49" s="4">
        <f>FastenersPriceList34[[#This Row],[SINGLE PC. WT.]]*FastenersPriceList34[[#This Row],[Rate / PER kg (₹)]]</f>
        <v>4.7125000000000004</v>
      </c>
    </row>
    <row r="50" spans="1:13" ht="22.05" customHeight="1" x14ac:dyDescent="0.3">
      <c r="A50" s="2" t="s">
        <v>1800</v>
      </c>
      <c r="B50" s="12" t="s">
        <v>8</v>
      </c>
      <c r="C50" s="12">
        <v>10.9</v>
      </c>
      <c r="D50" s="2">
        <v>39.700000000000003</v>
      </c>
      <c r="E50" s="2">
        <f>FastenersPriceList34[[#This Row],[1000 PCS/WT.]]/1000</f>
        <v>3.9700000000000006E-2</v>
      </c>
      <c r="F50" s="2" t="s">
        <v>56</v>
      </c>
      <c r="G50" s="6" t="s">
        <v>1755</v>
      </c>
      <c r="H50" s="70">
        <v>50</v>
      </c>
      <c r="I50" s="72">
        <f>FastenersPriceList34[[#This Row],[Quantity (kg)]]/FastenersPriceList34[[#This Row],[SINGLE PC. WT.]]</f>
        <v>1259.4458438287152</v>
      </c>
      <c r="J50" s="3">
        <v>125</v>
      </c>
      <c r="K50" s="3">
        <f>FastenersPriceList34[[#This Row],[1000 PCS/WT.]]*FastenersPriceList34[[#This Row],[Rate / PER kg (₹)]]</f>
        <v>4962.5</v>
      </c>
      <c r="L50" s="4">
        <f>FastenersPriceList34[[#This Row],[Rate / PER kg (₹)]]*FastenersPriceList34[[#This Row],[Quantity (kg)]]</f>
        <v>6250</v>
      </c>
      <c r="M50" s="4">
        <f>FastenersPriceList34[[#This Row],[SINGLE PC. WT.]]*FastenersPriceList34[[#This Row],[Rate / PER kg (₹)]]</f>
        <v>4.9625000000000004</v>
      </c>
    </row>
    <row r="51" spans="1:13" ht="22.05" customHeight="1" x14ac:dyDescent="0.3">
      <c r="A51" s="2" t="s">
        <v>1801</v>
      </c>
      <c r="B51" s="12" t="s">
        <v>8</v>
      </c>
      <c r="C51" s="12">
        <v>10.9</v>
      </c>
      <c r="D51" s="2">
        <v>41.7</v>
      </c>
      <c r="E51" s="2">
        <f>FastenersPriceList34[[#This Row],[1000 PCS/WT.]]/1000</f>
        <v>4.1700000000000001E-2</v>
      </c>
      <c r="F51" s="2" t="s">
        <v>57</v>
      </c>
      <c r="G51" s="6" t="s">
        <v>1755</v>
      </c>
      <c r="H51" s="70">
        <v>50</v>
      </c>
      <c r="I51" s="72">
        <f>FastenersPriceList34[[#This Row],[Quantity (kg)]]/FastenersPriceList34[[#This Row],[SINGLE PC. WT.]]</f>
        <v>1199.0407673860911</v>
      </c>
      <c r="J51" s="3">
        <v>125</v>
      </c>
      <c r="K51" s="3">
        <f>FastenersPriceList34[[#This Row],[1000 PCS/WT.]]*FastenersPriceList34[[#This Row],[Rate / PER kg (₹)]]</f>
        <v>5212.5</v>
      </c>
      <c r="L51" s="4">
        <f>FastenersPriceList34[[#This Row],[Rate / PER kg (₹)]]*FastenersPriceList34[[#This Row],[Quantity (kg)]]</f>
        <v>6250</v>
      </c>
      <c r="M51" s="4">
        <f>FastenersPriceList34[[#This Row],[SINGLE PC. WT.]]*FastenersPriceList34[[#This Row],[Rate / PER kg (₹)]]</f>
        <v>5.2125000000000004</v>
      </c>
    </row>
    <row r="52" spans="1:13" ht="22.05" customHeight="1" x14ac:dyDescent="0.3">
      <c r="A52" s="2" t="s">
        <v>1802</v>
      </c>
      <c r="B52" s="12" t="s">
        <v>8</v>
      </c>
      <c r="C52" s="12">
        <v>10.9</v>
      </c>
      <c r="D52" s="2">
        <v>43.7</v>
      </c>
      <c r="E52" s="2">
        <f>FastenersPriceList34[[#This Row],[1000 PCS/WT.]]/1000</f>
        <v>4.3700000000000003E-2</v>
      </c>
      <c r="F52" s="2" t="s">
        <v>58</v>
      </c>
      <c r="G52" s="6" t="s">
        <v>1755</v>
      </c>
      <c r="H52" s="70">
        <v>50</v>
      </c>
      <c r="I52" s="72">
        <f>FastenersPriceList34[[#This Row],[Quantity (kg)]]/FastenersPriceList34[[#This Row],[SINGLE PC. WT.]]</f>
        <v>1144.1647597254005</v>
      </c>
      <c r="J52" s="3">
        <v>125</v>
      </c>
      <c r="K52" s="3">
        <f>FastenersPriceList34[[#This Row],[1000 PCS/WT.]]*FastenersPriceList34[[#This Row],[Rate / PER kg (₹)]]</f>
        <v>5462.5</v>
      </c>
      <c r="L52" s="4">
        <f>FastenersPriceList34[[#This Row],[Rate / PER kg (₹)]]*FastenersPriceList34[[#This Row],[Quantity (kg)]]</f>
        <v>6250</v>
      </c>
      <c r="M52" s="4">
        <f>FastenersPriceList34[[#This Row],[SINGLE PC. WT.]]*FastenersPriceList34[[#This Row],[Rate / PER kg (₹)]]</f>
        <v>5.4625000000000004</v>
      </c>
    </row>
    <row r="53" spans="1:13" ht="22.05" customHeight="1" x14ac:dyDescent="0.3">
      <c r="A53" s="2" t="s">
        <v>1803</v>
      </c>
      <c r="B53" s="12" t="s">
        <v>8</v>
      </c>
      <c r="C53" s="12">
        <v>10.9</v>
      </c>
      <c r="D53" s="2">
        <v>23.2</v>
      </c>
      <c r="E53" s="2">
        <f>FastenersPriceList34[[#This Row],[1000 PCS/WT.]]/1000</f>
        <v>2.3199999999999998E-2</v>
      </c>
      <c r="F53" s="2" t="s">
        <v>59</v>
      </c>
      <c r="G53" s="6" t="s">
        <v>1755</v>
      </c>
      <c r="H53" s="70">
        <v>50</v>
      </c>
      <c r="I53" s="72">
        <f>FastenersPriceList34[[#This Row],[Quantity (kg)]]/FastenersPriceList34[[#This Row],[SINGLE PC. WT.]]</f>
        <v>2155.1724137931037</v>
      </c>
      <c r="J53" s="3">
        <v>125</v>
      </c>
      <c r="K53" s="3">
        <f>FastenersPriceList34[[#This Row],[1000 PCS/WT.]]*FastenersPriceList34[[#This Row],[Rate / PER kg (₹)]]</f>
        <v>2900</v>
      </c>
      <c r="L53" s="4">
        <f>FastenersPriceList34[[#This Row],[Rate / PER kg (₹)]]*FastenersPriceList34[[#This Row],[Quantity (kg)]]</f>
        <v>6250</v>
      </c>
      <c r="M53" s="4">
        <f>FastenersPriceList34[[#This Row],[SINGLE PC. WT.]]*FastenersPriceList34[[#This Row],[Rate / PER kg (₹)]]</f>
        <v>2.9</v>
      </c>
    </row>
    <row r="54" spans="1:13" ht="22.05" customHeight="1" x14ac:dyDescent="0.3">
      <c r="A54" s="2" t="s">
        <v>1804</v>
      </c>
      <c r="B54" s="12" t="s">
        <v>8</v>
      </c>
      <c r="C54" s="12">
        <v>10.9</v>
      </c>
      <c r="D54" s="2">
        <v>25.9</v>
      </c>
      <c r="E54" s="2">
        <f>FastenersPriceList34[[#This Row],[1000 PCS/WT.]]/1000</f>
        <v>2.5899999999999999E-2</v>
      </c>
      <c r="F54" s="2" t="s">
        <v>60</v>
      </c>
      <c r="G54" s="6" t="s">
        <v>1755</v>
      </c>
      <c r="H54" s="70">
        <v>50</v>
      </c>
      <c r="I54" s="72">
        <f>FastenersPriceList34[[#This Row],[Quantity (kg)]]/FastenersPriceList34[[#This Row],[SINGLE PC. WT.]]</f>
        <v>1930.5019305019305</v>
      </c>
      <c r="J54" s="3">
        <v>125</v>
      </c>
      <c r="K54" s="3">
        <f>FastenersPriceList34[[#This Row],[1000 PCS/WT.]]*FastenersPriceList34[[#This Row],[Rate / PER kg (₹)]]</f>
        <v>3237.5</v>
      </c>
      <c r="L54" s="4">
        <f>FastenersPriceList34[[#This Row],[Rate / PER kg (₹)]]*FastenersPriceList34[[#This Row],[Quantity (kg)]]</f>
        <v>6250</v>
      </c>
      <c r="M54" s="4">
        <f>FastenersPriceList34[[#This Row],[SINGLE PC. WT.]]*FastenersPriceList34[[#This Row],[Rate / PER kg (₹)]]</f>
        <v>3.2374999999999998</v>
      </c>
    </row>
    <row r="55" spans="1:13" ht="22.05" customHeight="1" x14ac:dyDescent="0.3">
      <c r="A55" s="2" t="s">
        <v>1805</v>
      </c>
      <c r="B55" s="12" t="s">
        <v>8</v>
      </c>
      <c r="C55" s="12">
        <v>10.9</v>
      </c>
      <c r="D55" s="2">
        <v>28.5</v>
      </c>
      <c r="E55" s="2">
        <f>FastenersPriceList34[[#This Row],[1000 PCS/WT.]]/1000</f>
        <v>2.8500000000000001E-2</v>
      </c>
      <c r="F55" s="2" t="s">
        <v>61</v>
      </c>
      <c r="G55" s="6" t="s">
        <v>1755</v>
      </c>
      <c r="H55" s="70">
        <v>50</v>
      </c>
      <c r="I55" s="72">
        <f>FastenersPriceList34[[#This Row],[Quantity (kg)]]/FastenersPriceList34[[#This Row],[SINGLE PC. WT.]]</f>
        <v>1754.3859649122805</v>
      </c>
      <c r="J55" s="3">
        <v>125</v>
      </c>
      <c r="K55" s="3">
        <f>FastenersPriceList34[[#This Row],[1000 PCS/WT.]]*FastenersPriceList34[[#This Row],[Rate / PER kg (₹)]]</f>
        <v>3562.5</v>
      </c>
      <c r="L55" s="4">
        <f>FastenersPriceList34[[#This Row],[Rate / PER kg (₹)]]*FastenersPriceList34[[#This Row],[Quantity (kg)]]</f>
        <v>6250</v>
      </c>
      <c r="M55" s="4">
        <f>FastenersPriceList34[[#This Row],[SINGLE PC. WT.]]*FastenersPriceList34[[#This Row],[Rate / PER kg (₹)]]</f>
        <v>3.5625</v>
      </c>
    </row>
    <row r="56" spans="1:13" ht="22.05" customHeight="1" x14ac:dyDescent="0.3">
      <c r="A56" s="2" t="s">
        <v>1806</v>
      </c>
      <c r="B56" s="12" t="s">
        <v>8</v>
      </c>
      <c r="C56" s="12">
        <v>10.9</v>
      </c>
      <c r="D56" s="2">
        <v>31.3</v>
      </c>
      <c r="E56" s="2">
        <f>FastenersPriceList34[[#This Row],[1000 PCS/WT.]]/1000</f>
        <v>3.1300000000000001E-2</v>
      </c>
      <c r="F56" s="2" t="s">
        <v>62</v>
      </c>
      <c r="G56" s="6" t="s">
        <v>1755</v>
      </c>
      <c r="H56" s="70">
        <v>50</v>
      </c>
      <c r="I56" s="72">
        <f>FastenersPriceList34[[#This Row],[Quantity (kg)]]/FastenersPriceList34[[#This Row],[SINGLE PC. WT.]]</f>
        <v>1597.4440894568688</v>
      </c>
      <c r="J56" s="3">
        <v>125</v>
      </c>
      <c r="K56" s="3">
        <f>FastenersPriceList34[[#This Row],[1000 PCS/WT.]]*FastenersPriceList34[[#This Row],[Rate / PER kg (₹)]]</f>
        <v>3912.5</v>
      </c>
      <c r="L56" s="4">
        <f>FastenersPriceList34[[#This Row],[Rate / PER kg (₹)]]*FastenersPriceList34[[#This Row],[Quantity (kg)]]</f>
        <v>6250</v>
      </c>
      <c r="M56" s="4">
        <f>FastenersPriceList34[[#This Row],[SINGLE PC. WT.]]*FastenersPriceList34[[#This Row],[Rate / PER kg (₹)]]</f>
        <v>3.9125000000000001</v>
      </c>
    </row>
    <row r="57" spans="1:13" ht="22.05" customHeight="1" x14ac:dyDescent="0.3">
      <c r="A57" s="2" t="s">
        <v>1807</v>
      </c>
      <c r="B57" s="12" t="s">
        <v>8</v>
      </c>
      <c r="C57" s="12">
        <v>10.9</v>
      </c>
      <c r="D57" s="2">
        <v>34.4</v>
      </c>
      <c r="E57" s="2">
        <f>FastenersPriceList34[[#This Row],[1000 PCS/WT.]]/1000</f>
        <v>3.44E-2</v>
      </c>
      <c r="F57" s="2" t="s">
        <v>63</v>
      </c>
      <c r="G57" s="6" t="s">
        <v>1755</v>
      </c>
      <c r="H57" s="70">
        <v>50</v>
      </c>
      <c r="I57" s="72">
        <f>FastenersPriceList34[[#This Row],[Quantity (kg)]]/FastenersPriceList34[[#This Row],[SINGLE PC. WT.]]</f>
        <v>1453.4883720930231</v>
      </c>
      <c r="J57" s="3">
        <v>125</v>
      </c>
      <c r="K57" s="3">
        <f>FastenersPriceList34[[#This Row],[1000 PCS/WT.]]*FastenersPriceList34[[#This Row],[Rate / PER kg (₹)]]</f>
        <v>4300</v>
      </c>
      <c r="L57" s="4">
        <f>FastenersPriceList34[[#This Row],[Rate / PER kg (₹)]]*FastenersPriceList34[[#This Row],[Quantity (kg)]]</f>
        <v>6250</v>
      </c>
      <c r="M57" s="4">
        <f>FastenersPriceList34[[#This Row],[SINGLE PC. WT.]]*FastenersPriceList34[[#This Row],[Rate / PER kg (₹)]]</f>
        <v>4.3</v>
      </c>
    </row>
    <row r="58" spans="1:13" ht="22.05" customHeight="1" x14ac:dyDescent="0.3">
      <c r="A58" s="2" t="s">
        <v>1808</v>
      </c>
      <c r="B58" s="12" t="s">
        <v>8</v>
      </c>
      <c r="C58" s="12">
        <v>10.9</v>
      </c>
      <c r="D58" s="2">
        <v>37.5</v>
      </c>
      <c r="E58" s="2">
        <f>FastenersPriceList34[[#This Row],[1000 PCS/WT.]]/1000</f>
        <v>3.7499999999999999E-2</v>
      </c>
      <c r="F58" s="2" t="s">
        <v>64</v>
      </c>
      <c r="G58" s="6" t="s">
        <v>1755</v>
      </c>
      <c r="H58" s="70">
        <v>50</v>
      </c>
      <c r="I58" s="72">
        <f>FastenersPriceList34[[#This Row],[Quantity (kg)]]/FastenersPriceList34[[#This Row],[SINGLE PC. WT.]]</f>
        <v>1333.3333333333335</v>
      </c>
      <c r="J58" s="3">
        <v>123</v>
      </c>
      <c r="K58" s="3">
        <f>FastenersPriceList34[[#This Row],[1000 PCS/WT.]]*FastenersPriceList34[[#This Row],[Rate / PER kg (₹)]]</f>
        <v>4612.5</v>
      </c>
      <c r="L58" s="4">
        <f>FastenersPriceList34[[#This Row],[Rate / PER kg (₹)]]*FastenersPriceList34[[#This Row],[Quantity (kg)]]</f>
        <v>6150</v>
      </c>
      <c r="M58" s="4">
        <f>FastenersPriceList34[[#This Row],[SINGLE PC. WT.]]*FastenersPriceList34[[#This Row],[Rate / PER kg (₹)]]</f>
        <v>4.6124999999999998</v>
      </c>
    </row>
    <row r="59" spans="1:13" ht="22.05" customHeight="1" x14ac:dyDescent="0.3">
      <c r="A59" s="2" t="s">
        <v>1809</v>
      </c>
      <c r="B59" s="12" t="s">
        <v>8</v>
      </c>
      <c r="C59" s="12">
        <v>10.9</v>
      </c>
      <c r="D59" s="2">
        <v>40.6</v>
      </c>
      <c r="E59" s="2">
        <f>FastenersPriceList34[[#This Row],[1000 PCS/WT.]]/1000</f>
        <v>4.0600000000000004E-2</v>
      </c>
      <c r="F59" s="2" t="s">
        <v>65</v>
      </c>
      <c r="G59" s="6" t="s">
        <v>1755</v>
      </c>
      <c r="H59" s="70">
        <v>50</v>
      </c>
      <c r="I59" s="72">
        <f>FastenersPriceList34[[#This Row],[Quantity (kg)]]/FastenersPriceList34[[#This Row],[SINGLE PC. WT.]]</f>
        <v>1231.5270935960589</v>
      </c>
      <c r="J59" s="3">
        <v>123</v>
      </c>
      <c r="K59" s="3">
        <f>FastenersPriceList34[[#This Row],[1000 PCS/WT.]]*FastenersPriceList34[[#This Row],[Rate / PER kg (₹)]]</f>
        <v>4993.8</v>
      </c>
      <c r="L59" s="4">
        <f>FastenersPriceList34[[#This Row],[Rate / PER kg (₹)]]*FastenersPriceList34[[#This Row],[Quantity (kg)]]</f>
        <v>6150</v>
      </c>
      <c r="M59" s="4">
        <f>FastenersPriceList34[[#This Row],[SINGLE PC. WT.]]*FastenersPriceList34[[#This Row],[Rate / PER kg (₹)]]</f>
        <v>4.9938000000000002</v>
      </c>
    </row>
    <row r="60" spans="1:13" ht="22.05" customHeight="1" x14ac:dyDescent="0.3">
      <c r="A60" s="2" t="s">
        <v>1810</v>
      </c>
      <c r="B60" s="12" t="s">
        <v>8</v>
      </c>
      <c r="C60" s="12">
        <v>10.9</v>
      </c>
      <c r="D60" s="2">
        <v>43.7</v>
      </c>
      <c r="E60" s="2">
        <f>FastenersPriceList34[[#This Row],[1000 PCS/WT.]]/1000</f>
        <v>4.3700000000000003E-2</v>
      </c>
      <c r="F60" s="2" t="s">
        <v>66</v>
      </c>
      <c r="G60" s="6" t="s">
        <v>1755</v>
      </c>
      <c r="H60" s="70">
        <v>50</v>
      </c>
      <c r="I60" s="72">
        <f>FastenersPriceList34[[#This Row],[Quantity (kg)]]/FastenersPriceList34[[#This Row],[SINGLE PC. WT.]]</f>
        <v>1144.1647597254005</v>
      </c>
      <c r="J60" s="3">
        <v>123</v>
      </c>
      <c r="K60" s="3">
        <f>FastenersPriceList34[[#This Row],[1000 PCS/WT.]]*FastenersPriceList34[[#This Row],[Rate / PER kg (₹)]]</f>
        <v>5375.1</v>
      </c>
      <c r="L60" s="4">
        <f>FastenersPriceList34[[#This Row],[Rate / PER kg (₹)]]*FastenersPriceList34[[#This Row],[Quantity (kg)]]</f>
        <v>6150</v>
      </c>
      <c r="M60" s="4">
        <f>FastenersPriceList34[[#This Row],[SINGLE PC. WT.]]*FastenersPriceList34[[#This Row],[Rate / PER kg (₹)]]</f>
        <v>5.3751000000000007</v>
      </c>
    </row>
    <row r="61" spans="1:13" ht="22.05" customHeight="1" x14ac:dyDescent="0.3">
      <c r="A61" s="2" t="s">
        <v>1811</v>
      </c>
      <c r="B61" s="12" t="s">
        <v>8</v>
      </c>
      <c r="C61" s="12">
        <v>10.9</v>
      </c>
      <c r="D61" s="2">
        <v>46.8</v>
      </c>
      <c r="E61" s="2">
        <f>FastenersPriceList34[[#This Row],[1000 PCS/WT.]]/1000</f>
        <v>4.6799999999999994E-2</v>
      </c>
      <c r="F61" s="2" t="s">
        <v>67</v>
      </c>
      <c r="G61" s="6" t="s">
        <v>1755</v>
      </c>
      <c r="H61" s="70">
        <v>50</v>
      </c>
      <c r="I61" s="72">
        <f>FastenersPriceList34[[#This Row],[Quantity (kg)]]/FastenersPriceList34[[#This Row],[SINGLE PC. WT.]]</f>
        <v>1068.3760683760686</v>
      </c>
      <c r="J61" s="3">
        <v>123</v>
      </c>
      <c r="K61" s="3">
        <f>FastenersPriceList34[[#This Row],[1000 PCS/WT.]]*FastenersPriceList34[[#This Row],[Rate / PER kg (₹)]]</f>
        <v>5756.4</v>
      </c>
      <c r="L61" s="4">
        <f>FastenersPriceList34[[#This Row],[Rate / PER kg (₹)]]*FastenersPriceList34[[#This Row],[Quantity (kg)]]</f>
        <v>6150</v>
      </c>
      <c r="M61" s="4">
        <f>FastenersPriceList34[[#This Row],[SINGLE PC. WT.]]*FastenersPriceList34[[#This Row],[Rate / PER kg (₹)]]</f>
        <v>5.7563999999999993</v>
      </c>
    </row>
    <row r="62" spans="1:13" ht="22.05" customHeight="1" x14ac:dyDescent="0.3">
      <c r="A62" s="2" t="s">
        <v>1812</v>
      </c>
      <c r="B62" s="12" t="s">
        <v>8</v>
      </c>
      <c r="C62" s="12">
        <v>10.9</v>
      </c>
      <c r="D62" s="2">
        <v>49.9</v>
      </c>
      <c r="E62" s="2">
        <f>FastenersPriceList34[[#This Row],[1000 PCS/WT.]]/1000</f>
        <v>4.99E-2</v>
      </c>
      <c r="F62" s="2" t="s">
        <v>68</v>
      </c>
      <c r="G62" s="6" t="s">
        <v>1755</v>
      </c>
      <c r="H62" s="70">
        <v>50</v>
      </c>
      <c r="I62" s="72">
        <f>FastenersPriceList34[[#This Row],[Quantity (kg)]]/FastenersPriceList34[[#This Row],[SINGLE PC. WT.]]</f>
        <v>1002.0040080160321</v>
      </c>
      <c r="J62" s="3">
        <v>123</v>
      </c>
      <c r="K62" s="3">
        <f>FastenersPriceList34[[#This Row],[1000 PCS/WT.]]*FastenersPriceList34[[#This Row],[Rate / PER kg (₹)]]</f>
        <v>6137.7</v>
      </c>
      <c r="L62" s="4">
        <f>FastenersPriceList34[[#This Row],[Rate / PER kg (₹)]]*FastenersPriceList34[[#This Row],[Quantity (kg)]]</f>
        <v>6150</v>
      </c>
      <c r="M62" s="4">
        <f>FastenersPriceList34[[#This Row],[SINGLE PC. WT.]]*FastenersPriceList34[[#This Row],[Rate / PER kg (₹)]]</f>
        <v>6.1376999999999997</v>
      </c>
    </row>
    <row r="63" spans="1:13" ht="22.05" customHeight="1" x14ac:dyDescent="0.3">
      <c r="A63" s="2" t="s">
        <v>1813</v>
      </c>
      <c r="B63" s="12" t="s">
        <v>8</v>
      </c>
      <c r="C63" s="12">
        <v>10.9</v>
      </c>
      <c r="D63" s="2">
        <v>53</v>
      </c>
      <c r="E63" s="2">
        <f>FastenersPriceList34[[#This Row],[1000 PCS/WT.]]/1000</f>
        <v>5.2999999999999999E-2</v>
      </c>
      <c r="F63" s="2" t="s">
        <v>69</v>
      </c>
      <c r="G63" s="6" t="s">
        <v>1755</v>
      </c>
      <c r="H63" s="70">
        <v>50</v>
      </c>
      <c r="I63" s="72">
        <f>FastenersPriceList34[[#This Row],[Quantity (kg)]]/FastenersPriceList34[[#This Row],[SINGLE PC. WT.]]</f>
        <v>943.39622641509436</v>
      </c>
      <c r="J63" s="3">
        <v>121</v>
      </c>
      <c r="K63" s="3">
        <f>FastenersPriceList34[[#This Row],[1000 PCS/WT.]]*FastenersPriceList34[[#This Row],[Rate / PER kg (₹)]]</f>
        <v>6413</v>
      </c>
      <c r="L63" s="4">
        <f>FastenersPriceList34[[#This Row],[Rate / PER kg (₹)]]*FastenersPriceList34[[#This Row],[Quantity (kg)]]</f>
        <v>6050</v>
      </c>
      <c r="M63" s="4">
        <f>FastenersPriceList34[[#This Row],[SINGLE PC. WT.]]*FastenersPriceList34[[#This Row],[Rate / PER kg (₹)]]</f>
        <v>6.4130000000000003</v>
      </c>
    </row>
    <row r="64" spans="1:13" ht="22.05" customHeight="1" x14ac:dyDescent="0.3">
      <c r="A64" s="2" t="s">
        <v>1814</v>
      </c>
      <c r="B64" s="12" t="s">
        <v>8</v>
      </c>
      <c r="C64" s="12">
        <v>10.9</v>
      </c>
      <c r="D64" s="2">
        <v>56.1</v>
      </c>
      <c r="E64" s="2">
        <f>FastenersPriceList34[[#This Row],[1000 PCS/WT.]]/1000</f>
        <v>5.6100000000000004E-2</v>
      </c>
      <c r="F64" s="2" t="s">
        <v>70</v>
      </c>
      <c r="G64" s="6" t="s">
        <v>1755</v>
      </c>
      <c r="H64" s="70">
        <v>50</v>
      </c>
      <c r="I64" s="72">
        <f>FastenersPriceList34[[#This Row],[Quantity (kg)]]/FastenersPriceList34[[#This Row],[SINGLE PC. WT.]]</f>
        <v>891.26559714795007</v>
      </c>
      <c r="J64" s="3">
        <v>121</v>
      </c>
      <c r="K64" s="3">
        <f>FastenersPriceList34[[#This Row],[1000 PCS/WT.]]*FastenersPriceList34[[#This Row],[Rate / PER kg (₹)]]</f>
        <v>6788.1</v>
      </c>
      <c r="L64" s="4">
        <f>FastenersPriceList34[[#This Row],[Rate / PER kg (₹)]]*FastenersPriceList34[[#This Row],[Quantity (kg)]]</f>
        <v>6050</v>
      </c>
      <c r="M64" s="4">
        <f>FastenersPriceList34[[#This Row],[SINGLE PC. WT.]]*FastenersPriceList34[[#This Row],[Rate / PER kg (₹)]]</f>
        <v>6.7881000000000009</v>
      </c>
    </row>
    <row r="65" spans="1:13" ht="22.05" customHeight="1" x14ac:dyDescent="0.3">
      <c r="A65" s="2" t="s">
        <v>1815</v>
      </c>
      <c r="B65" s="12" t="s">
        <v>8</v>
      </c>
      <c r="C65" s="12">
        <v>10.9</v>
      </c>
      <c r="D65" s="2">
        <v>59.2</v>
      </c>
      <c r="E65" s="2">
        <f>FastenersPriceList34[[#This Row],[1000 PCS/WT.]]/1000</f>
        <v>5.9200000000000003E-2</v>
      </c>
      <c r="F65" s="2" t="s">
        <v>71</v>
      </c>
      <c r="G65" s="6" t="s">
        <v>1755</v>
      </c>
      <c r="H65" s="70">
        <v>50</v>
      </c>
      <c r="I65" s="72">
        <f>FastenersPriceList34[[#This Row],[Quantity (kg)]]/FastenersPriceList34[[#This Row],[SINGLE PC. WT.]]</f>
        <v>844.59459459459458</v>
      </c>
      <c r="J65" s="3">
        <v>121</v>
      </c>
      <c r="K65" s="3">
        <f>FastenersPriceList34[[#This Row],[1000 PCS/WT.]]*FastenersPriceList34[[#This Row],[Rate / PER kg (₹)]]</f>
        <v>7163.2000000000007</v>
      </c>
      <c r="L65" s="4">
        <f>FastenersPriceList34[[#This Row],[Rate / PER kg (₹)]]*FastenersPriceList34[[#This Row],[Quantity (kg)]]</f>
        <v>6050</v>
      </c>
      <c r="M65" s="4">
        <f>FastenersPriceList34[[#This Row],[SINGLE PC. WT.]]*FastenersPriceList34[[#This Row],[Rate / PER kg (₹)]]</f>
        <v>7.1632000000000007</v>
      </c>
    </row>
    <row r="66" spans="1:13" ht="22.05" customHeight="1" x14ac:dyDescent="0.3">
      <c r="A66" s="2" t="s">
        <v>1816</v>
      </c>
      <c r="B66" s="12" t="s">
        <v>8</v>
      </c>
      <c r="C66" s="12">
        <v>10.9</v>
      </c>
      <c r="D66" s="2">
        <v>62.3</v>
      </c>
      <c r="E66" s="2">
        <f>FastenersPriceList34[[#This Row],[1000 PCS/WT.]]/1000</f>
        <v>6.2299999999999994E-2</v>
      </c>
      <c r="F66" s="2" t="s">
        <v>72</v>
      </c>
      <c r="G66" s="6" t="s">
        <v>1755</v>
      </c>
      <c r="H66" s="70">
        <v>50</v>
      </c>
      <c r="I66" s="72">
        <f>FastenersPriceList34[[#This Row],[Quantity (kg)]]/FastenersPriceList34[[#This Row],[SINGLE PC. WT.]]</f>
        <v>802.56821829855551</v>
      </c>
      <c r="J66" s="3">
        <v>121</v>
      </c>
      <c r="K66" s="3">
        <f>FastenersPriceList34[[#This Row],[1000 PCS/WT.]]*FastenersPriceList34[[#This Row],[Rate / PER kg (₹)]]</f>
        <v>7538.2999999999993</v>
      </c>
      <c r="L66" s="4">
        <f>FastenersPriceList34[[#This Row],[Rate / PER kg (₹)]]*FastenersPriceList34[[#This Row],[Quantity (kg)]]</f>
        <v>6050</v>
      </c>
      <c r="M66" s="4">
        <f>FastenersPriceList34[[#This Row],[SINGLE PC. WT.]]*FastenersPriceList34[[#This Row],[Rate / PER kg (₹)]]</f>
        <v>7.5382999999999996</v>
      </c>
    </row>
    <row r="67" spans="1:13" ht="22.05" customHeight="1" x14ac:dyDescent="0.3">
      <c r="A67" s="2" t="s">
        <v>1817</v>
      </c>
      <c r="B67" s="12" t="s">
        <v>8</v>
      </c>
      <c r="C67" s="12">
        <v>10.9</v>
      </c>
      <c r="D67" s="2">
        <v>65.400000000000006</v>
      </c>
      <c r="E67" s="2">
        <f>FastenersPriceList34[[#This Row],[1000 PCS/WT.]]/1000</f>
        <v>6.54E-2</v>
      </c>
      <c r="F67" s="2" t="s">
        <v>73</v>
      </c>
      <c r="G67" s="6" t="s">
        <v>1755</v>
      </c>
      <c r="H67" s="70">
        <v>50</v>
      </c>
      <c r="I67" s="72">
        <f>FastenersPriceList34[[#This Row],[Quantity (kg)]]/FastenersPriceList34[[#This Row],[SINGLE PC. WT.]]</f>
        <v>764.52599388379201</v>
      </c>
      <c r="J67" s="3">
        <v>121</v>
      </c>
      <c r="K67" s="3">
        <f>FastenersPriceList34[[#This Row],[1000 PCS/WT.]]*FastenersPriceList34[[#This Row],[Rate / PER kg (₹)]]</f>
        <v>7913.4000000000005</v>
      </c>
      <c r="L67" s="4">
        <f>FastenersPriceList34[[#This Row],[Rate / PER kg (₹)]]*FastenersPriceList34[[#This Row],[Quantity (kg)]]</f>
        <v>6050</v>
      </c>
      <c r="M67" s="4">
        <f>FastenersPriceList34[[#This Row],[SINGLE PC. WT.]]*FastenersPriceList34[[#This Row],[Rate / PER kg (₹)]]</f>
        <v>7.9134000000000002</v>
      </c>
    </row>
    <row r="68" spans="1:13" ht="22.05" customHeight="1" x14ac:dyDescent="0.3">
      <c r="A68" s="2" t="s">
        <v>1818</v>
      </c>
      <c r="B68" s="12" t="s">
        <v>8</v>
      </c>
      <c r="C68" s="12">
        <v>10.9</v>
      </c>
      <c r="D68" s="2">
        <v>68.5</v>
      </c>
      <c r="E68" s="2">
        <f>FastenersPriceList34[[#This Row],[1000 PCS/WT.]]/1000</f>
        <v>6.8500000000000005E-2</v>
      </c>
      <c r="F68" s="2" t="s">
        <v>74</v>
      </c>
      <c r="G68" s="6" t="s">
        <v>1755</v>
      </c>
      <c r="H68" s="70">
        <v>50</v>
      </c>
      <c r="I68" s="72">
        <f>FastenersPriceList34[[#This Row],[Quantity (kg)]]/FastenersPriceList34[[#This Row],[SINGLE PC. WT.]]</f>
        <v>729.92700729927003</v>
      </c>
      <c r="J68" s="3">
        <v>121</v>
      </c>
      <c r="K68" s="3">
        <f>FastenersPriceList34[[#This Row],[1000 PCS/WT.]]*FastenersPriceList34[[#This Row],[Rate / PER kg (₹)]]</f>
        <v>8288.5</v>
      </c>
      <c r="L68" s="4">
        <f>FastenersPriceList34[[#This Row],[Rate / PER kg (₹)]]*FastenersPriceList34[[#This Row],[Quantity (kg)]]</f>
        <v>6050</v>
      </c>
      <c r="M68" s="4">
        <f>FastenersPriceList34[[#This Row],[SINGLE PC. WT.]]*FastenersPriceList34[[#This Row],[Rate / PER kg (₹)]]</f>
        <v>8.2885000000000009</v>
      </c>
    </row>
    <row r="69" spans="1:13" ht="22.05" customHeight="1" x14ac:dyDescent="0.3">
      <c r="A69" s="2" t="s">
        <v>1819</v>
      </c>
      <c r="B69" s="12" t="s">
        <v>8</v>
      </c>
      <c r="C69" s="12">
        <v>10.9</v>
      </c>
      <c r="D69" s="2">
        <v>71.599999999999994</v>
      </c>
      <c r="E69" s="2">
        <f>FastenersPriceList34[[#This Row],[1000 PCS/WT.]]/1000</f>
        <v>7.1599999999999997E-2</v>
      </c>
      <c r="F69" s="2" t="s">
        <v>75</v>
      </c>
      <c r="G69" s="6" t="s">
        <v>1755</v>
      </c>
      <c r="H69" s="70">
        <v>50</v>
      </c>
      <c r="I69" s="72">
        <f>FastenersPriceList34[[#This Row],[Quantity (kg)]]/FastenersPriceList34[[#This Row],[SINGLE PC. WT.]]</f>
        <v>698.32402234636879</v>
      </c>
      <c r="J69" s="3">
        <v>121</v>
      </c>
      <c r="K69" s="3">
        <f>FastenersPriceList34[[#This Row],[1000 PCS/WT.]]*FastenersPriceList34[[#This Row],[Rate / PER kg (₹)]]</f>
        <v>8663.5999999999985</v>
      </c>
      <c r="L69" s="4">
        <f>FastenersPriceList34[[#This Row],[Rate / PER kg (₹)]]*FastenersPriceList34[[#This Row],[Quantity (kg)]]</f>
        <v>6050</v>
      </c>
      <c r="M69" s="4">
        <f>FastenersPriceList34[[#This Row],[SINGLE PC. WT.]]*FastenersPriceList34[[#This Row],[Rate / PER kg (₹)]]</f>
        <v>8.6635999999999989</v>
      </c>
    </row>
    <row r="70" spans="1:13" ht="22.05" customHeight="1" x14ac:dyDescent="0.3">
      <c r="A70" s="2" t="s">
        <v>1820</v>
      </c>
      <c r="B70" s="12" t="s">
        <v>8</v>
      </c>
      <c r="C70" s="12">
        <v>10.9</v>
      </c>
      <c r="D70" s="2">
        <v>77.8</v>
      </c>
      <c r="E70" s="2">
        <f>FastenersPriceList34[[#This Row],[1000 PCS/WT.]]/1000</f>
        <v>7.7799999999999994E-2</v>
      </c>
      <c r="F70" s="2" t="s">
        <v>76</v>
      </c>
      <c r="G70" s="6" t="s">
        <v>1755</v>
      </c>
      <c r="H70" s="70">
        <v>50</v>
      </c>
      <c r="I70" s="72">
        <f>FastenersPriceList34[[#This Row],[Quantity (kg)]]/FastenersPriceList34[[#This Row],[SINGLE PC. WT.]]</f>
        <v>642.67352185089976</v>
      </c>
      <c r="J70" s="3">
        <v>130</v>
      </c>
      <c r="K70" s="3">
        <f>FastenersPriceList34[[#This Row],[1000 PCS/WT.]]*FastenersPriceList34[[#This Row],[Rate / PER kg (₹)]]</f>
        <v>10114</v>
      </c>
      <c r="L70" s="4">
        <f>FastenersPriceList34[[#This Row],[Rate / PER kg (₹)]]*FastenersPriceList34[[#This Row],[Quantity (kg)]]</f>
        <v>6500</v>
      </c>
      <c r="M70" s="4">
        <f>FastenersPriceList34[[#This Row],[SINGLE PC. WT.]]*FastenersPriceList34[[#This Row],[Rate / PER kg (₹)]]</f>
        <v>10.113999999999999</v>
      </c>
    </row>
    <row r="71" spans="1:13" ht="22.05" customHeight="1" x14ac:dyDescent="0.3">
      <c r="A71" s="2" t="s">
        <v>1821</v>
      </c>
      <c r="B71" s="12" t="s">
        <v>8</v>
      </c>
      <c r="C71" s="12">
        <v>10.9</v>
      </c>
      <c r="D71" s="2">
        <v>84</v>
      </c>
      <c r="E71" s="2">
        <f>FastenersPriceList34[[#This Row],[1000 PCS/WT.]]/1000</f>
        <v>8.4000000000000005E-2</v>
      </c>
      <c r="F71" s="2" t="s">
        <v>77</v>
      </c>
      <c r="G71" s="6" t="s">
        <v>1755</v>
      </c>
      <c r="H71" s="70">
        <v>50</v>
      </c>
      <c r="I71" s="72">
        <f>FastenersPriceList34[[#This Row],[Quantity (kg)]]/FastenersPriceList34[[#This Row],[SINGLE PC. WT.]]</f>
        <v>595.23809523809518</v>
      </c>
      <c r="J71" s="3">
        <v>130</v>
      </c>
      <c r="K71" s="3">
        <f>FastenersPriceList34[[#This Row],[1000 PCS/WT.]]*FastenersPriceList34[[#This Row],[Rate / PER kg (₹)]]</f>
        <v>10920</v>
      </c>
      <c r="L71" s="4">
        <f>FastenersPriceList34[[#This Row],[Rate / PER kg (₹)]]*FastenersPriceList34[[#This Row],[Quantity (kg)]]</f>
        <v>6500</v>
      </c>
      <c r="M71" s="4">
        <f>FastenersPriceList34[[#This Row],[SINGLE PC. WT.]]*FastenersPriceList34[[#This Row],[Rate / PER kg (₹)]]</f>
        <v>10.92</v>
      </c>
    </row>
    <row r="72" spans="1:13" ht="22.05" customHeight="1" x14ac:dyDescent="0.3">
      <c r="A72" s="2" t="s">
        <v>2178</v>
      </c>
      <c r="B72" s="12" t="s">
        <v>8</v>
      </c>
      <c r="C72" s="12">
        <v>10.9</v>
      </c>
      <c r="D72" s="2">
        <v>90.2</v>
      </c>
      <c r="E72" s="2">
        <f>FastenersPriceList34[[#This Row],[1000 PCS/WT.]]/1000</f>
        <v>9.0200000000000002E-2</v>
      </c>
      <c r="F72" s="2" t="s">
        <v>1324</v>
      </c>
      <c r="G72" s="6" t="s">
        <v>1755</v>
      </c>
      <c r="H72" s="70">
        <v>50</v>
      </c>
      <c r="I72" s="72">
        <f>FastenersPriceList34[[#This Row],[Quantity (kg)]]/FastenersPriceList34[[#This Row],[SINGLE PC. WT.]]</f>
        <v>554.32372505543231</v>
      </c>
      <c r="J72" s="3">
        <v>130</v>
      </c>
      <c r="K72" s="3">
        <f>FastenersPriceList34[[#This Row],[1000 PCS/WT.]]*FastenersPriceList34[[#This Row],[Rate / PER kg (₹)]]</f>
        <v>11726</v>
      </c>
      <c r="L72" s="4">
        <f>FastenersPriceList34[[#This Row],[Rate / PER kg (₹)]]*FastenersPriceList34[[#This Row],[Quantity (kg)]]</f>
        <v>6500</v>
      </c>
      <c r="M72" s="4">
        <f>FastenersPriceList34[[#This Row],[SINGLE PC. WT.]]*FastenersPriceList34[[#This Row],[Rate / PER kg (₹)]]</f>
        <v>11.726000000000001</v>
      </c>
    </row>
    <row r="73" spans="1:13" ht="22.05" customHeight="1" x14ac:dyDescent="0.3">
      <c r="A73" s="2" t="s">
        <v>1822</v>
      </c>
      <c r="B73" s="12" t="s">
        <v>8</v>
      </c>
      <c r="C73" s="12">
        <v>10.9</v>
      </c>
      <c r="D73" s="2">
        <v>96.4</v>
      </c>
      <c r="E73" s="2">
        <f>FastenersPriceList34[[#This Row],[1000 PCS/WT.]]/1000</f>
        <v>9.64E-2</v>
      </c>
      <c r="F73" s="2" t="s">
        <v>78</v>
      </c>
      <c r="G73" s="6" t="s">
        <v>1755</v>
      </c>
      <c r="H73" s="70">
        <v>50</v>
      </c>
      <c r="I73" s="72">
        <f>FastenersPriceList34[[#This Row],[Quantity (kg)]]/FastenersPriceList34[[#This Row],[SINGLE PC. WT.]]</f>
        <v>518.67219917012449</v>
      </c>
      <c r="J73" s="3">
        <v>130</v>
      </c>
      <c r="K73" s="3">
        <f>FastenersPriceList34[[#This Row],[1000 PCS/WT.]]*FastenersPriceList34[[#This Row],[Rate / PER kg (₹)]]</f>
        <v>12532</v>
      </c>
      <c r="L73" s="4">
        <f>FastenersPriceList34[[#This Row],[Rate / PER kg (₹)]]*FastenersPriceList34[[#This Row],[Quantity (kg)]]</f>
        <v>6500</v>
      </c>
      <c r="M73" s="4">
        <f>FastenersPriceList34[[#This Row],[SINGLE PC. WT.]]*FastenersPriceList34[[#This Row],[Rate / PER kg (₹)]]</f>
        <v>12.532</v>
      </c>
    </row>
    <row r="74" spans="1:13" ht="22.05" customHeight="1" x14ac:dyDescent="0.3">
      <c r="A74" s="2" t="s">
        <v>1823</v>
      </c>
      <c r="B74" s="12" t="s">
        <v>8</v>
      </c>
      <c r="C74" s="12">
        <v>10.9</v>
      </c>
      <c r="D74" s="2">
        <v>102.6</v>
      </c>
      <c r="E74" s="2">
        <f>FastenersPriceList34[[#This Row],[1000 PCS/WT.]]/1000</f>
        <v>0.1026</v>
      </c>
      <c r="F74" s="2" t="s">
        <v>79</v>
      </c>
      <c r="G74" s="6" t="s">
        <v>1755</v>
      </c>
      <c r="H74" s="70">
        <v>50</v>
      </c>
      <c r="I74" s="72">
        <f>FastenersPriceList34[[#This Row],[Quantity (kg)]]/FastenersPriceList34[[#This Row],[SINGLE PC. WT.]]</f>
        <v>487.32943469785579</v>
      </c>
      <c r="J74" s="3">
        <v>130</v>
      </c>
      <c r="K74" s="3">
        <f>FastenersPriceList34[[#This Row],[1000 PCS/WT.]]*FastenersPriceList34[[#This Row],[Rate / PER kg (₹)]]</f>
        <v>13338</v>
      </c>
      <c r="L74" s="4">
        <f>FastenersPriceList34[[#This Row],[Rate / PER kg (₹)]]*FastenersPriceList34[[#This Row],[Quantity (kg)]]</f>
        <v>6500</v>
      </c>
      <c r="M74" s="4">
        <f>FastenersPriceList34[[#This Row],[SINGLE PC. WT.]]*FastenersPriceList34[[#This Row],[Rate / PER kg (₹)]]</f>
        <v>13.337999999999999</v>
      </c>
    </row>
    <row r="75" spans="1:13" ht="22.05" customHeight="1" x14ac:dyDescent="0.3">
      <c r="A75" s="2" t="s">
        <v>1824</v>
      </c>
      <c r="B75" s="12" t="s">
        <v>8</v>
      </c>
      <c r="C75" s="12">
        <v>10.9</v>
      </c>
      <c r="D75" s="2">
        <v>36.869999999999997</v>
      </c>
      <c r="E75" s="2">
        <f>FastenersPriceList34[[#This Row],[1000 PCS/WT.]]/1000</f>
        <v>3.687E-2</v>
      </c>
      <c r="F75" s="2" t="s">
        <v>80</v>
      </c>
      <c r="G75" s="6" t="s">
        <v>1755</v>
      </c>
      <c r="H75" s="70">
        <v>50</v>
      </c>
      <c r="I75" s="72">
        <f>FastenersPriceList34[[#This Row],[Quantity (kg)]]/FastenersPriceList34[[#This Row],[SINGLE PC. WT.]]</f>
        <v>1356.1160835367507</v>
      </c>
      <c r="J75" s="3">
        <v>127</v>
      </c>
      <c r="K75" s="3">
        <f>FastenersPriceList34[[#This Row],[1000 PCS/WT.]]*FastenersPriceList34[[#This Row],[Rate / PER kg (₹)]]</f>
        <v>4682.49</v>
      </c>
      <c r="L75" s="4">
        <f>FastenersPriceList34[[#This Row],[Rate / PER kg (₹)]]*FastenersPriceList34[[#This Row],[Quantity (kg)]]</f>
        <v>6350</v>
      </c>
      <c r="M75" s="4">
        <f>FastenersPriceList34[[#This Row],[SINGLE PC. WT.]]*FastenersPriceList34[[#This Row],[Rate / PER kg (₹)]]</f>
        <v>4.6824899999999996</v>
      </c>
    </row>
    <row r="76" spans="1:13" ht="22.05" customHeight="1" x14ac:dyDescent="0.3">
      <c r="A76" s="2" t="s">
        <v>1825</v>
      </c>
      <c r="B76" s="12" t="s">
        <v>8</v>
      </c>
      <c r="C76" s="12">
        <v>10.9</v>
      </c>
      <c r="D76" s="2">
        <v>40.22</v>
      </c>
      <c r="E76" s="2">
        <f>FastenersPriceList34[[#This Row],[1000 PCS/WT.]]/1000</f>
        <v>4.0219999999999999E-2</v>
      </c>
      <c r="F76" s="2" t="s">
        <v>81</v>
      </c>
      <c r="G76" s="6" t="s">
        <v>1755</v>
      </c>
      <c r="H76" s="70">
        <v>50</v>
      </c>
      <c r="I76" s="72">
        <f>FastenersPriceList34[[#This Row],[Quantity (kg)]]/FastenersPriceList34[[#This Row],[SINGLE PC. WT.]]</f>
        <v>1243.1626056688215</v>
      </c>
      <c r="J76" s="3">
        <v>127</v>
      </c>
      <c r="K76" s="3">
        <f>FastenersPriceList34[[#This Row],[1000 PCS/WT.]]*FastenersPriceList34[[#This Row],[Rate / PER kg (₹)]]</f>
        <v>5107.9399999999996</v>
      </c>
      <c r="L76" s="4">
        <f>FastenersPriceList34[[#This Row],[Rate / PER kg (₹)]]*FastenersPriceList34[[#This Row],[Quantity (kg)]]</f>
        <v>6350</v>
      </c>
      <c r="M76" s="4">
        <f>FastenersPriceList34[[#This Row],[SINGLE PC. WT.]]*FastenersPriceList34[[#This Row],[Rate / PER kg (₹)]]</f>
        <v>5.1079400000000001</v>
      </c>
    </row>
    <row r="77" spans="1:13" ht="22.05" customHeight="1" x14ac:dyDescent="0.3">
      <c r="A77" s="2" t="s">
        <v>1826</v>
      </c>
      <c r="B77" s="12" t="s">
        <v>8</v>
      </c>
      <c r="C77" s="12">
        <v>10.9</v>
      </c>
      <c r="D77" s="2">
        <v>43.82</v>
      </c>
      <c r="E77" s="2">
        <f>FastenersPriceList34[[#This Row],[1000 PCS/WT.]]/1000</f>
        <v>4.3819999999999998E-2</v>
      </c>
      <c r="F77" s="2" t="s">
        <v>82</v>
      </c>
      <c r="G77" s="6" t="s">
        <v>1755</v>
      </c>
      <c r="H77" s="70">
        <v>50</v>
      </c>
      <c r="I77" s="72">
        <f>FastenersPriceList34[[#This Row],[Quantity (kg)]]/FastenersPriceList34[[#This Row],[SINGLE PC. WT.]]</f>
        <v>1141.0314924691922</v>
      </c>
      <c r="J77" s="3">
        <v>127</v>
      </c>
      <c r="K77" s="3">
        <f>FastenersPriceList34[[#This Row],[1000 PCS/WT.]]*FastenersPriceList34[[#This Row],[Rate / PER kg (₹)]]</f>
        <v>5565.14</v>
      </c>
      <c r="L77" s="4">
        <f>FastenersPriceList34[[#This Row],[Rate / PER kg (₹)]]*FastenersPriceList34[[#This Row],[Quantity (kg)]]</f>
        <v>6350</v>
      </c>
      <c r="M77" s="4">
        <f>FastenersPriceList34[[#This Row],[SINGLE PC. WT.]]*FastenersPriceList34[[#This Row],[Rate / PER kg (₹)]]</f>
        <v>5.5651399999999995</v>
      </c>
    </row>
    <row r="78" spans="1:13" ht="22.05" customHeight="1" x14ac:dyDescent="0.3">
      <c r="A78" s="2" t="s">
        <v>1827</v>
      </c>
      <c r="B78" s="12" t="s">
        <v>8</v>
      </c>
      <c r="C78" s="12">
        <v>10.9</v>
      </c>
      <c r="D78" s="2">
        <v>48.22</v>
      </c>
      <c r="E78" s="2">
        <f>FastenersPriceList34[[#This Row],[1000 PCS/WT.]]/1000</f>
        <v>4.8219999999999999E-2</v>
      </c>
      <c r="F78" s="2" t="s">
        <v>83</v>
      </c>
      <c r="G78" s="6" t="s">
        <v>1755</v>
      </c>
      <c r="H78" s="70">
        <v>50</v>
      </c>
      <c r="I78" s="72">
        <f>FastenersPriceList34[[#This Row],[Quantity (kg)]]/FastenersPriceList34[[#This Row],[SINGLE PC. WT.]]</f>
        <v>1036.9141435089175</v>
      </c>
      <c r="J78" s="3">
        <v>127</v>
      </c>
      <c r="K78" s="3">
        <f>FastenersPriceList34[[#This Row],[1000 PCS/WT.]]*FastenersPriceList34[[#This Row],[Rate / PER kg (₹)]]</f>
        <v>6123.94</v>
      </c>
      <c r="L78" s="4">
        <f>FastenersPriceList34[[#This Row],[Rate / PER kg (₹)]]*FastenersPriceList34[[#This Row],[Quantity (kg)]]</f>
        <v>6350</v>
      </c>
      <c r="M78" s="4">
        <f>FastenersPriceList34[[#This Row],[SINGLE PC. WT.]]*FastenersPriceList34[[#This Row],[Rate / PER kg (₹)]]</f>
        <v>6.1239400000000002</v>
      </c>
    </row>
    <row r="79" spans="1:13" ht="22.05" customHeight="1" x14ac:dyDescent="0.3">
      <c r="A79" s="2" t="s">
        <v>1828</v>
      </c>
      <c r="B79" s="12" t="s">
        <v>8</v>
      </c>
      <c r="C79" s="12">
        <v>10.9</v>
      </c>
      <c r="D79" s="2">
        <v>52.62</v>
      </c>
      <c r="E79" s="2">
        <f>FastenersPriceList34[[#This Row],[1000 PCS/WT.]]/1000</f>
        <v>5.262E-2</v>
      </c>
      <c r="F79" s="2" t="s">
        <v>84</v>
      </c>
      <c r="G79" s="6" t="s">
        <v>1755</v>
      </c>
      <c r="H79" s="70">
        <v>50</v>
      </c>
      <c r="I79" s="72">
        <f>FastenersPriceList34[[#This Row],[Quantity (kg)]]/FastenersPriceList34[[#This Row],[SINGLE PC. WT.]]</f>
        <v>950.20904599011783</v>
      </c>
      <c r="J79" s="3">
        <v>127</v>
      </c>
      <c r="K79" s="3">
        <f>FastenersPriceList34[[#This Row],[1000 PCS/WT.]]*FastenersPriceList34[[#This Row],[Rate / PER kg (₹)]]</f>
        <v>6682.74</v>
      </c>
      <c r="L79" s="4">
        <f>FastenersPriceList34[[#This Row],[Rate / PER kg (₹)]]*FastenersPriceList34[[#This Row],[Quantity (kg)]]</f>
        <v>6350</v>
      </c>
      <c r="M79" s="4">
        <f>FastenersPriceList34[[#This Row],[SINGLE PC. WT.]]*FastenersPriceList34[[#This Row],[Rate / PER kg (₹)]]</f>
        <v>6.6827399999999999</v>
      </c>
    </row>
    <row r="80" spans="1:13" ht="22.05" customHeight="1" x14ac:dyDescent="0.3">
      <c r="A80" s="2" t="s">
        <v>1829</v>
      </c>
      <c r="B80" s="12" t="s">
        <v>8</v>
      </c>
      <c r="C80" s="12">
        <v>10.9</v>
      </c>
      <c r="D80" s="2">
        <v>57.02</v>
      </c>
      <c r="E80" s="2">
        <f>FastenersPriceList34[[#This Row],[1000 PCS/WT.]]/1000</f>
        <v>5.7020000000000001E-2</v>
      </c>
      <c r="F80" s="2" t="s">
        <v>85</v>
      </c>
      <c r="G80" s="6" t="s">
        <v>1755</v>
      </c>
      <c r="H80" s="70">
        <v>50</v>
      </c>
      <c r="I80" s="72">
        <f>FastenersPriceList34[[#This Row],[Quantity (kg)]]/FastenersPriceList34[[#This Row],[SINGLE PC. WT.]]</f>
        <v>876.885303402315</v>
      </c>
      <c r="J80" s="3">
        <v>127</v>
      </c>
      <c r="K80" s="3">
        <f>FastenersPriceList34[[#This Row],[1000 PCS/WT.]]*FastenersPriceList34[[#This Row],[Rate / PER kg (₹)]]</f>
        <v>7241.54</v>
      </c>
      <c r="L80" s="4">
        <f>FastenersPriceList34[[#This Row],[Rate / PER kg (₹)]]*FastenersPriceList34[[#This Row],[Quantity (kg)]]</f>
        <v>6350</v>
      </c>
      <c r="M80" s="4">
        <f>FastenersPriceList34[[#This Row],[SINGLE PC. WT.]]*FastenersPriceList34[[#This Row],[Rate / PER kg (₹)]]</f>
        <v>7.2415400000000005</v>
      </c>
    </row>
    <row r="81" spans="1:13" ht="22.05" customHeight="1" x14ac:dyDescent="0.3">
      <c r="A81" s="2" t="s">
        <v>1830</v>
      </c>
      <c r="B81" s="12" t="s">
        <v>8</v>
      </c>
      <c r="C81" s="12">
        <v>10.9</v>
      </c>
      <c r="D81" s="2">
        <v>61.42</v>
      </c>
      <c r="E81" s="2">
        <f>FastenersPriceList34[[#This Row],[1000 PCS/WT.]]/1000</f>
        <v>6.1420000000000002E-2</v>
      </c>
      <c r="F81" s="2" t="s">
        <v>86</v>
      </c>
      <c r="G81" s="6" t="s">
        <v>1755</v>
      </c>
      <c r="H81" s="70">
        <v>50</v>
      </c>
      <c r="I81" s="72">
        <f>FastenersPriceList34[[#This Row],[Quantity (kg)]]/FastenersPriceList34[[#This Row],[SINGLE PC. WT.]]</f>
        <v>814.06707912732008</v>
      </c>
      <c r="J81" s="3">
        <v>125</v>
      </c>
      <c r="K81" s="3">
        <f>FastenersPriceList34[[#This Row],[1000 PCS/WT.]]*FastenersPriceList34[[#This Row],[Rate / PER kg (₹)]]</f>
        <v>7677.5</v>
      </c>
      <c r="L81" s="4">
        <f>FastenersPriceList34[[#This Row],[Rate / PER kg (₹)]]*FastenersPriceList34[[#This Row],[Quantity (kg)]]</f>
        <v>6250</v>
      </c>
      <c r="M81" s="4">
        <f>FastenersPriceList34[[#This Row],[SINGLE PC. WT.]]*FastenersPriceList34[[#This Row],[Rate / PER kg (₹)]]</f>
        <v>7.6775000000000002</v>
      </c>
    </row>
    <row r="82" spans="1:13" ht="22.05" customHeight="1" x14ac:dyDescent="0.3">
      <c r="A82" s="2" t="s">
        <v>1831</v>
      </c>
      <c r="B82" s="12" t="s">
        <v>8</v>
      </c>
      <c r="C82" s="12">
        <v>10.9</v>
      </c>
      <c r="D82" s="2">
        <v>65.819999999999993</v>
      </c>
      <c r="E82" s="2">
        <f>FastenersPriceList34[[#This Row],[1000 PCS/WT.]]/1000</f>
        <v>6.581999999999999E-2</v>
      </c>
      <c r="F82" s="2" t="s">
        <v>87</v>
      </c>
      <c r="G82" s="6" t="s">
        <v>1755</v>
      </c>
      <c r="H82" s="70">
        <v>50</v>
      </c>
      <c r="I82" s="72">
        <f>FastenersPriceList34[[#This Row],[Quantity (kg)]]/FastenersPriceList34[[#This Row],[SINGLE PC. WT.]]</f>
        <v>759.6475235490733</v>
      </c>
      <c r="J82" s="3">
        <v>125</v>
      </c>
      <c r="K82" s="3">
        <f>FastenersPriceList34[[#This Row],[1000 PCS/WT.]]*FastenersPriceList34[[#This Row],[Rate / PER kg (₹)]]</f>
        <v>8227.5</v>
      </c>
      <c r="L82" s="4">
        <f>FastenersPriceList34[[#This Row],[Rate / PER kg (₹)]]*FastenersPriceList34[[#This Row],[Quantity (kg)]]</f>
        <v>6250</v>
      </c>
      <c r="M82" s="4">
        <f>FastenersPriceList34[[#This Row],[SINGLE PC. WT.]]*FastenersPriceList34[[#This Row],[Rate / PER kg (₹)]]</f>
        <v>8.2274999999999991</v>
      </c>
    </row>
    <row r="83" spans="1:13" ht="22.05" customHeight="1" x14ac:dyDescent="0.3">
      <c r="A83" s="2" t="s">
        <v>1832</v>
      </c>
      <c r="B83" s="12" t="s">
        <v>8</v>
      </c>
      <c r="C83" s="12">
        <v>10.9</v>
      </c>
      <c r="D83" s="2">
        <v>70.22</v>
      </c>
      <c r="E83" s="2">
        <f>FastenersPriceList34[[#This Row],[1000 PCS/WT.]]/1000</f>
        <v>7.0220000000000005E-2</v>
      </c>
      <c r="F83" s="2" t="s">
        <v>88</v>
      </c>
      <c r="G83" s="6" t="s">
        <v>1755</v>
      </c>
      <c r="H83" s="70">
        <v>50</v>
      </c>
      <c r="I83" s="72">
        <f>FastenersPriceList34[[#This Row],[Quantity (kg)]]/FastenersPriceList34[[#This Row],[SINGLE PC. WT.]]</f>
        <v>712.0478496154941</v>
      </c>
      <c r="J83" s="3">
        <v>125</v>
      </c>
      <c r="K83" s="3">
        <f>FastenersPriceList34[[#This Row],[1000 PCS/WT.]]*FastenersPriceList34[[#This Row],[Rate / PER kg (₹)]]</f>
        <v>8777.5</v>
      </c>
      <c r="L83" s="4">
        <f>FastenersPriceList34[[#This Row],[Rate / PER kg (₹)]]*FastenersPriceList34[[#This Row],[Quantity (kg)]]</f>
        <v>6250</v>
      </c>
      <c r="M83" s="4">
        <f>FastenersPriceList34[[#This Row],[SINGLE PC. WT.]]*FastenersPriceList34[[#This Row],[Rate / PER kg (₹)]]</f>
        <v>8.7774999999999999</v>
      </c>
    </row>
    <row r="84" spans="1:13" ht="22.05" customHeight="1" x14ac:dyDescent="0.3">
      <c r="A84" s="2" t="s">
        <v>1833</v>
      </c>
      <c r="B84" s="12" t="s">
        <v>8</v>
      </c>
      <c r="C84" s="12">
        <v>10.9</v>
      </c>
      <c r="D84" s="2">
        <v>74.62</v>
      </c>
      <c r="E84" s="2">
        <f>FastenersPriceList34[[#This Row],[1000 PCS/WT.]]/1000</f>
        <v>7.4620000000000006E-2</v>
      </c>
      <c r="F84" s="2" t="s">
        <v>89</v>
      </c>
      <c r="G84" s="6" t="s">
        <v>1755</v>
      </c>
      <c r="H84" s="70">
        <v>50</v>
      </c>
      <c r="I84" s="72">
        <f>FastenersPriceList34[[#This Row],[Quantity (kg)]]/FastenersPriceList34[[#This Row],[SINGLE PC. WT.]]</f>
        <v>670.06164567140172</v>
      </c>
      <c r="J84" s="3">
        <v>125</v>
      </c>
      <c r="K84" s="3">
        <f>FastenersPriceList34[[#This Row],[1000 PCS/WT.]]*FastenersPriceList34[[#This Row],[Rate / PER kg (₹)]]</f>
        <v>9327.5</v>
      </c>
      <c r="L84" s="4">
        <f>FastenersPriceList34[[#This Row],[Rate / PER kg (₹)]]*FastenersPriceList34[[#This Row],[Quantity (kg)]]</f>
        <v>6250</v>
      </c>
      <c r="M84" s="4">
        <f>FastenersPriceList34[[#This Row],[SINGLE PC. WT.]]*FastenersPriceList34[[#This Row],[Rate / PER kg (₹)]]</f>
        <v>9.3275000000000006</v>
      </c>
    </row>
    <row r="85" spans="1:13" ht="22.05" customHeight="1" x14ac:dyDescent="0.3">
      <c r="A85" s="2" t="s">
        <v>1834</v>
      </c>
      <c r="B85" s="12" t="s">
        <v>8</v>
      </c>
      <c r="C85" s="12">
        <v>10.9</v>
      </c>
      <c r="D85" s="2">
        <v>79.02</v>
      </c>
      <c r="E85" s="2">
        <f>FastenersPriceList34[[#This Row],[1000 PCS/WT.]]/1000</f>
        <v>7.9019999999999993E-2</v>
      </c>
      <c r="F85" s="2" t="s">
        <v>90</v>
      </c>
      <c r="G85" s="6" t="s">
        <v>1755</v>
      </c>
      <c r="H85" s="70">
        <v>50</v>
      </c>
      <c r="I85" s="72">
        <f>FastenersPriceList34[[#This Row],[Quantity (kg)]]/FastenersPriceList34[[#This Row],[SINGLE PC. WT.]]</f>
        <v>632.75120222728424</v>
      </c>
      <c r="J85" s="3">
        <v>125</v>
      </c>
      <c r="K85" s="3">
        <f>FastenersPriceList34[[#This Row],[1000 PCS/WT.]]*FastenersPriceList34[[#This Row],[Rate / PER kg (₹)]]</f>
        <v>9877.5</v>
      </c>
      <c r="L85" s="4">
        <f>FastenersPriceList34[[#This Row],[Rate / PER kg (₹)]]*FastenersPriceList34[[#This Row],[Quantity (kg)]]</f>
        <v>6250</v>
      </c>
      <c r="M85" s="4">
        <f>FastenersPriceList34[[#This Row],[SINGLE PC. WT.]]*FastenersPriceList34[[#This Row],[Rate / PER kg (₹)]]</f>
        <v>9.8774999999999995</v>
      </c>
    </row>
    <row r="86" spans="1:13" ht="22.05" customHeight="1" x14ac:dyDescent="0.3">
      <c r="A86" s="2" t="s">
        <v>1835</v>
      </c>
      <c r="B86" s="12" t="s">
        <v>8</v>
      </c>
      <c r="C86" s="12">
        <v>10.9</v>
      </c>
      <c r="D86" s="2">
        <v>83.42</v>
      </c>
      <c r="E86" s="2">
        <f>FastenersPriceList34[[#This Row],[1000 PCS/WT.]]/1000</f>
        <v>8.3420000000000008E-2</v>
      </c>
      <c r="F86" s="2" t="s">
        <v>91</v>
      </c>
      <c r="G86" s="6" t="s">
        <v>1755</v>
      </c>
      <c r="H86" s="70">
        <v>50</v>
      </c>
      <c r="I86" s="72">
        <f>FastenersPriceList34[[#This Row],[Quantity (kg)]]/FastenersPriceList34[[#This Row],[SINGLE PC. WT.]]</f>
        <v>599.37664828578272</v>
      </c>
      <c r="J86" s="3">
        <v>125</v>
      </c>
      <c r="K86" s="3">
        <f>FastenersPriceList34[[#This Row],[1000 PCS/WT.]]*FastenersPriceList34[[#This Row],[Rate / PER kg (₹)]]</f>
        <v>10427.5</v>
      </c>
      <c r="L86" s="4">
        <f>FastenersPriceList34[[#This Row],[Rate / PER kg (₹)]]*FastenersPriceList34[[#This Row],[Quantity (kg)]]</f>
        <v>6250</v>
      </c>
      <c r="M86" s="4">
        <f>FastenersPriceList34[[#This Row],[SINGLE PC. WT.]]*FastenersPriceList34[[#This Row],[Rate / PER kg (₹)]]</f>
        <v>10.4275</v>
      </c>
    </row>
    <row r="87" spans="1:13" ht="22.05" customHeight="1" x14ac:dyDescent="0.3">
      <c r="A87" s="2" t="s">
        <v>1836</v>
      </c>
      <c r="B87" s="12" t="s">
        <v>8</v>
      </c>
      <c r="C87" s="12">
        <v>10.9</v>
      </c>
      <c r="D87" s="2">
        <v>87.82</v>
      </c>
      <c r="E87" s="2">
        <f>FastenersPriceList34[[#This Row],[1000 PCS/WT.]]/1000</f>
        <v>8.7819999999999995E-2</v>
      </c>
      <c r="F87" s="2" t="s">
        <v>92</v>
      </c>
      <c r="G87" s="6" t="s">
        <v>1755</v>
      </c>
      <c r="H87" s="70">
        <v>50</v>
      </c>
      <c r="I87" s="72">
        <f>FastenersPriceList34[[#This Row],[Quantity (kg)]]/FastenersPriceList34[[#This Row],[SINGLE PC. WT.]]</f>
        <v>569.34639034388522</v>
      </c>
      <c r="J87" s="3">
        <v>130</v>
      </c>
      <c r="K87" s="3">
        <f>FastenersPriceList34[[#This Row],[1000 PCS/WT.]]*FastenersPriceList34[[#This Row],[Rate / PER kg (₹)]]</f>
        <v>11416.599999999999</v>
      </c>
      <c r="L87" s="4">
        <f>FastenersPriceList34[[#This Row],[Rate / PER kg (₹)]]*FastenersPriceList34[[#This Row],[Quantity (kg)]]</f>
        <v>6500</v>
      </c>
      <c r="M87" s="4">
        <f>FastenersPriceList34[[#This Row],[SINGLE PC. WT.]]*FastenersPriceList34[[#This Row],[Rate / PER kg (₹)]]</f>
        <v>11.416599999999999</v>
      </c>
    </row>
    <row r="88" spans="1:13" ht="22.05" customHeight="1" x14ac:dyDescent="0.3">
      <c r="A88" s="2" t="s">
        <v>1837</v>
      </c>
      <c r="B88" s="12" t="s">
        <v>8</v>
      </c>
      <c r="C88" s="12">
        <v>10.9</v>
      </c>
      <c r="D88" s="2">
        <v>92.22</v>
      </c>
      <c r="E88" s="2">
        <f>FastenersPriceList34[[#This Row],[1000 PCS/WT.]]/1000</f>
        <v>9.2219999999999996E-2</v>
      </c>
      <c r="F88" s="2" t="s">
        <v>93</v>
      </c>
      <c r="G88" s="6" t="s">
        <v>1755</v>
      </c>
      <c r="H88" s="70">
        <v>50</v>
      </c>
      <c r="I88" s="72">
        <f>FastenersPriceList34[[#This Row],[Quantity (kg)]]/FastenersPriceList34[[#This Row],[SINGLE PC. WT.]]</f>
        <v>542.18173931901981</v>
      </c>
      <c r="J88" s="3">
        <v>130</v>
      </c>
      <c r="K88" s="3">
        <f>FastenersPriceList34[[#This Row],[1000 PCS/WT.]]*FastenersPriceList34[[#This Row],[Rate / PER kg (₹)]]</f>
        <v>11988.6</v>
      </c>
      <c r="L88" s="4">
        <f>FastenersPriceList34[[#This Row],[Rate / PER kg (₹)]]*FastenersPriceList34[[#This Row],[Quantity (kg)]]</f>
        <v>6500</v>
      </c>
      <c r="M88" s="4">
        <f>FastenersPriceList34[[#This Row],[SINGLE PC. WT.]]*FastenersPriceList34[[#This Row],[Rate / PER kg (₹)]]</f>
        <v>11.9886</v>
      </c>
    </row>
    <row r="89" spans="1:13" ht="22.05" customHeight="1" x14ac:dyDescent="0.3">
      <c r="A89" s="2" t="s">
        <v>1838</v>
      </c>
      <c r="B89" s="12" t="s">
        <v>8</v>
      </c>
      <c r="C89" s="12">
        <v>10.9</v>
      </c>
      <c r="D89" s="2">
        <v>96.62</v>
      </c>
      <c r="E89" s="2">
        <f>FastenersPriceList34[[#This Row],[1000 PCS/WT.]]/1000</f>
        <v>9.6620000000000011E-2</v>
      </c>
      <c r="F89" s="2" t="s">
        <v>94</v>
      </c>
      <c r="G89" s="6" t="s">
        <v>1755</v>
      </c>
      <c r="H89" s="70">
        <v>50</v>
      </c>
      <c r="I89" s="72">
        <f>FastenersPriceList34[[#This Row],[Quantity (kg)]]/FastenersPriceList34[[#This Row],[SINGLE PC. WT.]]</f>
        <v>517.49120264955491</v>
      </c>
      <c r="J89" s="3">
        <v>130</v>
      </c>
      <c r="K89" s="3">
        <f>FastenersPriceList34[[#This Row],[1000 PCS/WT.]]*FastenersPriceList34[[#This Row],[Rate / PER kg (₹)]]</f>
        <v>12560.6</v>
      </c>
      <c r="L89" s="4">
        <f>FastenersPriceList34[[#This Row],[Rate / PER kg (₹)]]*FastenersPriceList34[[#This Row],[Quantity (kg)]]</f>
        <v>6500</v>
      </c>
      <c r="M89" s="4">
        <f>FastenersPriceList34[[#This Row],[SINGLE PC. WT.]]*FastenersPriceList34[[#This Row],[Rate / PER kg (₹)]]</f>
        <v>12.560600000000001</v>
      </c>
    </row>
    <row r="90" spans="1:13" ht="22.05" customHeight="1" x14ac:dyDescent="0.3">
      <c r="A90" s="2" t="s">
        <v>1839</v>
      </c>
      <c r="B90" s="12" t="s">
        <v>8</v>
      </c>
      <c r="C90" s="12">
        <v>10.9</v>
      </c>
      <c r="D90" s="2">
        <v>101.02</v>
      </c>
      <c r="E90" s="2">
        <f>FastenersPriceList34[[#This Row],[1000 PCS/WT.]]/1000</f>
        <v>0.10102</v>
      </c>
      <c r="F90" s="2" t="s">
        <v>95</v>
      </c>
      <c r="G90" s="6" t="s">
        <v>1755</v>
      </c>
      <c r="H90" s="70">
        <v>50</v>
      </c>
      <c r="I90" s="72">
        <f>FastenersPriceList34[[#This Row],[Quantity (kg)]]/FastenersPriceList34[[#This Row],[SINGLE PC. WT.]]</f>
        <v>494.95149475351417</v>
      </c>
      <c r="J90" s="3">
        <v>130</v>
      </c>
      <c r="K90" s="3">
        <f>FastenersPriceList34[[#This Row],[1000 PCS/WT.]]*FastenersPriceList34[[#This Row],[Rate / PER kg (₹)]]</f>
        <v>13132.6</v>
      </c>
      <c r="L90" s="4">
        <f>FastenersPriceList34[[#This Row],[Rate / PER kg (₹)]]*FastenersPriceList34[[#This Row],[Quantity (kg)]]</f>
        <v>6500</v>
      </c>
      <c r="M90" s="4">
        <f>FastenersPriceList34[[#This Row],[SINGLE PC. WT.]]*FastenersPriceList34[[#This Row],[Rate / PER kg (₹)]]</f>
        <v>13.1326</v>
      </c>
    </row>
    <row r="91" spans="1:13" ht="22.05" customHeight="1" x14ac:dyDescent="0.3">
      <c r="A91" s="2" t="s">
        <v>1840</v>
      </c>
      <c r="B91" s="12" t="s">
        <v>8</v>
      </c>
      <c r="C91" s="12">
        <v>10.9</v>
      </c>
      <c r="D91" s="2">
        <v>110</v>
      </c>
      <c r="E91" s="2">
        <f>FastenersPriceList34[[#This Row],[1000 PCS/WT.]]/1000</f>
        <v>0.11</v>
      </c>
      <c r="F91" s="2" t="s">
        <v>96</v>
      </c>
      <c r="G91" s="6" t="s">
        <v>1755</v>
      </c>
      <c r="H91" s="70">
        <v>50</v>
      </c>
      <c r="I91" s="72">
        <f>FastenersPriceList34[[#This Row],[Quantity (kg)]]/FastenersPriceList34[[#This Row],[SINGLE PC. WT.]]</f>
        <v>454.54545454545456</v>
      </c>
      <c r="J91" s="3">
        <v>133</v>
      </c>
      <c r="K91" s="3">
        <f>FastenersPriceList34[[#This Row],[1000 PCS/WT.]]*FastenersPriceList34[[#This Row],[Rate / PER kg (₹)]]</f>
        <v>14630</v>
      </c>
      <c r="L91" s="4">
        <f>FastenersPriceList34[[#This Row],[Rate / PER kg (₹)]]*FastenersPriceList34[[#This Row],[Quantity (kg)]]</f>
        <v>6650</v>
      </c>
      <c r="M91" s="4">
        <f>FastenersPriceList34[[#This Row],[SINGLE PC. WT.]]*FastenersPriceList34[[#This Row],[Rate / PER kg (₹)]]</f>
        <v>14.63</v>
      </c>
    </row>
    <row r="92" spans="1:13" ht="22.05" customHeight="1" x14ac:dyDescent="0.3">
      <c r="A92" s="2" t="s">
        <v>1841</v>
      </c>
      <c r="B92" s="12" t="s">
        <v>8</v>
      </c>
      <c r="C92" s="12">
        <v>10.9</v>
      </c>
      <c r="D92" s="2">
        <v>119</v>
      </c>
      <c r="E92" s="2">
        <f>FastenersPriceList34[[#This Row],[1000 PCS/WT.]]/1000</f>
        <v>0.11899999999999999</v>
      </c>
      <c r="F92" s="2" t="s">
        <v>97</v>
      </c>
      <c r="G92" s="6" t="s">
        <v>1755</v>
      </c>
      <c r="H92" s="70">
        <v>50</v>
      </c>
      <c r="I92" s="72">
        <f>FastenersPriceList34[[#This Row],[Quantity (kg)]]/FastenersPriceList34[[#This Row],[SINGLE PC. WT.]]</f>
        <v>420.1680672268908</v>
      </c>
      <c r="J92" s="3">
        <v>133</v>
      </c>
      <c r="K92" s="3">
        <f>FastenersPriceList34[[#This Row],[1000 PCS/WT.]]*FastenersPriceList34[[#This Row],[Rate / PER kg (₹)]]</f>
        <v>15827</v>
      </c>
      <c r="L92" s="4">
        <f>FastenersPriceList34[[#This Row],[Rate / PER kg (₹)]]*FastenersPriceList34[[#This Row],[Quantity (kg)]]</f>
        <v>6650</v>
      </c>
      <c r="M92" s="4">
        <f>FastenersPriceList34[[#This Row],[SINGLE PC. WT.]]*FastenersPriceList34[[#This Row],[Rate / PER kg (₹)]]</f>
        <v>15.827</v>
      </c>
    </row>
    <row r="93" spans="1:13" ht="22.05" customHeight="1" x14ac:dyDescent="0.3">
      <c r="A93" s="2" t="s">
        <v>1842</v>
      </c>
      <c r="B93" s="12" t="s">
        <v>8</v>
      </c>
      <c r="C93" s="12">
        <v>10.9</v>
      </c>
      <c r="D93" s="2">
        <v>127.8</v>
      </c>
      <c r="E93" s="2">
        <f>FastenersPriceList34[[#This Row],[1000 PCS/WT.]]/1000</f>
        <v>0.1278</v>
      </c>
      <c r="F93" s="2" t="s">
        <v>635</v>
      </c>
      <c r="G93" s="6" t="s">
        <v>1755</v>
      </c>
      <c r="H93" s="70">
        <v>50</v>
      </c>
      <c r="I93" s="72">
        <f>FastenersPriceList34[[#This Row],[Quantity (kg)]]/FastenersPriceList34[[#This Row],[SINGLE PC. WT.]]</f>
        <v>391.23630672926447</v>
      </c>
      <c r="J93" s="3">
        <v>133</v>
      </c>
      <c r="K93" s="3">
        <f>FastenersPriceList34[[#This Row],[1000 PCS/WT.]]*FastenersPriceList34[[#This Row],[Rate / PER kg (₹)]]</f>
        <v>16997.399999999998</v>
      </c>
      <c r="L93" s="4">
        <f>FastenersPriceList34[[#This Row],[Rate / PER kg (₹)]]*FastenersPriceList34[[#This Row],[Quantity (kg)]]</f>
        <v>6650</v>
      </c>
      <c r="M93" s="4">
        <f>FastenersPriceList34[[#This Row],[SINGLE PC. WT.]]*FastenersPriceList34[[#This Row],[Rate / PER kg (₹)]]</f>
        <v>16.997399999999999</v>
      </c>
    </row>
    <row r="94" spans="1:13" ht="22.05" customHeight="1" x14ac:dyDescent="0.3">
      <c r="A94" s="2" t="s">
        <v>1843</v>
      </c>
      <c r="B94" s="12" t="s">
        <v>8</v>
      </c>
      <c r="C94" s="12">
        <v>10.9</v>
      </c>
      <c r="D94" s="2">
        <v>136.6</v>
      </c>
      <c r="E94" s="2">
        <f>FastenersPriceList34[[#This Row],[1000 PCS/WT.]]/1000</f>
        <v>0.1366</v>
      </c>
      <c r="F94" s="2" t="s">
        <v>98</v>
      </c>
      <c r="G94" s="6" t="s">
        <v>1755</v>
      </c>
      <c r="H94" s="70">
        <v>50</v>
      </c>
      <c r="I94" s="72">
        <f>FastenersPriceList34[[#This Row],[Quantity (kg)]]/FastenersPriceList34[[#This Row],[SINGLE PC. WT.]]</f>
        <v>366.03221083455344</v>
      </c>
      <c r="J94" s="3">
        <v>133</v>
      </c>
      <c r="K94" s="3">
        <f>FastenersPriceList34[[#This Row],[1000 PCS/WT.]]*FastenersPriceList34[[#This Row],[Rate / PER kg (₹)]]</f>
        <v>18167.8</v>
      </c>
      <c r="L94" s="4">
        <f>FastenersPriceList34[[#This Row],[Rate / PER kg (₹)]]*FastenersPriceList34[[#This Row],[Quantity (kg)]]</f>
        <v>6650</v>
      </c>
      <c r="M94" s="4">
        <f>FastenersPriceList34[[#This Row],[SINGLE PC. WT.]]*FastenersPriceList34[[#This Row],[Rate / PER kg (₹)]]</f>
        <v>18.1678</v>
      </c>
    </row>
    <row r="95" spans="1:13" ht="22.05" customHeight="1" x14ac:dyDescent="0.3">
      <c r="A95" s="2" t="s">
        <v>1844</v>
      </c>
      <c r="B95" s="12" t="s">
        <v>8</v>
      </c>
      <c r="C95" s="12">
        <v>10.9</v>
      </c>
      <c r="D95" s="2">
        <v>145.4</v>
      </c>
      <c r="E95" s="2">
        <f>FastenersPriceList34[[#This Row],[1000 PCS/WT.]]/1000</f>
        <v>0.1454</v>
      </c>
      <c r="F95" s="2" t="s">
        <v>99</v>
      </c>
      <c r="G95" s="6" t="s">
        <v>1755</v>
      </c>
      <c r="H95" s="70">
        <v>50</v>
      </c>
      <c r="I95" s="72">
        <f>FastenersPriceList34[[#This Row],[Quantity (kg)]]/FastenersPriceList34[[#This Row],[SINGLE PC. WT.]]</f>
        <v>343.87895460797802</v>
      </c>
      <c r="J95" s="3">
        <v>133</v>
      </c>
      <c r="K95" s="3">
        <f>FastenersPriceList34[[#This Row],[1000 PCS/WT.]]*FastenersPriceList34[[#This Row],[Rate / PER kg (₹)]]</f>
        <v>19338.2</v>
      </c>
      <c r="L95" s="4">
        <f>FastenersPriceList34[[#This Row],[Rate / PER kg (₹)]]*FastenersPriceList34[[#This Row],[Quantity (kg)]]</f>
        <v>6650</v>
      </c>
      <c r="M95" s="4">
        <f>FastenersPriceList34[[#This Row],[SINGLE PC. WT.]]*FastenersPriceList34[[#This Row],[Rate / PER kg (₹)]]</f>
        <v>19.338200000000001</v>
      </c>
    </row>
    <row r="96" spans="1:13" ht="22.05" customHeight="1" x14ac:dyDescent="0.3">
      <c r="A96" s="2" t="s">
        <v>1845</v>
      </c>
      <c r="B96" s="12" t="s">
        <v>8</v>
      </c>
      <c r="C96" s="12">
        <v>10.9</v>
      </c>
      <c r="D96" s="2">
        <v>154.19999999999999</v>
      </c>
      <c r="E96" s="2">
        <f>FastenersPriceList34[[#This Row],[1000 PCS/WT.]]/1000</f>
        <v>0.15419999999999998</v>
      </c>
      <c r="F96" s="2" t="s">
        <v>100</v>
      </c>
      <c r="G96" s="6" t="s">
        <v>1755</v>
      </c>
      <c r="H96" s="70">
        <v>50</v>
      </c>
      <c r="I96" s="72">
        <f>FastenersPriceList34[[#This Row],[Quantity (kg)]]/FastenersPriceList34[[#This Row],[SINGLE PC. WT.]]</f>
        <v>324.254215304799</v>
      </c>
      <c r="J96" s="3">
        <v>133</v>
      </c>
      <c r="K96" s="3">
        <f>FastenersPriceList34[[#This Row],[1000 PCS/WT.]]*FastenersPriceList34[[#This Row],[Rate / PER kg (₹)]]</f>
        <v>20508.599999999999</v>
      </c>
      <c r="L96" s="4">
        <f>FastenersPriceList34[[#This Row],[Rate / PER kg (₹)]]*FastenersPriceList34[[#This Row],[Quantity (kg)]]</f>
        <v>6650</v>
      </c>
      <c r="M96" s="4">
        <f>FastenersPriceList34[[#This Row],[SINGLE PC. WT.]]*FastenersPriceList34[[#This Row],[Rate / PER kg (₹)]]</f>
        <v>20.508599999999998</v>
      </c>
    </row>
    <row r="97" spans="1:13" ht="22.05" customHeight="1" x14ac:dyDescent="0.3">
      <c r="A97" s="2" t="s">
        <v>1846</v>
      </c>
      <c r="B97" s="12" t="s">
        <v>8</v>
      </c>
      <c r="C97" s="12">
        <v>10.9</v>
      </c>
      <c r="D97" s="2">
        <v>163</v>
      </c>
      <c r="E97" s="2">
        <f>FastenersPriceList34[[#This Row],[1000 PCS/WT.]]/1000</f>
        <v>0.16300000000000001</v>
      </c>
      <c r="F97" s="2" t="s">
        <v>101</v>
      </c>
      <c r="G97" s="6" t="s">
        <v>1755</v>
      </c>
      <c r="H97" s="70">
        <v>50</v>
      </c>
      <c r="I97" s="72">
        <f>FastenersPriceList34[[#This Row],[Quantity (kg)]]/FastenersPriceList34[[#This Row],[SINGLE PC. WT.]]</f>
        <v>306.74846625766872</v>
      </c>
      <c r="J97" s="3">
        <v>133</v>
      </c>
      <c r="K97" s="3">
        <f>FastenersPriceList34[[#This Row],[1000 PCS/WT.]]*FastenersPriceList34[[#This Row],[Rate / PER kg (₹)]]</f>
        <v>21679</v>
      </c>
      <c r="L97" s="4">
        <f>FastenersPriceList34[[#This Row],[Rate / PER kg (₹)]]*FastenersPriceList34[[#This Row],[Quantity (kg)]]</f>
        <v>6650</v>
      </c>
      <c r="M97" s="4">
        <f>FastenersPriceList34[[#This Row],[SINGLE PC. WT.]]*FastenersPriceList34[[#This Row],[Rate / PER kg (₹)]]</f>
        <v>21.679000000000002</v>
      </c>
    </row>
    <row r="98" spans="1:13" ht="22.05" customHeight="1" x14ac:dyDescent="0.3">
      <c r="A98" s="2" t="s">
        <v>1847</v>
      </c>
      <c r="B98" s="12" t="s">
        <v>8</v>
      </c>
      <c r="C98" s="12">
        <v>10.9</v>
      </c>
      <c r="D98" s="2">
        <v>172</v>
      </c>
      <c r="E98" s="2">
        <f>FastenersPriceList34[[#This Row],[1000 PCS/WT.]]/1000</f>
        <v>0.17199999999999999</v>
      </c>
      <c r="F98" s="2" t="s">
        <v>102</v>
      </c>
      <c r="G98" s="6" t="s">
        <v>1755</v>
      </c>
      <c r="H98" s="70">
        <v>50</v>
      </c>
      <c r="I98" s="72">
        <f>FastenersPriceList34[[#This Row],[Quantity (kg)]]/FastenersPriceList34[[#This Row],[SINGLE PC. WT.]]</f>
        <v>290.69767441860466</v>
      </c>
      <c r="J98" s="3">
        <v>133</v>
      </c>
      <c r="K98" s="3">
        <f>FastenersPriceList34[[#This Row],[1000 PCS/WT.]]*FastenersPriceList34[[#This Row],[Rate / PER kg (₹)]]</f>
        <v>22876</v>
      </c>
      <c r="L98" s="4">
        <f>FastenersPriceList34[[#This Row],[Rate / PER kg (₹)]]*FastenersPriceList34[[#This Row],[Quantity (kg)]]</f>
        <v>6650</v>
      </c>
      <c r="M98" s="4">
        <f>FastenersPriceList34[[#This Row],[SINGLE PC. WT.]]*FastenersPriceList34[[#This Row],[Rate / PER kg (₹)]]</f>
        <v>22.875999999999998</v>
      </c>
    </row>
    <row r="99" spans="1:13" ht="22.05" customHeight="1" x14ac:dyDescent="0.3">
      <c r="A99" s="2" t="s">
        <v>1848</v>
      </c>
      <c r="B99" s="12" t="s">
        <v>8</v>
      </c>
      <c r="C99" s="12">
        <v>10.9</v>
      </c>
      <c r="D99" s="2">
        <v>181</v>
      </c>
      <c r="E99" s="2">
        <f>FastenersPriceList34[[#This Row],[1000 PCS/WT.]]/1000</f>
        <v>0.18099999999999999</v>
      </c>
      <c r="F99" s="2" t="s">
        <v>103</v>
      </c>
      <c r="G99" s="6" t="s">
        <v>1755</v>
      </c>
      <c r="H99" s="70">
        <v>50</v>
      </c>
      <c r="I99" s="72">
        <f>FastenersPriceList34[[#This Row],[Quantity (kg)]]/FastenersPriceList34[[#This Row],[SINGLE PC. WT.]]</f>
        <v>276.24309392265195</v>
      </c>
      <c r="J99" s="3">
        <v>133</v>
      </c>
      <c r="K99" s="3">
        <f>FastenersPriceList34[[#This Row],[1000 PCS/WT.]]*FastenersPriceList34[[#This Row],[Rate / PER kg (₹)]]</f>
        <v>24073</v>
      </c>
      <c r="L99" s="4">
        <f>FastenersPriceList34[[#This Row],[Rate / PER kg (₹)]]*FastenersPriceList34[[#This Row],[Quantity (kg)]]</f>
        <v>6650</v>
      </c>
      <c r="M99" s="4">
        <f>FastenersPriceList34[[#This Row],[SINGLE PC. WT.]]*FastenersPriceList34[[#This Row],[Rate / PER kg (₹)]]</f>
        <v>24.073</v>
      </c>
    </row>
    <row r="100" spans="1:13" ht="22.05" customHeight="1" x14ac:dyDescent="0.3">
      <c r="A100" s="2" t="s">
        <v>1849</v>
      </c>
      <c r="B100" s="12" t="s">
        <v>8</v>
      </c>
      <c r="C100" s="12">
        <v>10.9</v>
      </c>
      <c r="D100" s="2">
        <v>190</v>
      </c>
      <c r="E100" s="2">
        <f>FastenersPriceList34[[#This Row],[1000 PCS/WT.]]/1000</f>
        <v>0.19</v>
      </c>
      <c r="F100" s="2" t="s">
        <v>104</v>
      </c>
      <c r="G100" s="6" t="s">
        <v>1755</v>
      </c>
      <c r="H100" s="70">
        <v>50</v>
      </c>
      <c r="I100" s="72">
        <f>FastenersPriceList34[[#This Row],[Quantity (kg)]]/FastenersPriceList34[[#This Row],[SINGLE PC. WT.]]</f>
        <v>263.15789473684208</v>
      </c>
      <c r="J100" s="3">
        <v>133</v>
      </c>
      <c r="K100" s="3">
        <f>FastenersPriceList34[[#This Row],[1000 PCS/WT.]]*FastenersPriceList34[[#This Row],[Rate / PER kg (₹)]]</f>
        <v>25270</v>
      </c>
      <c r="L100" s="4">
        <f>FastenersPriceList34[[#This Row],[Rate / PER kg (₹)]]*FastenersPriceList34[[#This Row],[Quantity (kg)]]</f>
        <v>6650</v>
      </c>
      <c r="M100" s="4">
        <f>FastenersPriceList34[[#This Row],[SINGLE PC. WT.]]*FastenersPriceList34[[#This Row],[Rate / PER kg (₹)]]</f>
        <v>25.27</v>
      </c>
    </row>
    <row r="101" spans="1:13" ht="22.05" customHeight="1" x14ac:dyDescent="0.3">
      <c r="A101" s="2" t="s">
        <v>1850</v>
      </c>
      <c r="B101" s="12" t="s">
        <v>8</v>
      </c>
      <c r="C101" s="12">
        <v>10.9</v>
      </c>
      <c r="D101" s="2">
        <v>53.02</v>
      </c>
      <c r="E101" s="2">
        <f>FastenersPriceList34[[#This Row],[1000 PCS/WT.]]/1000</f>
        <v>5.3020000000000005E-2</v>
      </c>
      <c r="F101" s="2" t="s">
        <v>105</v>
      </c>
      <c r="G101" s="6" t="s">
        <v>1755</v>
      </c>
      <c r="H101" s="70">
        <v>50</v>
      </c>
      <c r="I101" s="72">
        <f>FastenersPriceList34[[#This Row],[Quantity (kg)]]/FastenersPriceList34[[#This Row],[SINGLE PC. WT.]]</f>
        <v>943.04036212749895</v>
      </c>
      <c r="J101" s="3">
        <v>133</v>
      </c>
      <c r="K101" s="3">
        <f>FastenersPriceList34[[#This Row],[1000 PCS/WT.]]*FastenersPriceList34[[#This Row],[Rate / PER kg (₹)]]</f>
        <v>7051.6600000000008</v>
      </c>
      <c r="L101" s="4">
        <f>FastenersPriceList34[[#This Row],[Rate / PER kg (₹)]]*FastenersPriceList34[[#This Row],[Quantity (kg)]]</f>
        <v>6650</v>
      </c>
      <c r="M101" s="4">
        <f>FastenersPriceList34[[#This Row],[SINGLE PC. WT.]]*FastenersPriceList34[[#This Row],[Rate / PER kg (₹)]]</f>
        <v>7.0516600000000009</v>
      </c>
    </row>
    <row r="102" spans="1:13" ht="22.05" customHeight="1" x14ac:dyDescent="0.3">
      <c r="A102" s="2" t="s">
        <v>1851</v>
      </c>
      <c r="B102" s="12" t="s">
        <v>8</v>
      </c>
      <c r="C102" s="12">
        <v>10.9</v>
      </c>
      <c r="D102" s="2">
        <v>57.94</v>
      </c>
      <c r="E102" s="2">
        <f>FastenersPriceList34[[#This Row],[1000 PCS/WT.]]/1000</f>
        <v>5.7939999999999998E-2</v>
      </c>
      <c r="F102" s="2" t="s">
        <v>106</v>
      </c>
      <c r="G102" s="6" t="s">
        <v>1755</v>
      </c>
      <c r="H102" s="70">
        <v>50</v>
      </c>
      <c r="I102" s="72">
        <f>FastenersPriceList34[[#This Row],[Quantity (kg)]]/FastenersPriceList34[[#This Row],[SINGLE PC. WT.]]</f>
        <v>862.9616845012082</v>
      </c>
      <c r="J102" s="3">
        <v>133</v>
      </c>
      <c r="K102" s="3">
        <f>FastenersPriceList34[[#This Row],[1000 PCS/WT.]]*FastenersPriceList34[[#This Row],[Rate / PER kg (₹)]]</f>
        <v>7706.0199999999995</v>
      </c>
      <c r="L102" s="4">
        <f>FastenersPriceList34[[#This Row],[Rate / PER kg (₹)]]*FastenersPriceList34[[#This Row],[Quantity (kg)]]</f>
        <v>6650</v>
      </c>
      <c r="M102" s="4">
        <f>FastenersPriceList34[[#This Row],[SINGLE PC. WT.]]*FastenersPriceList34[[#This Row],[Rate / PER kg (₹)]]</f>
        <v>7.7060199999999996</v>
      </c>
    </row>
    <row r="103" spans="1:13" ht="22.05" customHeight="1" x14ac:dyDescent="0.3">
      <c r="A103" s="2" t="s">
        <v>1852</v>
      </c>
      <c r="B103" s="12" t="s">
        <v>8</v>
      </c>
      <c r="C103" s="12">
        <v>10.9</v>
      </c>
      <c r="D103" s="2">
        <v>62.97</v>
      </c>
      <c r="E103" s="2">
        <f>FastenersPriceList34[[#This Row],[1000 PCS/WT.]]/1000</f>
        <v>6.2969999999999998E-2</v>
      </c>
      <c r="F103" s="2" t="s">
        <v>107</v>
      </c>
      <c r="G103" s="6" t="s">
        <v>1755</v>
      </c>
      <c r="H103" s="70">
        <v>50</v>
      </c>
      <c r="I103" s="72">
        <f>FastenersPriceList34[[#This Row],[Quantity (kg)]]/FastenersPriceList34[[#This Row],[SINGLE PC. WT.]]</f>
        <v>794.02890265205656</v>
      </c>
      <c r="J103" s="3">
        <v>133</v>
      </c>
      <c r="K103" s="3">
        <f>FastenersPriceList34[[#This Row],[1000 PCS/WT.]]*FastenersPriceList34[[#This Row],[Rate / PER kg (₹)]]</f>
        <v>8375.01</v>
      </c>
      <c r="L103" s="4">
        <f>FastenersPriceList34[[#This Row],[Rate / PER kg (₹)]]*FastenersPriceList34[[#This Row],[Quantity (kg)]]</f>
        <v>6650</v>
      </c>
      <c r="M103" s="4">
        <f>FastenersPriceList34[[#This Row],[SINGLE PC. WT.]]*FastenersPriceList34[[#This Row],[Rate / PER kg (₹)]]</f>
        <v>8.3750099999999996</v>
      </c>
    </row>
    <row r="104" spans="1:13" ht="22.05" customHeight="1" x14ac:dyDescent="0.3">
      <c r="A104" s="2" t="s">
        <v>1853</v>
      </c>
      <c r="B104" s="12" t="s">
        <v>8</v>
      </c>
      <c r="C104" s="12">
        <v>10.9</v>
      </c>
      <c r="D104" s="2">
        <v>67.930000000000007</v>
      </c>
      <c r="E104" s="2">
        <f>FastenersPriceList34[[#This Row],[1000 PCS/WT.]]/1000</f>
        <v>6.7930000000000004E-2</v>
      </c>
      <c r="F104" s="2" t="s">
        <v>108</v>
      </c>
      <c r="G104" s="6" t="s">
        <v>1755</v>
      </c>
      <c r="H104" s="70">
        <v>50</v>
      </c>
      <c r="I104" s="72">
        <f>FastenersPriceList34[[#This Row],[Quantity (kg)]]/FastenersPriceList34[[#This Row],[SINGLE PC. WT.]]</f>
        <v>736.05181804799054</v>
      </c>
      <c r="J104" s="3">
        <v>133</v>
      </c>
      <c r="K104" s="3">
        <f>FastenersPriceList34[[#This Row],[1000 PCS/WT.]]*FastenersPriceList34[[#This Row],[Rate / PER kg (₹)]]</f>
        <v>9034.69</v>
      </c>
      <c r="L104" s="4">
        <f>FastenersPriceList34[[#This Row],[Rate / PER kg (₹)]]*FastenersPriceList34[[#This Row],[Quantity (kg)]]</f>
        <v>6650</v>
      </c>
      <c r="M104" s="4">
        <f>FastenersPriceList34[[#This Row],[SINGLE PC. WT.]]*FastenersPriceList34[[#This Row],[Rate / PER kg (₹)]]</f>
        <v>9.0346900000000012</v>
      </c>
    </row>
    <row r="105" spans="1:13" ht="22.05" customHeight="1" x14ac:dyDescent="0.3">
      <c r="A105" s="2" t="s">
        <v>1854</v>
      </c>
      <c r="B105" s="12" t="s">
        <v>8</v>
      </c>
      <c r="C105" s="12">
        <v>10.9</v>
      </c>
      <c r="D105" s="2">
        <v>72.97</v>
      </c>
      <c r="E105" s="2">
        <f>FastenersPriceList34[[#This Row],[1000 PCS/WT.]]/1000</f>
        <v>7.2969999999999993E-2</v>
      </c>
      <c r="F105" s="2" t="s">
        <v>109</v>
      </c>
      <c r="G105" s="6" t="s">
        <v>1755</v>
      </c>
      <c r="H105" s="70">
        <v>50</v>
      </c>
      <c r="I105" s="72">
        <f>FastenersPriceList34[[#This Row],[Quantity (kg)]]/FastenersPriceList34[[#This Row],[SINGLE PC. WT.]]</f>
        <v>685.21310127449647</v>
      </c>
      <c r="J105" s="3">
        <v>133</v>
      </c>
      <c r="K105" s="3">
        <f>FastenersPriceList34[[#This Row],[1000 PCS/WT.]]*FastenersPriceList34[[#This Row],[Rate / PER kg (₹)]]</f>
        <v>9705.01</v>
      </c>
      <c r="L105" s="4">
        <f>FastenersPriceList34[[#This Row],[Rate / PER kg (₹)]]*FastenersPriceList34[[#This Row],[Quantity (kg)]]</f>
        <v>6650</v>
      </c>
      <c r="M105" s="4">
        <f>FastenersPriceList34[[#This Row],[SINGLE PC. WT.]]*FastenersPriceList34[[#This Row],[Rate / PER kg (₹)]]</f>
        <v>9.7050099999999997</v>
      </c>
    </row>
    <row r="106" spans="1:13" ht="22.05" customHeight="1" x14ac:dyDescent="0.3">
      <c r="A106" s="2" t="s">
        <v>1855</v>
      </c>
      <c r="B106" s="12" t="s">
        <v>8</v>
      </c>
      <c r="C106" s="12">
        <v>10.9</v>
      </c>
      <c r="D106" s="2">
        <v>78.010000000000005</v>
      </c>
      <c r="E106" s="2">
        <f>FastenersPriceList34[[#This Row],[1000 PCS/WT.]]/1000</f>
        <v>7.801000000000001E-2</v>
      </c>
      <c r="F106" s="2" t="s">
        <v>110</v>
      </c>
      <c r="G106" s="6" t="s">
        <v>1755</v>
      </c>
      <c r="H106" s="70">
        <v>50</v>
      </c>
      <c r="I106" s="72">
        <f>FastenersPriceList34[[#This Row],[Quantity (kg)]]/FastenersPriceList34[[#This Row],[SINGLE PC. WT.]]</f>
        <v>640.94346878605302</v>
      </c>
      <c r="J106" s="3">
        <v>133</v>
      </c>
      <c r="K106" s="3">
        <f>FastenersPriceList34[[#This Row],[1000 PCS/WT.]]*FastenersPriceList34[[#This Row],[Rate / PER kg (₹)]]</f>
        <v>10375.33</v>
      </c>
      <c r="L106" s="4">
        <f>FastenersPriceList34[[#This Row],[Rate / PER kg (₹)]]*FastenersPriceList34[[#This Row],[Quantity (kg)]]</f>
        <v>6650</v>
      </c>
      <c r="M106" s="4">
        <f>FastenersPriceList34[[#This Row],[SINGLE PC. WT.]]*FastenersPriceList34[[#This Row],[Rate / PER kg (₹)]]</f>
        <v>10.375330000000002</v>
      </c>
    </row>
    <row r="107" spans="1:13" ht="22.05" customHeight="1" x14ac:dyDescent="0.3">
      <c r="A107" s="2" t="s">
        <v>1856</v>
      </c>
      <c r="B107" s="12" t="s">
        <v>8</v>
      </c>
      <c r="C107" s="12">
        <v>10.9</v>
      </c>
      <c r="D107" s="2">
        <v>83.05</v>
      </c>
      <c r="E107" s="2">
        <f>FastenersPriceList34[[#This Row],[1000 PCS/WT.]]/1000</f>
        <v>8.3049999999999999E-2</v>
      </c>
      <c r="F107" s="2" t="s">
        <v>111</v>
      </c>
      <c r="G107" s="6" t="s">
        <v>1755</v>
      </c>
      <c r="H107" s="70">
        <v>50</v>
      </c>
      <c r="I107" s="72">
        <f>FastenersPriceList34[[#This Row],[Quantity (kg)]]/FastenersPriceList34[[#This Row],[SINGLE PC. WT.]]</f>
        <v>602.04695966285374</v>
      </c>
      <c r="J107" s="3">
        <v>130</v>
      </c>
      <c r="K107" s="3">
        <f>FastenersPriceList34[[#This Row],[1000 PCS/WT.]]*FastenersPriceList34[[#This Row],[Rate / PER kg (₹)]]</f>
        <v>10796.5</v>
      </c>
      <c r="L107" s="4">
        <f>FastenersPriceList34[[#This Row],[Rate / PER kg (₹)]]*FastenersPriceList34[[#This Row],[Quantity (kg)]]</f>
        <v>6500</v>
      </c>
      <c r="M107" s="4">
        <f>FastenersPriceList34[[#This Row],[SINGLE PC. WT.]]*FastenersPriceList34[[#This Row],[Rate / PER kg (₹)]]</f>
        <v>10.7965</v>
      </c>
    </row>
    <row r="108" spans="1:13" ht="22.05" customHeight="1" x14ac:dyDescent="0.3">
      <c r="A108" s="2" t="s">
        <v>1857</v>
      </c>
      <c r="B108" s="12" t="s">
        <v>8</v>
      </c>
      <c r="C108" s="12">
        <v>10.9</v>
      </c>
      <c r="D108" s="2">
        <v>88.09</v>
      </c>
      <c r="E108" s="2">
        <f>FastenersPriceList34[[#This Row],[1000 PCS/WT.]]/1000</f>
        <v>8.8090000000000002E-2</v>
      </c>
      <c r="F108" s="2" t="s">
        <v>112</v>
      </c>
      <c r="G108" s="6" t="s">
        <v>1755</v>
      </c>
      <c r="H108" s="70">
        <v>50</v>
      </c>
      <c r="I108" s="72">
        <f>FastenersPriceList34[[#This Row],[Quantity (kg)]]/FastenersPriceList34[[#This Row],[SINGLE PC. WT.]]</f>
        <v>567.60131683505506</v>
      </c>
      <c r="J108" s="3">
        <v>130</v>
      </c>
      <c r="K108" s="3">
        <f>FastenersPriceList34[[#This Row],[1000 PCS/WT.]]*FastenersPriceList34[[#This Row],[Rate / PER kg (₹)]]</f>
        <v>11451.7</v>
      </c>
      <c r="L108" s="4">
        <f>FastenersPriceList34[[#This Row],[Rate / PER kg (₹)]]*FastenersPriceList34[[#This Row],[Quantity (kg)]]</f>
        <v>6500</v>
      </c>
      <c r="M108" s="4">
        <f>FastenersPriceList34[[#This Row],[SINGLE PC. WT.]]*FastenersPriceList34[[#This Row],[Rate / PER kg (₹)]]</f>
        <v>11.451700000000001</v>
      </c>
    </row>
    <row r="109" spans="1:13" ht="22.05" customHeight="1" x14ac:dyDescent="0.3">
      <c r="A109" s="2" t="s">
        <v>1858</v>
      </c>
      <c r="B109" s="12" t="s">
        <v>8</v>
      </c>
      <c r="C109" s="12">
        <v>10.9</v>
      </c>
      <c r="D109" s="2">
        <v>93.13</v>
      </c>
      <c r="E109" s="2">
        <f>FastenersPriceList34[[#This Row],[1000 PCS/WT.]]/1000</f>
        <v>9.3129999999999991E-2</v>
      </c>
      <c r="F109" s="2" t="s">
        <v>113</v>
      </c>
      <c r="G109" s="6" t="s">
        <v>1755</v>
      </c>
      <c r="H109" s="70">
        <v>50</v>
      </c>
      <c r="I109" s="72">
        <f>FastenersPriceList34[[#This Row],[Quantity (kg)]]/FastenersPriceList34[[#This Row],[SINGLE PC. WT.]]</f>
        <v>536.88392569526479</v>
      </c>
      <c r="J109" s="3">
        <v>130</v>
      </c>
      <c r="K109" s="3">
        <f>FastenersPriceList34[[#This Row],[1000 PCS/WT.]]*FastenersPriceList34[[#This Row],[Rate / PER kg (₹)]]</f>
        <v>12106.9</v>
      </c>
      <c r="L109" s="4">
        <f>FastenersPriceList34[[#This Row],[Rate / PER kg (₹)]]*FastenersPriceList34[[#This Row],[Quantity (kg)]]</f>
        <v>6500</v>
      </c>
      <c r="M109" s="4">
        <f>FastenersPriceList34[[#This Row],[SINGLE PC. WT.]]*FastenersPriceList34[[#This Row],[Rate / PER kg (₹)]]</f>
        <v>12.1069</v>
      </c>
    </row>
    <row r="110" spans="1:13" ht="22.05" customHeight="1" x14ac:dyDescent="0.3">
      <c r="A110" s="2" t="s">
        <v>1859</v>
      </c>
      <c r="B110" s="12" t="s">
        <v>8</v>
      </c>
      <c r="C110" s="12">
        <v>10.9</v>
      </c>
      <c r="D110" s="2">
        <v>98.17</v>
      </c>
      <c r="E110" s="2">
        <f>FastenersPriceList34[[#This Row],[1000 PCS/WT.]]/1000</f>
        <v>9.8170000000000007E-2</v>
      </c>
      <c r="F110" s="2" t="s">
        <v>114</v>
      </c>
      <c r="G110" s="6" t="s">
        <v>1755</v>
      </c>
      <c r="H110" s="70">
        <v>50</v>
      </c>
      <c r="I110" s="72">
        <f>FastenersPriceList34[[#This Row],[Quantity (kg)]]/FastenersPriceList34[[#This Row],[SINGLE PC. WT.]]</f>
        <v>509.32056636446976</v>
      </c>
      <c r="J110" s="3">
        <v>130</v>
      </c>
      <c r="K110" s="3">
        <f>FastenersPriceList34[[#This Row],[1000 PCS/WT.]]*FastenersPriceList34[[#This Row],[Rate / PER kg (₹)]]</f>
        <v>12762.1</v>
      </c>
      <c r="L110" s="4">
        <f>FastenersPriceList34[[#This Row],[Rate / PER kg (₹)]]*FastenersPriceList34[[#This Row],[Quantity (kg)]]</f>
        <v>6500</v>
      </c>
      <c r="M110" s="4">
        <f>FastenersPriceList34[[#This Row],[SINGLE PC. WT.]]*FastenersPriceList34[[#This Row],[Rate / PER kg (₹)]]</f>
        <v>12.7621</v>
      </c>
    </row>
    <row r="111" spans="1:13" ht="22.05" customHeight="1" x14ac:dyDescent="0.3">
      <c r="A111" s="2" t="s">
        <v>1860</v>
      </c>
      <c r="B111" s="12" t="s">
        <v>8</v>
      </c>
      <c r="C111" s="12">
        <v>10.9</v>
      </c>
      <c r="D111" s="2">
        <v>103.21</v>
      </c>
      <c r="E111" s="2">
        <f>FastenersPriceList34[[#This Row],[1000 PCS/WT.]]/1000</f>
        <v>0.10321</v>
      </c>
      <c r="F111" s="2" t="s">
        <v>115</v>
      </c>
      <c r="G111" s="6" t="s">
        <v>1755</v>
      </c>
      <c r="H111" s="70">
        <v>50</v>
      </c>
      <c r="I111" s="72">
        <f>FastenersPriceList34[[#This Row],[Quantity (kg)]]/FastenersPriceList34[[#This Row],[SINGLE PC. WT.]]</f>
        <v>484.44918128088364</v>
      </c>
      <c r="J111" s="3">
        <v>130</v>
      </c>
      <c r="K111" s="3">
        <f>FastenersPriceList34[[#This Row],[1000 PCS/WT.]]*FastenersPriceList34[[#This Row],[Rate / PER kg (₹)]]</f>
        <v>13417.3</v>
      </c>
      <c r="L111" s="4">
        <f>FastenersPriceList34[[#This Row],[Rate / PER kg (₹)]]*FastenersPriceList34[[#This Row],[Quantity (kg)]]</f>
        <v>6500</v>
      </c>
      <c r="M111" s="4">
        <f>FastenersPriceList34[[#This Row],[SINGLE PC. WT.]]*FastenersPriceList34[[#This Row],[Rate / PER kg (₹)]]</f>
        <v>13.417299999999999</v>
      </c>
    </row>
    <row r="112" spans="1:13" ht="22.05" customHeight="1" x14ac:dyDescent="0.3">
      <c r="A112" s="2" t="s">
        <v>1861</v>
      </c>
      <c r="B112" s="12" t="s">
        <v>8</v>
      </c>
      <c r="C112" s="12">
        <v>10.9</v>
      </c>
      <c r="D112" s="2">
        <v>108.25</v>
      </c>
      <c r="E112" s="2">
        <f>FastenersPriceList34[[#This Row],[1000 PCS/WT.]]/1000</f>
        <v>0.10825</v>
      </c>
      <c r="F112" s="2" t="s">
        <v>116</v>
      </c>
      <c r="G112" s="6" t="s">
        <v>1755</v>
      </c>
      <c r="H112" s="70">
        <v>50</v>
      </c>
      <c r="I112" s="72">
        <f>FastenersPriceList34[[#This Row],[Quantity (kg)]]/FastenersPriceList34[[#This Row],[SINGLE PC. WT.]]</f>
        <v>461.89376443418013</v>
      </c>
      <c r="J112" s="3">
        <v>130</v>
      </c>
      <c r="K112" s="3">
        <f>FastenersPriceList34[[#This Row],[1000 PCS/WT.]]*FastenersPriceList34[[#This Row],[Rate / PER kg (₹)]]</f>
        <v>14072.5</v>
      </c>
      <c r="L112" s="4">
        <f>FastenersPriceList34[[#This Row],[Rate / PER kg (₹)]]*FastenersPriceList34[[#This Row],[Quantity (kg)]]</f>
        <v>6500</v>
      </c>
      <c r="M112" s="4">
        <f>FastenersPriceList34[[#This Row],[SINGLE PC. WT.]]*FastenersPriceList34[[#This Row],[Rate / PER kg (₹)]]</f>
        <v>14.0725</v>
      </c>
    </row>
    <row r="113" spans="1:13" ht="22.05" customHeight="1" x14ac:dyDescent="0.3">
      <c r="A113" s="2" t="s">
        <v>1862</v>
      </c>
      <c r="B113" s="12" t="s">
        <v>8</v>
      </c>
      <c r="C113" s="12">
        <v>10.9</v>
      </c>
      <c r="D113" s="2">
        <v>113.29</v>
      </c>
      <c r="E113" s="2">
        <f>FastenersPriceList34[[#This Row],[1000 PCS/WT.]]/1000</f>
        <v>0.11329</v>
      </c>
      <c r="F113" s="2" t="s">
        <v>117</v>
      </c>
      <c r="G113" s="6" t="s">
        <v>1755</v>
      </c>
      <c r="H113" s="70">
        <v>50</v>
      </c>
      <c r="I113" s="72">
        <f>FastenersPriceList34[[#This Row],[Quantity (kg)]]/FastenersPriceList34[[#This Row],[SINGLE PC. WT.]]</f>
        <v>441.34522023126488</v>
      </c>
      <c r="J113" s="3">
        <v>125</v>
      </c>
      <c r="K113" s="3">
        <f>FastenersPriceList34[[#This Row],[1000 PCS/WT.]]*FastenersPriceList34[[#This Row],[Rate / PER kg (₹)]]</f>
        <v>14161.25</v>
      </c>
      <c r="L113" s="4">
        <f>FastenersPriceList34[[#This Row],[Rate / PER kg (₹)]]*FastenersPriceList34[[#This Row],[Quantity (kg)]]</f>
        <v>6250</v>
      </c>
      <c r="M113" s="4">
        <f>FastenersPriceList34[[#This Row],[SINGLE PC. WT.]]*FastenersPriceList34[[#This Row],[Rate / PER kg (₹)]]</f>
        <v>14.161250000000001</v>
      </c>
    </row>
    <row r="114" spans="1:13" ht="22.05" customHeight="1" x14ac:dyDescent="0.3">
      <c r="A114" s="2" t="s">
        <v>1863</v>
      </c>
      <c r="B114" s="12" t="s">
        <v>8</v>
      </c>
      <c r="C114" s="12">
        <v>10.9</v>
      </c>
      <c r="D114" s="2">
        <v>118.33</v>
      </c>
      <c r="E114" s="2">
        <f>FastenersPriceList34[[#This Row],[1000 PCS/WT.]]/1000</f>
        <v>0.11833</v>
      </c>
      <c r="F114" s="2" t="s">
        <v>118</v>
      </c>
      <c r="G114" s="6" t="s">
        <v>1755</v>
      </c>
      <c r="H114" s="70">
        <v>50</v>
      </c>
      <c r="I114" s="72">
        <f>FastenersPriceList34[[#This Row],[Quantity (kg)]]/FastenersPriceList34[[#This Row],[SINGLE PC. WT.]]</f>
        <v>422.54711400321133</v>
      </c>
      <c r="J114" s="3">
        <v>125</v>
      </c>
      <c r="K114" s="3">
        <f>FastenersPriceList34[[#This Row],[1000 PCS/WT.]]*FastenersPriceList34[[#This Row],[Rate / PER kg (₹)]]</f>
        <v>14791.25</v>
      </c>
      <c r="L114" s="4">
        <f>FastenersPriceList34[[#This Row],[Rate / PER kg (₹)]]*FastenersPriceList34[[#This Row],[Quantity (kg)]]</f>
        <v>6250</v>
      </c>
      <c r="M114" s="4">
        <f>FastenersPriceList34[[#This Row],[SINGLE PC. WT.]]*FastenersPriceList34[[#This Row],[Rate / PER kg (₹)]]</f>
        <v>14.79125</v>
      </c>
    </row>
    <row r="115" spans="1:13" ht="22.05" customHeight="1" x14ac:dyDescent="0.3">
      <c r="A115" s="2" t="s">
        <v>1864</v>
      </c>
      <c r="B115" s="12" t="s">
        <v>8</v>
      </c>
      <c r="C115" s="12">
        <v>10.9</v>
      </c>
      <c r="D115" s="2">
        <v>123.37</v>
      </c>
      <c r="E115" s="2">
        <f>FastenersPriceList34[[#This Row],[1000 PCS/WT.]]/1000</f>
        <v>0.12337000000000001</v>
      </c>
      <c r="F115" s="2" t="s">
        <v>119</v>
      </c>
      <c r="G115" s="6" t="s">
        <v>1755</v>
      </c>
      <c r="H115" s="70">
        <v>50</v>
      </c>
      <c r="I115" s="72">
        <f>FastenersPriceList34[[#This Row],[Quantity (kg)]]/FastenersPriceList34[[#This Row],[SINGLE PC. WT.]]</f>
        <v>405.28491529545266</v>
      </c>
      <c r="J115" s="3">
        <v>125</v>
      </c>
      <c r="K115" s="3">
        <f>FastenersPriceList34[[#This Row],[1000 PCS/WT.]]*FastenersPriceList34[[#This Row],[Rate / PER kg (₹)]]</f>
        <v>15421.25</v>
      </c>
      <c r="L115" s="4">
        <f>FastenersPriceList34[[#This Row],[Rate / PER kg (₹)]]*FastenersPriceList34[[#This Row],[Quantity (kg)]]</f>
        <v>6250</v>
      </c>
      <c r="M115" s="4">
        <f>FastenersPriceList34[[#This Row],[SINGLE PC. WT.]]*FastenersPriceList34[[#This Row],[Rate / PER kg (₹)]]</f>
        <v>15.421250000000001</v>
      </c>
    </row>
    <row r="116" spans="1:13" ht="22.05" customHeight="1" x14ac:dyDescent="0.3">
      <c r="A116" s="2" t="s">
        <v>1865</v>
      </c>
      <c r="B116" s="12" t="s">
        <v>8</v>
      </c>
      <c r="C116" s="12">
        <v>10.9</v>
      </c>
      <c r="D116" s="2">
        <v>128.41</v>
      </c>
      <c r="E116" s="2">
        <f>FastenersPriceList34[[#This Row],[1000 PCS/WT.]]/1000</f>
        <v>0.12841</v>
      </c>
      <c r="F116" s="2" t="s">
        <v>120</v>
      </c>
      <c r="G116" s="6" t="s">
        <v>1755</v>
      </c>
      <c r="H116" s="70">
        <v>50</v>
      </c>
      <c r="I116" s="72">
        <f>FastenersPriceList34[[#This Row],[Quantity (kg)]]/FastenersPriceList34[[#This Row],[SINGLE PC. WT.]]</f>
        <v>389.37777431664199</v>
      </c>
      <c r="J116" s="3">
        <v>125</v>
      </c>
      <c r="K116" s="3">
        <f>FastenersPriceList34[[#This Row],[1000 PCS/WT.]]*FastenersPriceList34[[#This Row],[Rate / PER kg (₹)]]</f>
        <v>16051.25</v>
      </c>
      <c r="L116" s="4">
        <f>FastenersPriceList34[[#This Row],[Rate / PER kg (₹)]]*FastenersPriceList34[[#This Row],[Quantity (kg)]]</f>
        <v>6250</v>
      </c>
      <c r="M116" s="4">
        <f>FastenersPriceList34[[#This Row],[SINGLE PC. WT.]]*FastenersPriceList34[[#This Row],[Rate / PER kg (₹)]]</f>
        <v>16.05125</v>
      </c>
    </row>
    <row r="117" spans="1:13" ht="22.05" customHeight="1" x14ac:dyDescent="0.3">
      <c r="A117" s="2" t="s">
        <v>1866</v>
      </c>
      <c r="B117" s="12" t="s">
        <v>8</v>
      </c>
      <c r="C117" s="12">
        <v>10.9</v>
      </c>
      <c r="D117" s="2">
        <v>138.49</v>
      </c>
      <c r="E117" s="2">
        <f>FastenersPriceList34[[#This Row],[1000 PCS/WT.]]/1000</f>
        <v>0.13849</v>
      </c>
      <c r="F117" s="2" t="s">
        <v>121</v>
      </c>
      <c r="G117" s="6" t="s">
        <v>1755</v>
      </c>
      <c r="H117" s="70">
        <v>50</v>
      </c>
      <c r="I117" s="72">
        <f>FastenersPriceList34[[#This Row],[Quantity (kg)]]/FastenersPriceList34[[#This Row],[SINGLE PC. WT.]]</f>
        <v>361.03689797097263</v>
      </c>
      <c r="J117" s="3">
        <v>125</v>
      </c>
      <c r="K117" s="3">
        <f>FastenersPriceList34[[#This Row],[1000 PCS/WT.]]*FastenersPriceList34[[#This Row],[Rate / PER kg (₹)]]</f>
        <v>17311.25</v>
      </c>
      <c r="L117" s="4">
        <f>FastenersPriceList34[[#This Row],[Rate / PER kg (₹)]]*FastenersPriceList34[[#This Row],[Quantity (kg)]]</f>
        <v>6250</v>
      </c>
      <c r="M117" s="4">
        <f>FastenersPriceList34[[#This Row],[SINGLE PC. WT.]]*FastenersPriceList34[[#This Row],[Rate / PER kg (₹)]]</f>
        <v>17.311250000000001</v>
      </c>
    </row>
    <row r="118" spans="1:13" ht="22.05" customHeight="1" x14ac:dyDescent="0.3">
      <c r="A118" s="2" t="s">
        <v>1867</v>
      </c>
      <c r="B118" s="12" t="s">
        <v>8</v>
      </c>
      <c r="C118" s="12">
        <v>10.9</v>
      </c>
      <c r="D118" s="2">
        <v>148.57</v>
      </c>
      <c r="E118" s="2">
        <f>FastenersPriceList34[[#This Row],[1000 PCS/WT.]]/1000</f>
        <v>0.14856999999999998</v>
      </c>
      <c r="F118" s="2" t="s">
        <v>122</v>
      </c>
      <c r="G118" s="6" t="s">
        <v>1755</v>
      </c>
      <c r="H118" s="70">
        <v>50</v>
      </c>
      <c r="I118" s="72">
        <f>FastenersPriceList34[[#This Row],[Quantity (kg)]]/FastenersPriceList34[[#This Row],[SINGLE PC. WT.]]</f>
        <v>336.5416975163223</v>
      </c>
      <c r="J118" s="3">
        <v>125</v>
      </c>
      <c r="K118" s="3">
        <f>FastenersPriceList34[[#This Row],[1000 PCS/WT.]]*FastenersPriceList34[[#This Row],[Rate / PER kg (₹)]]</f>
        <v>18571.25</v>
      </c>
      <c r="L118" s="4">
        <f>FastenersPriceList34[[#This Row],[Rate / PER kg (₹)]]*FastenersPriceList34[[#This Row],[Quantity (kg)]]</f>
        <v>6250</v>
      </c>
      <c r="M118" s="4">
        <f>FastenersPriceList34[[#This Row],[SINGLE PC. WT.]]*FastenersPriceList34[[#This Row],[Rate / PER kg (₹)]]</f>
        <v>18.571249999999999</v>
      </c>
    </row>
    <row r="119" spans="1:13" ht="22.05" customHeight="1" x14ac:dyDescent="0.3">
      <c r="A119" s="2" t="s">
        <v>2179</v>
      </c>
      <c r="B119" s="12" t="s">
        <v>8</v>
      </c>
      <c r="C119" s="12">
        <v>10.9</v>
      </c>
      <c r="D119" s="2">
        <v>158.65</v>
      </c>
      <c r="E119" s="2">
        <f>FastenersPriceList34[[#This Row],[1000 PCS/WT.]]/1000</f>
        <v>0.15865000000000001</v>
      </c>
      <c r="F119" s="2" t="s">
        <v>1326</v>
      </c>
      <c r="G119" s="6" t="s">
        <v>1755</v>
      </c>
      <c r="H119" s="70">
        <v>50</v>
      </c>
      <c r="I119" s="72">
        <f>FastenersPriceList34[[#This Row],[Quantity (kg)]]/FastenersPriceList34[[#This Row],[SINGLE PC. WT.]]</f>
        <v>315.15915537346359</v>
      </c>
      <c r="J119" s="3">
        <v>125</v>
      </c>
      <c r="K119" s="3">
        <f>FastenersPriceList34[[#This Row],[1000 PCS/WT.]]*FastenersPriceList34[[#This Row],[Rate / PER kg (₹)]]</f>
        <v>19831.25</v>
      </c>
      <c r="L119" s="4">
        <f>FastenersPriceList34[[#This Row],[Rate / PER kg (₹)]]*FastenersPriceList34[[#This Row],[Quantity (kg)]]</f>
        <v>6250</v>
      </c>
      <c r="M119" s="4">
        <f>FastenersPriceList34[[#This Row],[SINGLE PC. WT.]]*FastenersPriceList34[[#This Row],[Rate / PER kg (₹)]]</f>
        <v>19.831250000000001</v>
      </c>
    </row>
    <row r="120" spans="1:13" ht="22.05" customHeight="1" x14ac:dyDescent="0.3">
      <c r="A120" s="2" t="s">
        <v>1868</v>
      </c>
      <c r="B120" s="12" t="s">
        <v>8</v>
      </c>
      <c r="C120" s="12">
        <v>10.9</v>
      </c>
      <c r="D120" s="2">
        <v>168.73</v>
      </c>
      <c r="E120" s="2">
        <f>FastenersPriceList34[[#This Row],[1000 PCS/WT.]]/1000</f>
        <v>0.16872999999999999</v>
      </c>
      <c r="F120" s="2" t="s">
        <v>123</v>
      </c>
      <c r="G120" s="6" t="s">
        <v>1755</v>
      </c>
      <c r="H120" s="70">
        <v>50</v>
      </c>
      <c r="I120" s="72">
        <f>FastenersPriceList34[[#This Row],[Quantity (kg)]]/FastenersPriceList34[[#This Row],[SINGLE PC. WT.]]</f>
        <v>296.33141705683636</v>
      </c>
      <c r="J120" s="3">
        <v>125</v>
      </c>
      <c r="K120" s="3">
        <f>FastenersPriceList34[[#This Row],[1000 PCS/WT.]]*FastenersPriceList34[[#This Row],[Rate / PER kg (₹)]]</f>
        <v>21091.25</v>
      </c>
      <c r="L120" s="4">
        <f>FastenersPriceList34[[#This Row],[Rate / PER kg (₹)]]*FastenersPriceList34[[#This Row],[Quantity (kg)]]</f>
        <v>6250</v>
      </c>
      <c r="M120" s="4">
        <f>FastenersPriceList34[[#This Row],[SINGLE PC. WT.]]*FastenersPriceList34[[#This Row],[Rate / PER kg (₹)]]</f>
        <v>21.091249999999999</v>
      </c>
    </row>
    <row r="121" spans="1:13" ht="22.05" customHeight="1" x14ac:dyDescent="0.3">
      <c r="A121" s="2" t="s">
        <v>1869</v>
      </c>
      <c r="B121" s="12" t="s">
        <v>8</v>
      </c>
      <c r="C121" s="12">
        <v>10.9</v>
      </c>
      <c r="D121" s="2">
        <v>178.81</v>
      </c>
      <c r="E121" s="2">
        <f>FastenersPriceList34[[#This Row],[1000 PCS/WT.]]/1000</f>
        <v>0.17881</v>
      </c>
      <c r="F121" s="2" t="s">
        <v>124</v>
      </c>
      <c r="G121" s="6" t="s">
        <v>1755</v>
      </c>
      <c r="H121" s="70">
        <v>50</v>
      </c>
      <c r="I121" s="72">
        <f>FastenersPriceList34[[#This Row],[Quantity (kg)]]/FastenersPriceList34[[#This Row],[SINGLE PC. WT.]]</f>
        <v>279.62641910407694</v>
      </c>
      <c r="J121" s="3">
        <v>125</v>
      </c>
      <c r="K121" s="3">
        <f>FastenersPriceList34[[#This Row],[1000 PCS/WT.]]*FastenersPriceList34[[#This Row],[Rate / PER kg (₹)]]</f>
        <v>22351.25</v>
      </c>
      <c r="L121" s="4">
        <f>FastenersPriceList34[[#This Row],[Rate / PER kg (₹)]]*FastenersPriceList34[[#This Row],[Quantity (kg)]]</f>
        <v>6250</v>
      </c>
      <c r="M121" s="4">
        <f>FastenersPriceList34[[#This Row],[SINGLE PC. WT.]]*FastenersPriceList34[[#This Row],[Rate / PER kg (₹)]]</f>
        <v>22.35125</v>
      </c>
    </row>
    <row r="122" spans="1:13" ht="22.05" customHeight="1" x14ac:dyDescent="0.3">
      <c r="A122" s="2" t="s">
        <v>1870</v>
      </c>
      <c r="B122" s="12" t="s">
        <v>8</v>
      </c>
      <c r="C122" s="12">
        <v>10.9</v>
      </c>
      <c r="D122" s="2">
        <v>188.89</v>
      </c>
      <c r="E122" s="2">
        <f>FastenersPriceList34[[#This Row],[1000 PCS/WT.]]/1000</f>
        <v>0.18888999999999997</v>
      </c>
      <c r="F122" s="2" t="s">
        <v>125</v>
      </c>
      <c r="G122" s="6" t="s">
        <v>1755</v>
      </c>
      <c r="H122" s="70">
        <v>50</v>
      </c>
      <c r="I122" s="72">
        <f>FastenersPriceList34[[#This Row],[Quantity (kg)]]/FastenersPriceList34[[#This Row],[SINGLE PC. WT.]]</f>
        <v>264.70432526867495</v>
      </c>
      <c r="J122" s="3">
        <v>125</v>
      </c>
      <c r="K122" s="3">
        <f>FastenersPriceList34[[#This Row],[1000 PCS/WT.]]*FastenersPriceList34[[#This Row],[Rate / PER kg (₹)]]</f>
        <v>23611.25</v>
      </c>
      <c r="L122" s="4">
        <f>FastenersPriceList34[[#This Row],[Rate / PER kg (₹)]]*FastenersPriceList34[[#This Row],[Quantity (kg)]]</f>
        <v>6250</v>
      </c>
      <c r="M122" s="4">
        <f>FastenersPriceList34[[#This Row],[SINGLE PC. WT.]]*FastenersPriceList34[[#This Row],[Rate / PER kg (₹)]]</f>
        <v>23.611249999999998</v>
      </c>
    </row>
    <row r="123" spans="1:13" ht="22.05" customHeight="1" x14ac:dyDescent="0.3">
      <c r="A123" s="2" t="s">
        <v>1871</v>
      </c>
      <c r="B123" s="12" t="s">
        <v>8</v>
      </c>
      <c r="C123" s="12">
        <v>10.9</v>
      </c>
      <c r="D123" s="2">
        <v>198.97</v>
      </c>
      <c r="E123" s="2">
        <f>FastenersPriceList34[[#This Row],[1000 PCS/WT.]]/1000</f>
        <v>0.19897000000000001</v>
      </c>
      <c r="F123" s="2" t="s">
        <v>126</v>
      </c>
      <c r="G123" s="6" t="s">
        <v>1755</v>
      </c>
      <c r="H123" s="70">
        <v>50</v>
      </c>
      <c r="I123" s="72">
        <f>FastenersPriceList34[[#This Row],[Quantity (kg)]]/FastenersPriceList34[[#This Row],[SINGLE PC. WT.]]</f>
        <v>251.29416494948987</v>
      </c>
      <c r="J123" s="3">
        <v>125</v>
      </c>
      <c r="K123" s="3">
        <f>FastenersPriceList34[[#This Row],[1000 PCS/WT.]]*FastenersPriceList34[[#This Row],[Rate / PER kg (₹)]]</f>
        <v>24871.25</v>
      </c>
      <c r="L123" s="4">
        <f>FastenersPriceList34[[#This Row],[Rate / PER kg (₹)]]*FastenersPriceList34[[#This Row],[Quantity (kg)]]</f>
        <v>6250</v>
      </c>
      <c r="M123" s="4">
        <f>FastenersPriceList34[[#This Row],[SINGLE PC. WT.]]*FastenersPriceList34[[#This Row],[Rate / PER kg (₹)]]</f>
        <v>24.87125</v>
      </c>
    </row>
    <row r="124" spans="1:13" ht="22.05" customHeight="1" x14ac:dyDescent="0.3">
      <c r="A124" s="2" t="s">
        <v>1872</v>
      </c>
      <c r="B124" s="12" t="s">
        <v>8</v>
      </c>
      <c r="C124" s="12">
        <v>10.9</v>
      </c>
      <c r="D124" s="2">
        <v>209.05</v>
      </c>
      <c r="E124" s="2">
        <f>FastenersPriceList34[[#This Row],[1000 PCS/WT.]]/1000</f>
        <v>0.20905000000000001</v>
      </c>
      <c r="F124" s="2" t="s">
        <v>127</v>
      </c>
      <c r="G124" s="6" t="s">
        <v>1755</v>
      </c>
      <c r="H124" s="70">
        <v>50</v>
      </c>
      <c r="I124" s="72">
        <f>FastenersPriceList34[[#This Row],[Quantity (kg)]]/FastenersPriceList34[[#This Row],[SINGLE PC. WT.]]</f>
        <v>239.17723032767279</v>
      </c>
      <c r="J124" s="3">
        <v>125</v>
      </c>
      <c r="K124" s="3">
        <f>FastenersPriceList34[[#This Row],[1000 PCS/WT.]]*FastenersPriceList34[[#This Row],[Rate / PER kg (₹)]]</f>
        <v>26131.25</v>
      </c>
      <c r="L124" s="4">
        <f>FastenersPriceList34[[#This Row],[Rate / PER kg (₹)]]*FastenersPriceList34[[#This Row],[Quantity (kg)]]</f>
        <v>6250</v>
      </c>
      <c r="M124" s="4">
        <f>FastenersPriceList34[[#This Row],[SINGLE PC. WT.]]*FastenersPriceList34[[#This Row],[Rate / PER kg (₹)]]</f>
        <v>26.131250000000001</v>
      </c>
    </row>
    <row r="125" spans="1:13" ht="22.05" customHeight="1" x14ac:dyDescent="0.3">
      <c r="A125" s="2" t="s">
        <v>1873</v>
      </c>
      <c r="B125" s="12" t="s">
        <v>8</v>
      </c>
      <c r="C125" s="12">
        <v>10.9</v>
      </c>
      <c r="D125" s="2">
        <v>219.13</v>
      </c>
      <c r="E125" s="2">
        <f>FastenersPriceList34[[#This Row],[1000 PCS/WT.]]/1000</f>
        <v>0.21912999999999999</v>
      </c>
      <c r="F125" s="2" t="s">
        <v>128</v>
      </c>
      <c r="G125" s="6" t="s">
        <v>1755</v>
      </c>
      <c r="H125" s="70">
        <v>50</v>
      </c>
      <c r="I125" s="72">
        <f>FastenersPriceList34[[#This Row],[Quantity (kg)]]/FastenersPriceList34[[#This Row],[SINGLE PC. WT.]]</f>
        <v>228.17505590288872</v>
      </c>
      <c r="J125" s="3">
        <v>125</v>
      </c>
      <c r="K125" s="3">
        <f>FastenersPriceList34[[#This Row],[1000 PCS/WT.]]*FastenersPriceList34[[#This Row],[Rate / PER kg (₹)]]</f>
        <v>27391.25</v>
      </c>
      <c r="L125" s="4">
        <f>FastenersPriceList34[[#This Row],[Rate / PER kg (₹)]]*FastenersPriceList34[[#This Row],[Quantity (kg)]]</f>
        <v>6250</v>
      </c>
      <c r="M125" s="4">
        <f>FastenersPriceList34[[#This Row],[SINGLE PC. WT.]]*FastenersPriceList34[[#This Row],[Rate / PER kg (₹)]]</f>
        <v>27.391249999999999</v>
      </c>
    </row>
    <row r="126" spans="1:13" ht="22.05" customHeight="1" x14ac:dyDescent="0.3">
      <c r="A126" s="2" t="s">
        <v>1874</v>
      </c>
      <c r="B126" s="12" t="s">
        <v>8</v>
      </c>
      <c r="C126" s="12">
        <v>10.9</v>
      </c>
      <c r="D126" s="2">
        <v>229.21</v>
      </c>
      <c r="E126" s="2">
        <f>FastenersPriceList34[[#This Row],[1000 PCS/WT.]]/1000</f>
        <v>0.22921</v>
      </c>
      <c r="F126" s="2" t="s">
        <v>129</v>
      </c>
      <c r="G126" s="6" t="s">
        <v>1755</v>
      </c>
      <c r="H126" s="70">
        <v>50</v>
      </c>
      <c r="I126" s="72">
        <f>FastenersPriceList34[[#This Row],[Quantity (kg)]]/FastenersPriceList34[[#This Row],[SINGLE PC. WT.]]</f>
        <v>218.14056978316827</v>
      </c>
      <c r="J126" s="3">
        <v>125</v>
      </c>
      <c r="K126" s="3">
        <f>FastenersPriceList34[[#This Row],[1000 PCS/WT.]]*FastenersPriceList34[[#This Row],[Rate / PER kg (₹)]]</f>
        <v>28651.25</v>
      </c>
      <c r="L126" s="4">
        <f>FastenersPriceList34[[#This Row],[Rate / PER kg (₹)]]*FastenersPriceList34[[#This Row],[Quantity (kg)]]</f>
        <v>6250</v>
      </c>
      <c r="M126" s="4">
        <f>FastenersPriceList34[[#This Row],[SINGLE PC. WT.]]*FastenersPriceList34[[#This Row],[Rate / PER kg (₹)]]</f>
        <v>28.651250000000001</v>
      </c>
    </row>
    <row r="127" spans="1:13" ht="22.05" customHeight="1" x14ac:dyDescent="0.3">
      <c r="A127" s="2" t="s">
        <v>1875</v>
      </c>
      <c r="B127" s="12" t="s">
        <v>8</v>
      </c>
      <c r="C127" s="12">
        <v>10.9</v>
      </c>
      <c r="D127" s="2">
        <v>72</v>
      </c>
      <c r="E127" s="2">
        <f>FastenersPriceList34[[#This Row],[1000 PCS/WT.]]/1000</f>
        <v>7.1999999999999995E-2</v>
      </c>
      <c r="F127" s="2" t="s">
        <v>130</v>
      </c>
      <c r="G127" s="6" t="s">
        <v>1755</v>
      </c>
      <c r="H127" s="70">
        <v>50</v>
      </c>
      <c r="I127" s="72">
        <f>FastenersPriceList34[[#This Row],[Quantity (kg)]]/FastenersPriceList34[[#This Row],[SINGLE PC. WT.]]</f>
        <v>694.44444444444446</v>
      </c>
      <c r="J127" s="3">
        <v>125</v>
      </c>
      <c r="K127" s="3">
        <f>FastenersPriceList34[[#This Row],[1000 PCS/WT.]]*FastenersPriceList34[[#This Row],[Rate / PER kg (₹)]]</f>
        <v>9000</v>
      </c>
      <c r="L127" s="4">
        <f>FastenersPriceList34[[#This Row],[Rate / PER kg (₹)]]*FastenersPriceList34[[#This Row],[Quantity (kg)]]</f>
        <v>6250</v>
      </c>
      <c r="M127" s="4">
        <f>FastenersPriceList34[[#This Row],[SINGLE PC. WT.]]*FastenersPriceList34[[#This Row],[Rate / PER kg (₹)]]</f>
        <v>9</v>
      </c>
    </row>
    <row r="128" spans="1:13" ht="22.05" customHeight="1" x14ac:dyDescent="0.3">
      <c r="A128" s="2" t="s">
        <v>1876</v>
      </c>
      <c r="B128" s="12" t="s">
        <v>8</v>
      </c>
      <c r="C128" s="12">
        <v>10.9</v>
      </c>
      <c r="D128" s="2">
        <v>79</v>
      </c>
      <c r="E128" s="2">
        <f>FastenersPriceList34[[#This Row],[1000 PCS/WT.]]/1000</f>
        <v>7.9000000000000001E-2</v>
      </c>
      <c r="F128" s="2" t="s">
        <v>131</v>
      </c>
      <c r="G128" s="6" t="s">
        <v>1755</v>
      </c>
      <c r="H128" s="70">
        <v>50</v>
      </c>
      <c r="I128" s="72">
        <f>FastenersPriceList34[[#This Row],[Quantity (kg)]]/FastenersPriceList34[[#This Row],[SINGLE PC. WT.]]</f>
        <v>632.91139240506334</v>
      </c>
      <c r="J128" s="3">
        <v>125</v>
      </c>
      <c r="K128" s="3">
        <f>FastenersPriceList34[[#This Row],[1000 PCS/WT.]]*FastenersPriceList34[[#This Row],[Rate / PER kg (₹)]]</f>
        <v>9875</v>
      </c>
      <c r="L128" s="4">
        <f>FastenersPriceList34[[#This Row],[Rate / PER kg (₹)]]*FastenersPriceList34[[#This Row],[Quantity (kg)]]</f>
        <v>6250</v>
      </c>
      <c r="M128" s="4">
        <f>FastenersPriceList34[[#This Row],[SINGLE PC. WT.]]*FastenersPriceList34[[#This Row],[Rate / PER kg (₹)]]</f>
        <v>9.875</v>
      </c>
    </row>
    <row r="129" spans="1:13" ht="22.05" customHeight="1" x14ac:dyDescent="0.3">
      <c r="A129" s="2" t="s">
        <v>1877</v>
      </c>
      <c r="B129" s="12" t="s">
        <v>8</v>
      </c>
      <c r="C129" s="12">
        <v>10.9</v>
      </c>
      <c r="D129" s="2">
        <v>86</v>
      </c>
      <c r="E129" s="2">
        <f>FastenersPriceList34[[#This Row],[1000 PCS/WT.]]/1000</f>
        <v>8.5999999999999993E-2</v>
      </c>
      <c r="F129" s="2" t="s">
        <v>132</v>
      </c>
      <c r="G129" s="6" t="s">
        <v>1755</v>
      </c>
      <c r="H129" s="70">
        <v>50</v>
      </c>
      <c r="I129" s="72">
        <f>FastenersPriceList34[[#This Row],[Quantity (kg)]]/FastenersPriceList34[[#This Row],[SINGLE PC. WT.]]</f>
        <v>581.39534883720933</v>
      </c>
      <c r="J129" s="3">
        <v>125</v>
      </c>
      <c r="K129" s="3">
        <f>FastenersPriceList34[[#This Row],[1000 PCS/WT.]]*FastenersPriceList34[[#This Row],[Rate / PER kg (₹)]]</f>
        <v>10750</v>
      </c>
      <c r="L129" s="4">
        <f>FastenersPriceList34[[#This Row],[Rate / PER kg (₹)]]*FastenersPriceList34[[#This Row],[Quantity (kg)]]</f>
        <v>6250</v>
      </c>
      <c r="M129" s="4">
        <f>FastenersPriceList34[[#This Row],[SINGLE PC. WT.]]*FastenersPriceList34[[#This Row],[Rate / PER kg (₹)]]</f>
        <v>10.75</v>
      </c>
    </row>
    <row r="130" spans="1:13" ht="22.05" customHeight="1" x14ac:dyDescent="0.3">
      <c r="A130" s="2" t="s">
        <v>1878</v>
      </c>
      <c r="B130" s="12" t="s">
        <v>8</v>
      </c>
      <c r="C130" s="12">
        <v>10.9</v>
      </c>
      <c r="D130" s="2">
        <v>93</v>
      </c>
      <c r="E130" s="2">
        <f>FastenersPriceList34[[#This Row],[1000 PCS/WT.]]/1000</f>
        <v>9.2999999999999999E-2</v>
      </c>
      <c r="F130" s="2" t="s">
        <v>133</v>
      </c>
      <c r="G130" s="6" t="s">
        <v>1755</v>
      </c>
      <c r="H130" s="70">
        <v>50</v>
      </c>
      <c r="I130" s="72">
        <f>FastenersPriceList34[[#This Row],[Quantity (kg)]]/FastenersPriceList34[[#This Row],[SINGLE PC. WT.]]</f>
        <v>537.63440860215053</v>
      </c>
      <c r="J130" s="3">
        <v>125</v>
      </c>
      <c r="K130" s="3">
        <f>FastenersPriceList34[[#This Row],[1000 PCS/WT.]]*FastenersPriceList34[[#This Row],[Rate / PER kg (₹)]]</f>
        <v>11625</v>
      </c>
      <c r="L130" s="4">
        <f>FastenersPriceList34[[#This Row],[Rate / PER kg (₹)]]*FastenersPriceList34[[#This Row],[Quantity (kg)]]</f>
        <v>6250</v>
      </c>
      <c r="M130" s="4">
        <f>FastenersPriceList34[[#This Row],[SINGLE PC. WT.]]*FastenersPriceList34[[#This Row],[Rate / PER kg (₹)]]</f>
        <v>11.625</v>
      </c>
    </row>
    <row r="131" spans="1:13" ht="22.05" customHeight="1" x14ac:dyDescent="0.3">
      <c r="A131" s="2" t="s">
        <v>1879</v>
      </c>
      <c r="B131" s="12" t="s">
        <v>8</v>
      </c>
      <c r="C131" s="12">
        <v>10.9</v>
      </c>
      <c r="D131" s="2">
        <v>100</v>
      </c>
      <c r="E131" s="2">
        <f>FastenersPriceList34[[#This Row],[1000 PCS/WT.]]/1000</f>
        <v>0.1</v>
      </c>
      <c r="F131" s="2" t="s">
        <v>134</v>
      </c>
      <c r="G131" s="6" t="s">
        <v>1755</v>
      </c>
      <c r="H131" s="70">
        <v>50</v>
      </c>
      <c r="I131" s="72">
        <f>FastenersPriceList34[[#This Row],[Quantity (kg)]]/FastenersPriceList34[[#This Row],[SINGLE PC. WT.]]</f>
        <v>500</v>
      </c>
      <c r="J131" s="3">
        <v>125</v>
      </c>
      <c r="K131" s="3">
        <f>FastenersPriceList34[[#This Row],[1000 PCS/WT.]]*FastenersPriceList34[[#This Row],[Rate / PER kg (₹)]]</f>
        <v>12500</v>
      </c>
      <c r="L131" s="4">
        <f>FastenersPriceList34[[#This Row],[Rate / PER kg (₹)]]*FastenersPriceList34[[#This Row],[Quantity (kg)]]</f>
        <v>6250</v>
      </c>
      <c r="M131" s="4">
        <f>FastenersPriceList34[[#This Row],[SINGLE PC. WT.]]*FastenersPriceList34[[#This Row],[Rate / PER kg (₹)]]</f>
        <v>12.5</v>
      </c>
    </row>
    <row r="132" spans="1:13" ht="22.05" customHeight="1" x14ac:dyDescent="0.3">
      <c r="A132" s="2" t="s">
        <v>1880</v>
      </c>
      <c r="B132" s="12" t="s">
        <v>8</v>
      </c>
      <c r="C132" s="12">
        <v>10.9</v>
      </c>
      <c r="D132" s="2">
        <v>107</v>
      </c>
      <c r="E132" s="2">
        <f>FastenersPriceList34[[#This Row],[1000 PCS/WT.]]/1000</f>
        <v>0.107</v>
      </c>
      <c r="F132" s="2" t="s">
        <v>135</v>
      </c>
      <c r="G132" s="6" t="s">
        <v>1755</v>
      </c>
      <c r="H132" s="70">
        <v>50</v>
      </c>
      <c r="I132" s="72">
        <f>FastenersPriceList34[[#This Row],[Quantity (kg)]]/FastenersPriceList34[[#This Row],[SINGLE PC. WT.]]</f>
        <v>467.28971962616822</v>
      </c>
      <c r="J132" s="3">
        <v>125</v>
      </c>
      <c r="K132" s="3">
        <f>FastenersPriceList34[[#This Row],[1000 PCS/WT.]]*FastenersPriceList34[[#This Row],[Rate / PER kg (₹)]]</f>
        <v>13375</v>
      </c>
      <c r="L132" s="4">
        <f>FastenersPriceList34[[#This Row],[Rate / PER kg (₹)]]*FastenersPriceList34[[#This Row],[Quantity (kg)]]</f>
        <v>6250</v>
      </c>
      <c r="M132" s="4">
        <f>FastenersPriceList34[[#This Row],[SINGLE PC. WT.]]*FastenersPriceList34[[#This Row],[Rate / PER kg (₹)]]</f>
        <v>13.375</v>
      </c>
    </row>
    <row r="133" spans="1:13" ht="22.05" customHeight="1" x14ac:dyDescent="0.3">
      <c r="A133" s="2" t="s">
        <v>1881</v>
      </c>
      <c r="B133" s="12" t="s">
        <v>8</v>
      </c>
      <c r="C133" s="12">
        <v>10.9</v>
      </c>
      <c r="D133" s="2">
        <v>114</v>
      </c>
      <c r="E133" s="2">
        <f>FastenersPriceList34[[#This Row],[1000 PCS/WT.]]/1000</f>
        <v>0.114</v>
      </c>
      <c r="F133" s="2" t="s">
        <v>136</v>
      </c>
      <c r="G133" s="6" t="s">
        <v>1755</v>
      </c>
      <c r="H133" s="70">
        <v>50</v>
      </c>
      <c r="I133" s="72">
        <f>FastenersPriceList34[[#This Row],[Quantity (kg)]]/FastenersPriceList34[[#This Row],[SINGLE PC. WT.]]</f>
        <v>438.59649122807014</v>
      </c>
      <c r="J133" s="3">
        <v>123</v>
      </c>
      <c r="K133" s="3">
        <f>FastenersPriceList34[[#This Row],[1000 PCS/WT.]]*FastenersPriceList34[[#This Row],[Rate / PER kg (₹)]]</f>
        <v>14022</v>
      </c>
      <c r="L133" s="4">
        <f>FastenersPriceList34[[#This Row],[Rate / PER kg (₹)]]*FastenersPriceList34[[#This Row],[Quantity (kg)]]</f>
        <v>6150</v>
      </c>
      <c r="M133" s="4">
        <f>FastenersPriceList34[[#This Row],[SINGLE PC. WT.]]*FastenersPriceList34[[#This Row],[Rate / PER kg (₹)]]</f>
        <v>14.022</v>
      </c>
    </row>
    <row r="134" spans="1:13" ht="22.05" customHeight="1" x14ac:dyDescent="0.3">
      <c r="A134" s="2" t="s">
        <v>1882</v>
      </c>
      <c r="B134" s="12" t="s">
        <v>8</v>
      </c>
      <c r="C134" s="12">
        <v>10.9</v>
      </c>
      <c r="D134" s="2">
        <v>121</v>
      </c>
      <c r="E134" s="2">
        <f>FastenersPriceList34[[#This Row],[1000 PCS/WT.]]/1000</f>
        <v>0.121</v>
      </c>
      <c r="F134" s="2" t="s">
        <v>137</v>
      </c>
      <c r="G134" s="6" t="s">
        <v>1755</v>
      </c>
      <c r="H134" s="70">
        <v>50</v>
      </c>
      <c r="I134" s="72">
        <f>FastenersPriceList34[[#This Row],[Quantity (kg)]]/FastenersPriceList34[[#This Row],[SINGLE PC. WT.]]</f>
        <v>413.22314049586777</v>
      </c>
      <c r="J134" s="3">
        <v>123</v>
      </c>
      <c r="K134" s="3">
        <f>FastenersPriceList34[[#This Row],[1000 PCS/WT.]]*FastenersPriceList34[[#This Row],[Rate / PER kg (₹)]]</f>
        <v>14883</v>
      </c>
      <c r="L134" s="4">
        <f>FastenersPriceList34[[#This Row],[Rate / PER kg (₹)]]*FastenersPriceList34[[#This Row],[Quantity (kg)]]</f>
        <v>6150</v>
      </c>
      <c r="M134" s="4">
        <f>FastenersPriceList34[[#This Row],[SINGLE PC. WT.]]*FastenersPriceList34[[#This Row],[Rate / PER kg (₹)]]</f>
        <v>14.882999999999999</v>
      </c>
    </row>
    <row r="135" spans="1:13" ht="22.05" customHeight="1" x14ac:dyDescent="0.3">
      <c r="A135" s="2" t="s">
        <v>1883</v>
      </c>
      <c r="B135" s="12" t="s">
        <v>8</v>
      </c>
      <c r="C135" s="12">
        <v>10.9</v>
      </c>
      <c r="D135" s="2">
        <v>136</v>
      </c>
      <c r="E135" s="2">
        <f>FastenersPriceList34[[#This Row],[1000 PCS/WT.]]/1000</f>
        <v>0.13600000000000001</v>
      </c>
      <c r="F135" s="2" t="s">
        <v>138</v>
      </c>
      <c r="G135" s="6" t="s">
        <v>1755</v>
      </c>
      <c r="H135" s="70">
        <v>50</v>
      </c>
      <c r="I135" s="72">
        <f>FastenersPriceList34[[#This Row],[Quantity (kg)]]/FastenersPriceList34[[#This Row],[SINGLE PC. WT.]]</f>
        <v>367.64705882352939</v>
      </c>
      <c r="J135" s="3">
        <v>123</v>
      </c>
      <c r="K135" s="3">
        <f>FastenersPriceList34[[#This Row],[1000 PCS/WT.]]*FastenersPriceList34[[#This Row],[Rate / PER kg (₹)]]</f>
        <v>16728</v>
      </c>
      <c r="L135" s="4">
        <f>FastenersPriceList34[[#This Row],[Rate / PER kg (₹)]]*FastenersPriceList34[[#This Row],[Quantity (kg)]]</f>
        <v>6150</v>
      </c>
      <c r="M135" s="4">
        <f>FastenersPriceList34[[#This Row],[SINGLE PC. WT.]]*FastenersPriceList34[[#This Row],[Rate / PER kg (₹)]]</f>
        <v>16.728000000000002</v>
      </c>
    </row>
    <row r="136" spans="1:13" ht="22.05" customHeight="1" x14ac:dyDescent="0.3">
      <c r="A136" s="2" t="s">
        <v>1884</v>
      </c>
      <c r="B136" s="12" t="s">
        <v>8</v>
      </c>
      <c r="C136" s="12">
        <v>10.9</v>
      </c>
      <c r="D136" s="2">
        <v>144</v>
      </c>
      <c r="E136" s="2">
        <f>FastenersPriceList34[[#This Row],[1000 PCS/WT.]]/1000</f>
        <v>0.14399999999999999</v>
      </c>
      <c r="F136" s="2" t="s">
        <v>139</v>
      </c>
      <c r="G136" s="6" t="s">
        <v>1755</v>
      </c>
      <c r="H136" s="70">
        <v>50</v>
      </c>
      <c r="I136" s="72">
        <f>FastenersPriceList34[[#This Row],[Quantity (kg)]]/FastenersPriceList34[[#This Row],[SINGLE PC. WT.]]</f>
        <v>347.22222222222223</v>
      </c>
      <c r="J136" s="3">
        <v>123</v>
      </c>
      <c r="K136" s="3">
        <f>FastenersPriceList34[[#This Row],[1000 PCS/WT.]]*FastenersPriceList34[[#This Row],[Rate / PER kg (₹)]]</f>
        <v>17712</v>
      </c>
      <c r="L136" s="4">
        <f>FastenersPriceList34[[#This Row],[Rate / PER kg (₹)]]*FastenersPriceList34[[#This Row],[Quantity (kg)]]</f>
        <v>6150</v>
      </c>
      <c r="M136" s="4">
        <f>FastenersPriceList34[[#This Row],[SINGLE PC. WT.]]*FastenersPriceList34[[#This Row],[Rate / PER kg (₹)]]</f>
        <v>17.712</v>
      </c>
    </row>
    <row r="137" spans="1:13" ht="22.05" customHeight="1" x14ac:dyDescent="0.3">
      <c r="A137" s="2" t="s">
        <v>1885</v>
      </c>
      <c r="B137" s="12" t="s">
        <v>8</v>
      </c>
      <c r="C137" s="12">
        <v>10.9</v>
      </c>
      <c r="D137" s="2">
        <v>152</v>
      </c>
      <c r="E137" s="2">
        <f>FastenersPriceList34[[#This Row],[1000 PCS/WT.]]/1000</f>
        <v>0.152</v>
      </c>
      <c r="F137" s="2" t="s">
        <v>140</v>
      </c>
      <c r="G137" s="6" t="s">
        <v>1755</v>
      </c>
      <c r="H137" s="70">
        <v>50</v>
      </c>
      <c r="I137" s="72">
        <f>FastenersPriceList34[[#This Row],[Quantity (kg)]]/FastenersPriceList34[[#This Row],[SINGLE PC. WT.]]</f>
        <v>328.94736842105266</v>
      </c>
      <c r="J137" s="3">
        <v>123</v>
      </c>
      <c r="K137" s="3">
        <f>FastenersPriceList34[[#This Row],[1000 PCS/WT.]]*FastenersPriceList34[[#This Row],[Rate / PER kg (₹)]]</f>
        <v>18696</v>
      </c>
      <c r="L137" s="4">
        <f>FastenersPriceList34[[#This Row],[Rate / PER kg (₹)]]*FastenersPriceList34[[#This Row],[Quantity (kg)]]</f>
        <v>6150</v>
      </c>
      <c r="M137" s="4">
        <f>FastenersPriceList34[[#This Row],[SINGLE PC. WT.]]*FastenersPriceList34[[#This Row],[Rate / PER kg (₹)]]</f>
        <v>18.695999999999998</v>
      </c>
    </row>
    <row r="138" spans="1:13" ht="22.05" customHeight="1" x14ac:dyDescent="0.3">
      <c r="A138" s="2" t="s">
        <v>1886</v>
      </c>
      <c r="B138" s="12" t="s">
        <v>8</v>
      </c>
      <c r="C138" s="12">
        <v>10.9</v>
      </c>
      <c r="D138" s="2">
        <v>160</v>
      </c>
      <c r="E138" s="2">
        <f>FastenersPriceList34[[#This Row],[1000 PCS/WT.]]/1000</f>
        <v>0.16</v>
      </c>
      <c r="F138" s="2" t="s">
        <v>141</v>
      </c>
      <c r="G138" s="6" t="s">
        <v>1755</v>
      </c>
      <c r="H138" s="70">
        <v>50</v>
      </c>
      <c r="I138" s="72">
        <f>FastenersPriceList34[[#This Row],[Quantity (kg)]]/FastenersPriceList34[[#This Row],[SINGLE PC. WT.]]</f>
        <v>312.5</v>
      </c>
      <c r="J138" s="3">
        <v>123</v>
      </c>
      <c r="K138" s="3">
        <f>FastenersPriceList34[[#This Row],[1000 PCS/WT.]]*FastenersPriceList34[[#This Row],[Rate / PER kg (₹)]]</f>
        <v>19680</v>
      </c>
      <c r="L138" s="4">
        <f>FastenersPriceList34[[#This Row],[Rate / PER kg (₹)]]*FastenersPriceList34[[#This Row],[Quantity (kg)]]</f>
        <v>6150</v>
      </c>
      <c r="M138" s="4">
        <f>FastenersPriceList34[[#This Row],[SINGLE PC. WT.]]*FastenersPriceList34[[#This Row],[Rate / PER kg (₹)]]</f>
        <v>19.68</v>
      </c>
    </row>
    <row r="139" spans="1:13" ht="22.05" customHeight="1" x14ac:dyDescent="0.3">
      <c r="A139" s="2" t="s">
        <v>1887</v>
      </c>
      <c r="B139" s="12" t="s">
        <v>8</v>
      </c>
      <c r="C139" s="12">
        <v>10.9</v>
      </c>
      <c r="D139" s="2">
        <v>168</v>
      </c>
      <c r="E139" s="2">
        <f>FastenersPriceList34[[#This Row],[1000 PCS/WT.]]/1000</f>
        <v>0.16800000000000001</v>
      </c>
      <c r="F139" s="2" t="s">
        <v>142</v>
      </c>
      <c r="G139" s="6" t="s">
        <v>1755</v>
      </c>
      <c r="H139" s="70">
        <v>50</v>
      </c>
      <c r="I139" s="72">
        <f>FastenersPriceList34[[#This Row],[Quantity (kg)]]/FastenersPriceList34[[#This Row],[SINGLE PC. WT.]]</f>
        <v>297.61904761904759</v>
      </c>
      <c r="J139" s="3">
        <v>123</v>
      </c>
      <c r="K139" s="3">
        <f>FastenersPriceList34[[#This Row],[1000 PCS/WT.]]*FastenersPriceList34[[#This Row],[Rate / PER kg (₹)]]</f>
        <v>20664</v>
      </c>
      <c r="L139" s="4">
        <f>FastenersPriceList34[[#This Row],[Rate / PER kg (₹)]]*FastenersPriceList34[[#This Row],[Quantity (kg)]]</f>
        <v>6150</v>
      </c>
      <c r="M139" s="4">
        <f>FastenersPriceList34[[#This Row],[SINGLE PC. WT.]]*FastenersPriceList34[[#This Row],[Rate / PER kg (₹)]]</f>
        <v>20.664000000000001</v>
      </c>
    </row>
    <row r="140" spans="1:13" ht="22.05" customHeight="1" x14ac:dyDescent="0.3">
      <c r="A140" s="2" t="s">
        <v>1888</v>
      </c>
      <c r="B140" s="12" t="s">
        <v>8</v>
      </c>
      <c r="C140" s="12">
        <v>10.9</v>
      </c>
      <c r="D140" s="2">
        <v>176</v>
      </c>
      <c r="E140" s="2">
        <f>FastenersPriceList34[[#This Row],[1000 PCS/WT.]]/1000</f>
        <v>0.17599999999999999</v>
      </c>
      <c r="F140" s="2" t="s">
        <v>143</v>
      </c>
      <c r="G140" s="6" t="s">
        <v>1755</v>
      </c>
      <c r="H140" s="70">
        <v>50</v>
      </c>
      <c r="I140" s="72">
        <f>FastenersPriceList34[[#This Row],[Quantity (kg)]]/FastenersPriceList34[[#This Row],[SINGLE PC. WT.]]</f>
        <v>284.09090909090912</v>
      </c>
      <c r="J140" s="3">
        <v>123</v>
      </c>
      <c r="K140" s="3">
        <f>FastenersPriceList34[[#This Row],[1000 PCS/WT.]]*FastenersPriceList34[[#This Row],[Rate / PER kg (₹)]]</f>
        <v>21648</v>
      </c>
      <c r="L140" s="4">
        <f>FastenersPriceList34[[#This Row],[Rate / PER kg (₹)]]*FastenersPriceList34[[#This Row],[Quantity (kg)]]</f>
        <v>6150</v>
      </c>
      <c r="M140" s="4">
        <f>FastenersPriceList34[[#This Row],[SINGLE PC. WT.]]*FastenersPriceList34[[#This Row],[Rate / PER kg (₹)]]</f>
        <v>21.648</v>
      </c>
    </row>
    <row r="141" spans="1:13" ht="22.05" customHeight="1" x14ac:dyDescent="0.3">
      <c r="A141" s="2" t="s">
        <v>1889</v>
      </c>
      <c r="B141" s="12" t="s">
        <v>8</v>
      </c>
      <c r="C141" s="12">
        <v>10.9</v>
      </c>
      <c r="D141" s="2">
        <v>184</v>
      </c>
      <c r="E141" s="2">
        <f>FastenersPriceList34[[#This Row],[1000 PCS/WT.]]/1000</f>
        <v>0.184</v>
      </c>
      <c r="F141" s="2" t="s">
        <v>144</v>
      </c>
      <c r="G141" s="6" t="s">
        <v>1755</v>
      </c>
      <c r="H141" s="70">
        <v>50</v>
      </c>
      <c r="I141" s="72">
        <f>FastenersPriceList34[[#This Row],[Quantity (kg)]]/FastenersPriceList34[[#This Row],[SINGLE PC. WT.]]</f>
        <v>271.73913043478262</v>
      </c>
      <c r="J141" s="3">
        <v>123</v>
      </c>
      <c r="K141" s="3">
        <f>FastenersPriceList34[[#This Row],[1000 PCS/WT.]]*FastenersPriceList34[[#This Row],[Rate / PER kg (₹)]]</f>
        <v>22632</v>
      </c>
      <c r="L141" s="4">
        <f>FastenersPriceList34[[#This Row],[Rate / PER kg (₹)]]*FastenersPriceList34[[#This Row],[Quantity (kg)]]</f>
        <v>6150</v>
      </c>
      <c r="M141" s="4">
        <f>FastenersPriceList34[[#This Row],[SINGLE PC. WT.]]*FastenersPriceList34[[#This Row],[Rate / PER kg (₹)]]</f>
        <v>22.631999999999998</v>
      </c>
    </row>
    <row r="142" spans="1:13" ht="22.05" customHeight="1" x14ac:dyDescent="0.3">
      <c r="A142" s="2" t="s">
        <v>1890</v>
      </c>
      <c r="B142" s="12" t="s">
        <v>8</v>
      </c>
      <c r="C142" s="12">
        <v>10.9</v>
      </c>
      <c r="D142" s="2">
        <v>200</v>
      </c>
      <c r="E142" s="2">
        <f>FastenersPriceList34[[#This Row],[1000 PCS/WT.]]/1000</f>
        <v>0.2</v>
      </c>
      <c r="F142" s="2" t="s">
        <v>145</v>
      </c>
      <c r="G142" s="6" t="s">
        <v>1755</v>
      </c>
      <c r="H142" s="70">
        <v>50</v>
      </c>
      <c r="I142" s="72">
        <f>FastenersPriceList34[[#This Row],[Quantity (kg)]]/FastenersPriceList34[[#This Row],[SINGLE PC. WT.]]</f>
        <v>250</v>
      </c>
      <c r="J142" s="3">
        <v>125</v>
      </c>
      <c r="K142" s="3">
        <f>FastenersPriceList34[[#This Row],[1000 PCS/WT.]]*FastenersPriceList34[[#This Row],[Rate / PER kg (₹)]]</f>
        <v>25000</v>
      </c>
      <c r="L142" s="4">
        <f>FastenersPriceList34[[#This Row],[Rate / PER kg (₹)]]*FastenersPriceList34[[#This Row],[Quantity (kg)]]</f>
        <v>6250</v>
      </c>
      <c r="M142" s="4">
        <f>FastenersPriceList34[[#This Row],[SINGLE PC. WT.]]*FastenersPriceList34[[#This Row],[Rate / PER kg (₹)]]</f>
        <v>25</v>
      </c>
    </row>
    <row r="143" spans="1:13" ht="22.05" customHeight="1" x14ac:dyDescent="0.3">
      <c r="A143" s="2" t="s">
        <v>1891</v>
      </c>
      <c r="B143" s="12" t="s">
        <v>8</v>
      </c>
      <c r="C143" s="12">
        <v>10.9</v>
      </c>
      <c r="D143" s="2">
        <v>216</v>
      </c>
      <c r="E143" s="2">
        <f>FastenersPriceList34[[#This Row],[1000 PCS/WT.]]/1000</f>
        <v>0.216</v>
      </c>
      <c r="F143" s="2" t="s">
        <v>146</v>
      </c>
      <c r="G143" s="6" t="s">
        <v>1755</v>
      </c>
      <c r="H143" s="70">
        <v>50</v>
      </c>
      <c r="I143" s="72">
        <f>FastenersPriceList34[[#This Row],[Quantity (kg)]]/FastenersPriceList34[[#This Row],[SINGLE PC. WT.]]</f>
        <v>231.4814814814815</v>
      </c>
      <c r="J143" s="3">
        <v>125</v>
      </c>
      <c r="K143" s="3">
        <f>FastenersPriceList34[[#This Row],[1000 PCS/WT.]]*FastenersPriceList34[[#This Row],[Rate / PER kg (₹)]]</f>
        <v>27000</v>
      </c>
      <c r="L143" s="4">
        <f>FastenersPriceList34[[#This Row],[Rate / PER kg (₹)]]*FastenersPriceList34[[#This Row],[Quantity (kg)]]</f>
        <v>6250</v>
      </c>
      <c r="M143" s="4">
        <f>FastenersPriceList34[[#This Row],[SINGLE PC. WT.]]*FastenersPriceList34[[#This Row],[Rate / PER kg (₹)]]</f>
        <v>27</v>
      </c>
    </row>
    <row r="144" spans="1:13" ht="22.05" customHeight="1" x14ac:dyDescent="0.3">
      <c r="A144" s="2" t="s">
        <v>1892</v>
      </c>
      <c r="B144" s="12" t="s">
        <v>8</v>
      </c>
      <c r="C144" s="12">
        <v>10.9</v>
      </c>
      <c r="D144" s="2">
        <v>232</v>
      </c>
      <c r="E144" s="2">
        <f>FastenersPriceList34[[#This Row],[1000 PCS/WT.]]/1000</f>
        <v>0.23200000000000001</v>
      </c>
      <c r="F144" s="2" t="s">
        <v>147</v>
      </c>
      <c r="G144" s="6" t="s">
        <v>1755</v>
      </c>
      <c r="H144" s="70">
        <v>50</v>
      </c>
      <c r="I144" s="72">
        <f>FastenersPriceList34[[#This Row],[Quantity (kg)]]/FastenersPriceList34[[#This Row],[SINGLE PC. WT.]]</f>
        <v>215.51724137931032</v>
      </c>
      <c r="J144" s="3">
        <v>125</v>
      </c>
      <c r="K144" s="3">
        <f>FastenersPriceList34[[#This Row],[1000 PCS/WT.]]*FastenersPriceList34[[#This Row],[Rate / PER kg (₹)]]</f>
        <v>29000</v>
      </c>
      <c r="L144" s="4">
        <f>FastenersPriceList34[[#This Row],[Rate / PER kg (₹)]]*FastenersPriceList34[[#This Row],[Quantity (kg)]]</f>
        <v>6250</v>
      </c>
      <c r="M144" s="4">
        <f>FastenersPriceList34[[#This Row],[SINGLE PC. WT.]]*FastenersPriceList34[[#This Row],[Rate / PER kg (₹)]]</f>
        <v>29</v>
      </c>
    </row>
    <row r="145" spans="1:13" ht="22.05" customHeight="1" x14ac:dyDescent="0.3">
      <c r="A145" s="2" t="s">
        <v>1893</v>
      </c>
      <c r="B145" s="12" t="s">
        <v>8</v>
      </c>
      <c r="C145" s="12">
        <v>10.9</v>
      </c>
      <c r="D145" s="2">
        <v>248</v>
      </c>
      <c r="E145" s="2">
        <f>FastenersPriceList34[[#This Row],[1000 PCS/WT.]]/1000</f>
        <v>0.248</v>
      </c>
      <c r="F145" s="2" t="s">
        <v>148</v>
      </c>
      <c r="G145" s="6" t="s">
        <v>1755</v>
      </c>
      <c r="H145" s="70">
        <v>50</v>
      </c>
      <c r="I145" s="72">
        <f>FastenersPriceList34[[#This Row],[Quantity (kg)]]/FastenersPriceList34[[#This Row],[SINGLE PC. WT.]]</f>
        <v>201.61290322580646</v>
      </c>
      <c r="J145" s="3">
        <v>125</v>
      </c>
      <c r="K145" s="3">
        <f>FastenersPriceList34[[#This Row],[1000 PCS/WT.]]*FastenersPriceList34[[#This Row],[Rate / PER kg (₹)]]</f>
        <v>31000</v>
      </c>
      <c r="L145" s="4">
        <f>FastenersPriceList34[[#This Row],[Rate / PER kg (₹)]]*FastenersPriceList34[[#This Row],[Quantity (kg)]]</f>
        <v>6250</v>
      </c>
      <c r="M145" s="4">
        <f>FastenersPriceList34[[#This Row],[SINGLE PC. WT.]]*FastenersPriceList34[[#This Row],[Rate / PER kg (₹)]]</f>
        <v>31</v>
      </c>
    </row>
    <row r="146" spans="1:13" ht="22.05" customHeight="1" x14ac:dyDescent="0.3">
      <c r="A146" s="2" t="s">
        <v>1894</v>
      </c>
      <c r="B146" s="12" t="s">
        <v>8</v>
      </c>
      <c r="C146" s="12">
        <v>10.9</v>
      </c>
      <c r="D146" s="2">
        <v>264</v>
      </c>
      <c r="E146" s="2">
        <f>FastenersPriceList34[[#This Row],[1000 PCS/WT.]]/1000</f>
        <v>0.26400000000000001</v>
      </c>
      <c r="F146" s="2" t="s">
        <v>149</v>
      </c>
      <c r="G146" s="6" t="s">
        <v>1755</v>
      </c>
      <c r="H146" s="70">
        <v>50</v>
      </c>
      <c r="I146" s="72">
        <f>FastenersPriceList34[[#This Row],[Quantity (kg)]]/FastenersPriceList34[[#This Row],[SINGLE PC. WT.]]</f>
        <v>189.39393939393938</v>
      </c>
      <c r="J146" s="3">
        <v>125</v>
      </c>
      <c r="K146" s="3">
        <f>FastenersPriceList34[[#This Row],[1000 PCS/WT.]]*FastenersPriceList34[[#This Row],[Rate / PER kg (₹)]]</f>
        <v>33000</v>
      </c>
      <c r="L146" s="4">
        <f>FastenersPriceList34[[#This Row],[Rate / PER kg (₹)]]*FastenersPriceList34[[#This Row],[Quantity (kg)]]</f>
        <v>6250</v>
      </c>
      <c r="M146" s="4">
        <f>FastenersPriceList34[[#This Row],[SINGLE PC. WT.]]*FastenersPriceList34[[#This Row],[Rate / PER kg (₹)]]</f>
        <v>33</v>
      </c>
    </row>
    <row r="147" spans="1:13" ht="22.05" customHeight="1" x14ac:dyDescent="0.3">
      <c r="A147" s="2" t="s">
        <v>1895</v>
      </c>
      <c r="B147" s="12" t="s">
        <v>8</v>
      </c>
      <c r="C147" s="12">
        <v>10.9</v>
      </c>
      <c r="D147" s="2">
        <v>280</v>
      </c>
      <c r="E147" s="2">
        <f>FastenersPriceList34[[#This Row],[1000 PCS/WT.]]/1000</f>
        <v>0.28000000000000003</v>
      </c>
      <c r="F147" s="2" t="s">
        <v>150</v>
      </c>
      <c r="G147" s="6" t="s">
        <v>1755</v>
      </c>
      <c r="H147" s="70">
        <v>50</v>
      </c>
      <c r="I147" s="72">
        <f>FastenersPriceList34[[#This Row],[Quantity (kg)]]/FastenersPriceList34[[#This Row],[SINGLE PC. WT.]]</f>
        <v>178.57142857142856</v>
      </c>
      <c r="J147" s="3">
        <v>125</v>
      </c>
      <c r="K147" s="3">
        <f>FastenersPriceList34[[#This Row],[1000 PCS/WT.]]*FastenersPriceList34[[#This Row],[Rate / PER kg (₹)]]</f>
        <v>35000</v>
      </c>
      <c r="L147" s="4">
        <f>FastenersPriceList34[[#This Row],[Rate / PER kg (₹)]]*FastenersPriceList34[[#This Row],[Quantity (kg)]]</f>
        <v>6250</v>
      </c>
      <c r="M147" s="4">
        <f>FastenersPriceList34[[#This Row],[SINGLE PC. WT.]]*FastenersPriceList34[[#This Row],[Rate / PER kg (₹)]]</f>
        <v>35</v>
      </c>
    </row>
    <row r="148" spans="1:13" ht="22.05" customHeight="1" x14ac:dyDescent="0.3">
      <c r="A148" s="2" t="s">
        <v>1896</v>
      </c>
      <c r="B148" s="12" t="s">
        <v>8</v>
      </c>
      <c r="C148" s="12">
        <v>10.9</v>
      </c>
      <c r="D148" s="2">
        <v>296</v>
      </c>
      <c r="E148" s="2">
        <f>FastenersPriceList34[[#This Row],[1000 PCS/WT.]]/1000</f>
        <v>0.29599999999999999</v>
      </c>
      <c r="F148" s="2" t="s">
        <v>151</v>
      </c>
      <c r="G148" s="6" t="s">
        <v>1755</v>
      </c>
      <c r="H148" s="70">
        <v>50</v>
      </c>
      <c r="I148" s="72">
        <f>FastenersPriceList34[[#This Row],[Quantity (kg)]]/FastenersPriceList34[[#This Row],[SINGLE PC. WT.]]</f>
        <v>168.91891891891893</v>
      </c>
      <c r="J148" s="3">
        <v>125</v>
      </c>
      <c r="K148" s="3">
        <f>FastenersPriceList34[[#This Row],[1000 PCS/WT.]]*FastenersPriceList34[[#This Row],[Rate / PER kg (₹)]]</f>
        <v>37000</v>
      </c>
      <c r="L148" s="4">
        <f>FastenersPriceList34[[#This Row],[Rate / PER kg (₹)]]*FastenersPriceList34[[#This Row],[Quantity (kg)]]</f>
        <v>6250</v>
      </c>
      <c r="M148" s="4">
        <f>FastenersPriceList34[[#This Row],[SINGLE PC. WT.]]*FastenersPriceList34[[#This Row],[Rate / PER kg (₹)]]</f>
        <v>37</v>
      </c>
    </row>
    <row r="149" spans="1:13" ht="22.05" customHeight="1" x14ac:dyDescent="0.3">
      <c r="A149" s="2" t="s">
        <v>1897</v>
      </c>
      <c r="B149" s="12" t="s">
        <v>8</v>
      </c>
      <c r="C149" s="12">
        <v>10.9</v>
      </c>
      <c r="D149" s="2">
        <v>312</v>
      </c>
      <c r="E149" s="2">
        <f>FastenersPriceList34[[#This Row],[1000 PCS/WT.]]/1000</f>
        <v>0.312</v>
      </c>
      <c r="F149" s="2" t="s">
        <v>152</v>
      </c>
      <c r="G149" s="6" t="s">
        <v>1755</v>
      </c>
      <c r="H149" s="70">
        <v>50</v>
      </c>
      <c r="I149" s="72">
        <f>FastenersPriceList34[[#This Row],[Quantity (kg)]]/FastenersPriceList34[[#This Row],[SINGLE PC. WT.]]</f>
        <v>160.25641025641025</v>
      </c>
      <c r="J149" s="3">
        <v>125</v>
      </c>
      <c r="K149" s="3">
        <f>FastenersPriceList34[[#This Row],[1000 PCS/WT.]]*FastenersPriceList34[[#This Row],[Rate / PER kg (₹)]]</f>
        <v>39000</v>
      </c>
      <c r="L149" s="4">
        <f>FastenersPriceList34[[#This Row],[Rate / PER kg (₹)]]*FastenersPriceList34[[#This Row],[Quantity (kg)]]</f>
        <v>6250</v>
      </c>
      <c r="M149" s="4">
        <f>FastenersPriceList34[[#This Row],[SINGLE PC. WT.]]*FastenersPriceList34[[#This Row],[Rate / PER kg (₹)]]</f>
        <v>39</v>
      </c>
    </row>
    <row r="150" spans="1:13" ht="22.05" customHeight="1" x14ac:dyDescent="0.3">
      <c r="A150" s="2" t="s">
        <v>1898</v>
      </c>
      <c r="B150" s="12" t="s">
        <v>8</v>
      </c>
      <c r="C150" s="12">
        <v>10.9</v>
      </c>
      <c r="D150" s="2">
        <v>328</v>
      </c>
      <c r="E150" s="2">
        <f>FastenersPriceList34[[#This Row],[1000 PCS/WT.]]/1000</f>
        <v>0.32800000000000001</v>
      </c>
      <c r="F150" s="2" t="s">
        <v>153</v>
      </c>
      <c r="G150" s="6" t="s">
        <v>1755</v>
      </c>
      <c r="H150" s="70">
        <v>50</v>
      </c>
      <c r="I150" s="72">
        <f>FastenersPriceList34[[#This Row],[Quantity (kg)]]/FastenersPriceList34[[#This Row],[SINGLE PC. WT.]]</f>
        <v>152.4390243902439</v>
      </c>
      <c r="J150" s="3">
        <v>130</v>
      </c>
      <c r="K150" s="3">
        <f>FastenersPriceList34[[#This Row],[1000 PCS/WT.]]*FastenersPriceList34[[#This Row],[Rate / PER kg (₹)]]</f>
        <v>42640</v>
      </c>
      <c r="L150" s="4">
        <f>FastenersPriceList34[[#This Row],[Rate / PER kg (₹)]]*FastenersPriceList34[[#This Row],[Quantity (kg)]]</f>
        <v>6500</v>
      </c>
      <c r="M150" s="4">
        <f>FastenersPriceList34[[#This Row],[SINGLE PC. WT.]]*FastenersPriceList34[[#This Row],[Rate / PER kg (₹)]]</f>
        <v>42.64</v>
      </c>
    </row>
    <row r="151" spans="1:13" ht="22.05" customHeight="1" x14ac:dyDescent="0.3">
      <c r="A151" s="2" t="s">
        <v>1899</v>
      </c>
      <c r="B151" s="12" t="s">
        <v>8</v>
      </c>
      <c r="C151" s="12">
        <v>10.9</v>
      </c>
      <c r="D151" s="2">
        <v>344</v>
      </c>
      <c r="E151" s="2">
        <f>FastenersPriceList34[[#This Row],[1000 PCS/WT.]]/1000</f>
        <v>0.34399999999999997</v>
      </c>
      <c r="F151" s="2" t="s">
        <v>154</v>
      </c>
      <c r="G151" s="6" t="s">
        <v>1755</v>
      </c>
      <c r="H151" s="70">
        <v>50</v>
      </c>
      <c r="I151" s="72">
        <f>FastenersPriceList34[[#This Row],[Quantity (kg)]]/FastenersPriceList34[[#This Row],[SINGLE PC. WT.]]</f>
        <v>145.34883720930233</v>
      </c>
      <c r="J151" s="3">
        <v>130</v>
      </c>
      <c r="K151" s="3">
        <f>FastenersPriceList34[[#This Row],[1000 PCS/WT.]]*FastenersPriceList34[[#This Row],[Rate / PER kg (₹)]]</f>
        <v>44720</v>
      </c>
      <c r="L151" s="4">
        <f>FastenersPriceList34[[#This Row],[Rate / PER kg (₹)]]*FastenersPriceList34[[#This Row],[Quantity (kg)]]</f>
        <v>6500</v>
      </c>
      <c r="M151" s="4">
        <f>FastenersPriceList34[[#This Row],[SINGLE PC. WT.]]*FastenersPriceList34[[#This Row],[Rate / PER kg (₹)]]</f>
        <v>44.72</v>
      </c>
    </row>
    <row r="152" spans="1:13" ht="22.05" customHeight="1" x14ac:dyDescent="0.3">
      <c r="A152" s="2" t="s">
        <v>1900</v>
      </c>
      <c r="B152" s="12" t="s">
        <v>8</v>
      </c>
      <c r="C152" s="12">
        <v>10.9</v>
      </c>
      <c r="D152" s="2">
        <v>147.5</v>
      </c>
      <c r="E152" s="2">
        <f>FastenersPriceList34[[#This Row],[1000 PCS/WT.]]/1000</f>
        <v>0.14749999999999999</v>
      </c>
      <c r="F152" s="2" t="s">
        <v>155</v>
      </c>
      <c r="G152" s="6" t="s">
        <v>1755</v>
      </c>
      <c r="H152" s="70">
        <v>50</v>
      </c>
      <c r="I152" s="72">
        <f>FastenersPriceList34[[#This Row],[Quantity (kg)]]/FastenersPriceList34[[#This Row],[SINGLE PC. WT.]]</f>
        <v>338.98305084745766</v>
      </c>
      <c r="J152" s="3">
        <v>128</v>
      </c>
      <c r="K152" s="3">
        <f>FastenersPriceList34[[#This Row],[1000 PCS/WT.]]*FastenersPriceList34[[#This Row],[Rate / PER kg (₹)]]</f>
        <v>18880</v>
      </c>
      <c r="L152" s="4">
        <f>FastenersPriceList34[[#This Row],[Rate / PER kg (₹)]]*FastenersPriceList34[[#This Row],[Quantity (kg)]]</f>
        <v>6400</v>
      </c>
      <c r="M152" s="4">
        <f>FastenersPriceList34[[#This Row],[SINGLE PC. WT.]]*FastenersPriceList34[[#This Row],[Rate / PER kg (₹)]]</f>
        <v>18.88</v>
      </c>
    </row>
    <row r="153" spans="1:13" ht="22.05" customHeight="1" x14ac:dyDescent="0.3">
      <c r="A153" s="2" t="s">
        <v>1901</v>
      </c>
      <c r="B153" s="12" t="s">
        <v>8</v>
      </c>
      <c r="C153" s="12">
        <v>10.9</v>
      </c>
      <c r="D153" s="2">
        <v>157.75</v>
      </c>
      <c r="E153" s="2">
        <f>FastenersPriceList34[[#This Row],[1000 PCS/WT.]]/1000</f>
        <v>0.15775</v>
      </c>
      <c r="F153" s="2" t="s">
        <v>156</v>
      </c>
      <c r="G153" s="6" t="s">
        <v>1755</v>
      </c>
      <c r="H153" s="70">
        <v>50</v>
      </c>
      <c r="I153" s="72">
        <f>FastenersPriceList34[[#This Row],[Quantity (kg)]]/FastenersPriceList34[[#This Row],[SINGLE PC. WT.]]</f>
        <v>316.95721077654514</v>
      </c>
      <c r="J153" s="3">
        <v>128</v>
      </c>
      <c r="K153" s="3">
        <f>FastenersPriceList34[[#This Row],[1000 PCS/WT.]]*FastenersPriceList34[[#This Row],[Rate / PER kg (₹)]]</f>
        <v>20192</v>
      </c>
      <c r="L153" s="4">
        <f>FastenersPriceList34[[#This Row],[Rate / PER kg (₹)]]*FastenersPriceList34[[#This Row],[Quantity (kg)]]</f>
        <v>6400</v>
      </c>
      <c r="M153" s="4">
        <f>FastenersPriceList34[[#This Row],[SINGLE PC. WT.]]*FastenersPriceList34[[#This Row],[Rate / PER kg (₹)]]</f>
        <v>20.192</v>
      </c>
    </row>
    <row r="154" spans="1:13" ht="22.05" customHeight="1" x14ac:dyDescent="0.3">
      <c r="A154" s="2" t="s">
        <v>1902</v>
      </c>
      <c r="B154" s="12" t="s">
        <v>8</v>
      </c>
      <c r="C154" s="12">
        <v>10.9</v>
      </c>
      <c r="D154" s="2">
        <v>168</v>
      </c>
      <c r="E154" s="2">
        <f>FastenersPriceList34[[#This Row],[1000 PCS/WT.]]/1000</f>
        <v>0.16800000000000001</v>
      </c>
      <c r="F154" s="2" t="s">
        <v>157</v>
      </c>
      <c r="G154" s="6" t="s">
        <v>1755</v>
      </c>
      <c r="H154" s="70">
        <v>50</v>
      </c>
      <c r="I154" s="72">
        <f>FastenersPriceList34[[#This Row],[Quantity (kg)]]/FastenersPriceList34[[#This Row],[SINGLE PC. WT.]]</f>
        <v>297.61904761904759</v>
      </c>
      <c r="J154" s="3">
        <v>128</v>
      </c>
      <c r="K154" s="3">
        <f>FastenersPriceList34[[#This Row],[1000 PCS/WT.]]*FastenersPriceList34[[#This Row],[Rate / PER kg (₹)]]</f>
        <v>21504</v>
      </c>
      <c r="L154" s="4">
        <f>FastenersPriceList34[[#This Row],[Rate / PER kg (₹)]]*FastenersPriceList34[[#This Row],[Quantity (kg)]]</f>
        <v>6400</v>
      </c>
      <c r="M154" s="4">
        <f>FastenersPriceList34[[#This Row],[SINGLE PC. WT.]]*FastenersPriceList34[[#This Row],[Rate / PER kg (₹)]]</f>
        <v>21.504000000000001</v>
      </c>
    </row>
    <row r="155" spans="1:13" ht="22.05" customHeight="1" x14ac:dyDescent="0.3">
      <c r="A155" s="2" t="s">
        <v>1903</v>
      </c>
      <c r="B155" s="12" t="s">
        <v>8</v>
      </c>
      <c r="C155" s="12">
        <v>10.9</v>
      </c>
      <c r="D155" s="2">
        <v>178.25</v>
      </c>
      <c r="E155" s="2">
        <f>FastenersPriceList34[[#This Row],[1000 PCS/WT.]]/1000</f>
        <v>0.17824999999999999</v>
      </c>
      <c r="F155" s="2" t="s">
        <v>158</v>
      </c>
      <c r="G155" s="6" t="s">
        <v>1755</v>
      </c>
      <c r="H155" s="70">
        <v>50</v>
      </c>
      <c r="I155" s="72">
        <f>FastenersPriceList34[[#This Row],[Quantity (kg)]]/FastenersPriceList34[[#This Row],[SINGLE PC. WT.]]</f>
        <v>280.50490883590464</v>
      </c>
      <c r="J155" s="3">
        <v>128</v>
      </c>
      <c r="K155" s="3">
        <f>FastenersPriceList34[[#This Row],[1000 PCS/WT.]]*FastenersPriceList34[[#This Row],[Rate / PER kg (₹)]]</f>
        <v>22816</v>
      </c>
      <c r="L155" s="4">
        <f>FastenersPriceList34[[#This Row],[Rate / PER kg (₹)]]*FastenersPriceList34[[#This Row],[Quantity (kg)]]</f>
        <v>6400</v>
      </c>
      <c r="M155" s="4">
        <f>FastenersPriceList34[[#This Row],[SINGLE PC. WT.]]*FastenersPriceList34[[#This Row],[Rate / PER kg (₹)]]</f>
        <v>22.815999999999999</v>
      </c>
    </row>
    <row r="156" spans="1:13" ht="22.05" customHeight="1" x14ac:dyDescent="0.3">
      <c r="A156" s="2" t="s">
        <v>1904</v>
      </c>
      <c r="B156" s="12" t="s">
        <v>8</v>
      </c>
      <c r="C156" s="12">
        <v>10.9</v>
      </c>
      <c r="D156" s="2">
        <v>188.5</v>
      </c>
      <c r="E156" s="2">
        <f>FastenersPriceList34[[#This Row],[1000 PCS/WT.]]/1000</f>
        <v>0.1885</v>
      </c>
      <c r="F156" s="2" t="s">
        <v>159</v>
      </c>
      <c r="G156" s="6" t="s">
        <v>1755</v>
      </c>
      <c r="H156" s="70">
        <v>50</v>
      </c>
      <c r="I156" s="72">
        <f>FastenersPriceList34[[#This Row],[Quantity (kg)]]/FastenersPriceList34[[#This Row],[SINGLE PC. WT.]]</f>
        <v>265.25198938992042</v>
      </c>
      <c r="J156" s="3">
        <v>126</v>
      </c>
      <c r="K156" s="3">
        <f>FastenersPriceList34[[#This Row],[1000 PCS/WT.]]*FastenersPriceList34[[#This Row],[Rate / PER kg (₹)]]</f>
        <v>23751</v>
      </c>
      <c r="L156" s="4">
        <f>FastenersPriceList34[[#This Row],[Rate / PER kg (₹)]]*FastenersPriceList34[[#This Row],[Quantity (kg)]]</f>
        <v>6300</v>
      </c>
      <c r="M156" s="4">
        <f>FastenersPriceList34[[#This Row],[SINGLE PC. WT.]]*FastenersPriceList34[[#This Row],[Rate / PER kg (₹)]]</f>
        <v>23.751000000000001</v>
      </c>
    </row>
    <row r="157" spans="1:13" ht="22.05" customHeight="1" x14ac:dyDescent="0.3">
      <c r="A157" s="2" t="s">
        <v>1905</v>
      </c>
      <c r="B157" s="12" t="s">
        <v>8</v>
      </c>
      <c r="C157" s="12">
        <v>10.9</v>
      </c>
      <c r="D157" s="2">
        <v>198.75</v>
      </c>
      <c r="E157" s="2">
        <f>FastenersPriceList34[[#This Row],[1000 PCS/WT.]]/1000</f>
        <v>0.19875000000000001</v>
      </c>
      <c r="F157" s="2" t="s">
        <v>160</v>
      </c>
      <c r="G157" s="6" t="s">
        <v>1755</v>
      </c>
      <c r="H157" s="70">
        <v>50</v>
      </c>
      <c r="I157" s="72">
        <f>FastenersPriceList34[[#This Row],[Quantity (kg)]]/FastenersPriceList34[[#This Row],[SINGLE PC. WT.]]</f>
        <v>251.57232704402514</v>
      </c>
      <c r="J157" s="3">
        <v>126</v>
      </c>
      <c r="K157" s="3">
        <f>FastenersPriceList34[[#This Row],[1000 PCS/WT.]]*FastenersPriceList34[[#This Row],[Rate / PER kg (₹)]]</f>
        <v>25042.5</v>
      </c>
      <c r="L157" s="4">
        <f>FastenersPriceList34[[#This Row],[Rate / PER kg (₹)]]*FastenersPriceList34[[#This Row],[Quantity (kg)]]</f>
        <v>6300</v>
      </c>
      <c r="M157" s="4">
        <f>FastenersPriceList34[[#This Row],[SINGLE PC. WT.]]*FastenersPriceList34[[#This Row],[Rate / PER kg (₹)]]</f>
        <v>25.0425</v>
      </c>
    </row>
    <row r="158" spans="1:13" ht="22.05" customHeight="1" x14ac:dyDescent="0.3">
      <c r="A158" s="2" t="s">
        <v>1906</v>
      </c>
      <c r="B158" s="12" t="s">
        <v>8</v>
      </c>
      <c r="C158" s="12">
        <v>10.9</v>
      </c>
      <c r="D158" s="2">
        <v>209</v>
      </c>
      <c r="E158" s="2">
        <f>FastenersPriceList34[[#This Row],[1000 PCS/WT.]]/1000</f>
        <v>0.20899999999999999</v>
      </c>
      <c r="F158" s="2" t="s">
        <v>161</v>
      </c>
      <c r="G158" s="6" t="s">
        <v>1755</v>
      </c>
      <c r="H158" s="70">
        <v>50</v>
      </c>
      <c r="I158" s="72">
        <f>FastenersPriceList34[[#This Row],[Quantity (kg)]]/FastenersPriceList34[[#This Row],[SINGLE PC. WT.]]</f>
        <v>239.23444976076556</v>
      </c>
      <c r="J158" s="3">
        <v>126</v>
      </c>
      <c r="K158" s="3">
        <f>FastenersPriceList34[[#This Row],[1000 PCS/WT.]]*FastenersPriceList34[[#This Row],[Rate / PER kg (₹)]]</f>
        <v>26334</v>
      </c>
      <c r="L158" s="4">
        <f>FastenersPriceList34[[#This Row],[Rate / PER kg (₹)]]*FastenersPriceList34[[#This Row],[Quantity (kg)]]</f>
        <v>6300</v>
      </c>
      <c r="M158" s="4">
        <f>FastenersPriceList34[[#This Row],[SINGLE PC. WT.]]*FastenersPriceList34[[#This Row],[Rate / PER kg (₹)]]</f>
        <v>26.334</v>
      </c>
    </row>
    <row r="159" spans="1:13" ht="22.05" customHeight="1" x14ac:dyDescent="0.3">
      <c r="A159" s="2" t="s">
        <v>1907</v>
      </c>
      <c r="B159" s="12" t="s">
        <v>8</v>
      </c>
      <c r="C159" s="12">
        <v>10.9</v>
      </c>
      <c r="D159" s="2">
        <v>219.25</v>
      </c>
      <c r="E159" s="2">
        <f>FastenersPriceList34[[#This Row],[1000 PCS/WT.]]/1000</f>
        <v>0.21925</v>
      </c>
      <c r="F159" s="2" t="s">
        <v>162</v>
      </c>
      <c r="G159" s="6" t="s">
        <v>1755</v>
      </c>
      <c r="H159" s="70">
        <v>50</v>
      </c>
      <c r="I159" s="72">
        <f>FastenersPriceList34[[#This Row],[Quantity (kg)]]/FastenersPriceList34[[#This Row],[SINGLE PC. WT.]]</f>
        <v>228.05017103762827</v>
      </c>
      <c r="J159" s="3">
        <v>126</v>
      </c>
      <c r="K159" s="3">
        <f>FastenersPriceList34[[#This Row],[1000 PCS/WT.]]*FastenersPriceList34[[#This Row],[Rate / PER kg (₹)]]</f>
        <v>27625.5</v>
      </c>
      <c r="L159" s="4">
        <f>FastenersPriceList34[[#This Row],[Rate / PER kg (₹)]]*FastenersPriceList34[[#This Row],[Quantity (kg)]]</f>
        <v>6300</v>
      </c>
      <c r="M159" s="4">
        <f>FastenersPriceList34[[#This Row],[SINGLE PC. WT.]]*FastenersPriceList34[[#This Row],[Rate / PER kg (₹)]]</f>
        <v>27.625499999999999</v>
      </c>
    </row>
    <row r="160" spans="1:13" ht="22.05" customHeight="1" x14ac:dyDescent="0.3">
      <c r="A160" s="2" t="s">
        <v>1908</v>
      </c>
      <c r="B160" s="12" t="s">
        <v>8</v>
      </c>
      <c r="C160" s="12">
        <v>10.9</v>
      </c>
      <c r="D160" s="2">
        <v>229.5</v>
      </c>
      <c r="E160" s="2">
        <f>FastenersPriceList34[[#This Row],[1000 PCS/WT.]]/1000</f>
        <v>0.22950000000000001</v>
      </c>
      <c r="F160" s="2" t="s">
        <v>163</v>
      </c>
      <c r="G160" s="6" t="s">
        <v>1755</v>
      </c>
      <c r="H160" s="70">
        <v>50</v>
      </c>
      <c r="I160" s="72">
        <f>FastenersPriceList34[[#This Row],[Quantity (kg)]]/FastenersPriceList34[[#This Row],[SINGLE PC. WT.]]</f>
        <v>217.86492374727669</v>
      </c>
      <c r="J160" s="3">
        <v>126</v>
      </c>
      <c r="K160" s="3">
        <f>FastenersPriceList34[[#This Row],[1000 PCS/WT.]]*FastenersPriceList34[[#This Row],[Rate / PER kg (₹)]]</f>
        <v>28917</v>
      </c>
      <c r="L160" s="4">
        <f>FastenersPriceList34[[#This Row],[Rate / PER kg (₹)]]*FastenersPriceList34[[#This Row],[Quantity (kg)]]</f>
        <v>6300</v>
      </c>
      <c r="M160" s="4">
        <f>FastenersPriceList34[[#This Row],[SINGLE PC. WT.]]*FastenersPriceList34[[#This Row],[Rate / PER kg (₹)]]</f>
        <v>28.917000000000002</v>
      </c>
    </row>
    <row r="161" spans="1:13" ht="22.05" customHeight="1" x14ac:dyDescent="0.3">
      <c r="A161" s="2" t="s">
        <v>1909</v>
      </c>
      <c r="B161" s="12" t="s">
        <v>8</v>
      </c>
      <c r="C161" s="12">
        <v>10.9</v>
      </c>
      <c r="D161" s="2">
        <v>239.75</v>
      </c>
      <c r="E161" s="2">
        <f>FastenersPriceList34[[#This Row],[1000 PCS/WT.]]/1000</f>
        <v>0.23974999999999999</v>
      </c>
      <c r="F161" s="2" t="s">
        <v>164</v>
      </c>
      <c r="G161" s="6" t="s">
        <v>1755</v>
      </c>
      <c r="H161" s="70">
        <v>50</v>
      </c>
      <c r="I161" s="72">
        <f>FastenersPriceList34[[#This Row],[Quantity (kg)]]/FastenersPriceList34[[#This Row],[SINGLE PC. WT.]]</f>
        <v>208.55057351407717</v>
      </c>
      <c r="J161" s="3">
        <v>126</v>
      </c>
      <c r="K161" s="3">
        <f>FastenersPriceList34[[#This Row],[1000 PCS/WT.]]*FastenersPriceList34[[#This Row],[Rate / PER kg (₹)]]</f>
        <v>30208.5</v>
      </c>
      <c r="L161" s="4">
        <f>FastenersPriceList34[[#This Row],[Rate / PER kg (₹)]]*FastenersPriceList34[[#This Row],[Quantity (kg)]]</f>
        <v>6300</v>
      </c>
      <c r="M161" s="4">
        <f>FastenersPriceList34[[#This Row],[SINGLE PC. WT.]]*FastenersPriceList34[[#This Row],[Rate / PER kg (₹)]]</f>
        <v>30.208499999999997</v>
      </c>
    </row>
    <row r="162" spans="1:13" ht="22.05" customHeight="1" x14ac:dyDescent="0.3">
      <c r="A162" s="2" t="s">
        <v>1910</v>
      </c>
      <c r="B162" s="12" t="s">
        <v>8</v>
      </c>
      <c r="C162" s="12">
        <v>10.9</v>
      </c>
      <c r="D162" s="2">
        <v>250</v>
      </c>
      <c r="E162" s="2">
        <f>FastenersPriceList34[[#This Row],[1000 PCS/WT.]]/1000</f>
        <v>0.25</v>
      </c>
      <c r="F162" s="2" t="s">
        <v>165</v>
      </c>
      <c r="G162" s="6" t="s">
        <v>1755</v>
      </c>
      <c r="H162" s="70">
        <v>50</v>
      </c>
      <c r="I162" s="72">
        <f>FastenersPriceList34[[#This Row],[Quantity (kg)]]/FastenersPriceList34[[#This Row],[SINGLE PC. WT.]]</f>
        <v>200</v>
      </c>
      <c r="J162" s="3">
        <v>128</v>
      </c>
      <c r="K162" s="3">
        <f>FastenersPriceList34[[#This Row],[1000 PCS/WT.]]*FastenersPriceList34[[#This Row],[Rate / PER kg (₹)]]</f>
        <v>32000</v>
      </c>
      <c r="L162" s="4">
        <f>FastenersPriceList34[[#This Row],[Rate / PER kg (₹)]]*FastenersPriceList34[[#This Row],[Quantity (kg)]]</f>
        <v>6400</v>
      </c>
      <c r="M162" s="4">
        <f>FastenersPriceList34[[#This Row],[SINGLE PC. WT.]]*FastenersPriceList34[[#This Row],[Rate / PER kg (₹)]]</f>
        <v>32</v>
      </c>
    </row>
    <row r="163" spans="1:13" ht="22.05" customHeight="1" x14ac:dyDescent="0.3">
      <c r="A163" s="2" t="s">
        <v>1911</v>
      </c>
      <c r="B163" s="12" t="s">
        <v>8</v>
      </c>
      <c r="C163" s="12">
        <v>10.9</v>
      </c>
      <c r="D163" s="2">
        <v>260.25</v>
      </c>
      <c r="E163" s="2">
        <f>FastenersPriceList34[[#This Row],[1000 PCS/WT.]]/1000</f>
        <v>0.26024999999999998</v>
      </c>
      <c r="F163" s="2" t="s">
        <v>166</v>
      </c>
      <c r="G163" s="6" t="s">
        <v>1755</v>
      </c>
      <c r="H163" s="70">
        <v>50</v>
      </c>
      <c r="I163" s="72">
        <f>FastenersPriceList34[[#This Row],[Quantity (kg)]]/FastenersPriceList34[[#This Row],[SINGLE PC. WT.]]</f>
        <v>192.1229586935639</v>
      </c>
      <c r="J163" s="3">
        <v>128</v>
      </c>
      <c r="K163" s="3">
        <f>FastenersPriceList34[[#This Row],[1000 PCS/WT.]]*FastenersPriceList34[[#This Row],[Rate / PER kg (₹)]]</f>
        <v>33312</v>
      </c>
      <c r="L163" s="4">
        <f>FastenersPriceList34[[#This Row],[Rate / PER kg (₹)]]*FastenersPriceList34[[#This Row],[Quantity (kg)]]</f>
        <v>6400</v>
      </c>
      <c r="M163" s="4">
        <f>FastenersPriceList34[[#This Row],[SINGLE PC. WT.]]*FastenersPriceList34[[#This Row],[Rate / PER kg (₹)]]</f>
        <v>33.311999999999998</v>
      </c>
    </row>
    <row r="164" spans="1:13" ht="22.05" customHeight="1" x14ac:dyDescent="0.3">
      <c r="A164" s="2" t="s">
        <v>1912</v>
      </c>
      <c r="B164" s="12" t="s">
        <v>8</v>
      </c>
      <c r="C164" s="12">
        <v>10.9</v>
      </c>
      <c r="D164" s="2">
        <v>270.5</v>
      </c>
      <c r="E164" s="2">
        <f>FastenersPriceList34[[#This Row],[1000 PCS/WT.]]/1000</f>
        <v>0.27050000000000002</v>
      </c>
      <c r="F164" s="2" t="s">
        <v>167</v>
      </c>
      <c r="G164" s="6" t="s">
        <v>1755</v>
      </c>
      <c r="H164" s="70">
        <v>50</v>
      </c>
      <c r="I164" s="72">
        <f>FastenersPriceList34[[#This Row],[Quantity (kg)]]/FastenersPriceList34[[#This Row],[SINGLE PC. WT.]]</f>
        <v>184.84288354898334</v>
      </c>
      <c r="J164" s="3">
        <v>128</v>
      </c>
      <c r="K164" s="3">
        <f>FastenersPriceList34[[#This Row],[1000 PCS/WT.]]*FastenersPriceList34[[#This Row],[Rate / PER kg (₹)]]</f>
        <v>34624</v>
      </c>
      <c r="L164" s="4">
        <f>FastenersPriceList34[[#This Row],[Rate / PER kg (₹)]]*FastenersPriceList34[[#This Row],[Quantity (kg)]]</f>
        <v>6400</v>
      </c>
      <c r="M164" s="4">
        <f>FastenersPriceList34[[#This Row],[SINGLE PC. WT.]]*FastenersPriceList34[[#This Row],[Rate / PER kg (₹)]]</f>
        <v>34.624000000000002</v>
      </c>
    </row>
    <row r="165" spans="1:13" ht="22.05" customHeight="1" x14ac:dyDescent="0.3">
      <c r="A165" s="2" t="s">
        <v>1913</v>
      </c>
      <c r="B165" s="12" t="s">
        <v>8</v>
      </c>
      <c r="C165" s="12">
        <v>10.9</v>
      </c>
      <c r="D165" s="2">
        <v>280.75</v>
      </c>
      <c r="E165" s="2">
        <f>FastenersPriceList34[[#This Row],[1000 PCS/WT.]]/1000</f>
        <v>0.28075</v>
      </c>
      <c r="F165" s="2" t="s">
        <v>168</v>
      </c>
      <c r="G165" s="6" t="s">
        <v>1755</v>
      </c>
      <c r="H165" s="70">
        <v>50</v>
      </c>
      <c r="I165" s="72">
        <f>FastenersPriceList34[[#This Row],[Quantity (kg)]]/FastenersPriceList34[[#This Row],[SINGLE PC. WT.]]</f>
        <v>178.09439002671417</v>
      </c>
      <c r="J165" s="3">
        <v>128</v>
      </c>
      <c r="K165" s="3">
        <f>FastenersPriceList34[[#This Row],[1000 PCS/WT.]]*FastenersPriceList34[[#This Row],[Rate / PER kg (₹)]]</f>
        <v>35936</v>
      </c>
      <c r="L165" s="4">
        <f>FastenersPriceList34[[#This Row],[Rate / PER kg (₹)]]*FastenersPriceList34[[#This Row],[Quantity (kg)]]</f>
        <v>6400</v>
      </c>
      <c r="M165" s="4">
        <f>FastenersPriceList34[[#This Row],[SINGLE PC. WT.]]*FastenersPriceList34[[#This Row],[Rate / PER kg (₹)]]</f>
        <v>35.936</v>
      </c>
    </row>
    <row r="166" spans="1:13" ht="22.05" customHeight="1" x14ac:dyDescent="0.3">
      <c r="A166" s="2" t="s">
        <v>1914</v>
      </c>
      <c r="B166" s="12" t="s">
        <v>8</v>
      </c>
      <c r="C166" s="12">
        <v>10.9</v>
      </c>
      <c r="D166" s="2">
        <v>301.25</v>
      </c>
      <c r="E166" s="2">
        <f>FastenersPriceList34[[#This Row],[1000 PCS/WT.]]/1000</f>
        <v>0.30125000000000002</v>
      </c>
      <c r="F166" s="2" t="s">
        <v>169</v>
      </c>
      <c r="G166" s="6" t="s">
        <v>1755</v>
      </c>
      <c r="H166" s="70">
        <v>50</v>
      </c>
      <c r="I166" s="72">
        <f>FastenersPriceList34[[#This Row],[Quantity (kg)]]/FastenersPriceList34[[#This Row],[SINGLE PC. WT.]]</f>
        <v>165.97510373443981</v>
      </c>
      <c r="J166" s="3">
        <v>130</v>
      </c>
      <c r="K166" s="3">
        <f>FastenersPriceList34[[#This Row],[1000 PCS/WT.]]*FastenersPriceList34[[#This Row],[Rate / PER kg (₹)]]</f>
        <v>39162.5</v>
      </c>
      <c r="L166" s="4">
        <f>FastenersPriceList34[[#This Row],[Rate / PER kg (₹)]]*FastenersPriceList34[[#This Row],[Quantity (kg)]]</f>
        <v>6500</v>
      </c>
      <c r="M166" s="4">
        <f>FastenersPriceList34[[#This Row],[SINGLE PC. WT.]]*FastenersPriceList34[[#This Row],[Rate / PER kg (₹)]]</f>
        <v>39.162500000000001</v>
      </c>
    </row>
    <row r="167" spans="1:13" ht="22.05" customHeight="1" x14ac:dyDescent="0.3">
      <c r="A167" s="2" t="s">
        <v>1915</v>
      </c>
      <c r="B167" s="12" t="s">
        <v>8</v>
      </c>
      <c r="C167" s="12">
        <v>10.9</v>
      </c>
      <c r="D167" s="2">
        <v>321.75</v>
      </c>
      <c r="E167" s="2">
        <f>FastenersPriceList34[[#This Row],[1000 PCS/WT.]]/1000</f>
        <v>0.32174999999999998</v>
      </c>
      <c r="F167" s="2" t="s">
        <v>170</v>
      </c>
      <c r="G167" s="6" t="s">
        <v>1755</v>
      </c>
      <c r="H167" s="70">
        <v>50</v>
      </c>
      <c r="I167" s="72">
        <f>FastenersPriceList34[[#This Row],[Quantity (kg)]]/FastenersPriceList34[[#This Row],[SINGLE PC. WT.]]</f>
        <v>155.4001554001554</v>
      </c>
      <c r="J167" s="3">
        <v>130</v>
      </c>
      <c r="K167" s="3">
        <f>FastenersPriceList34[[#This Row],[1000 PCS/WT.]]*FastenersPriceList34[[#This Row],[Rate / PER kg (₹)]]</f>
        <v>41827.5</v>
      </c>
      <c r="L167" s="4">
        <f>FastenersPriceList34[[#This Row],[Rate / PER kg (₹)]]*FastenersPriceList34[[#This Row],[Quantity (kg)]]</f>
        <v>6500</v>
      </c>
      <c r="M167" s="4">
        <f>FastenersPriceList34[[#This Row],[SINGLE PC. WT.]]*FastenersPriceList34[[#This Row],[Rate / PER kg (₹)]]</f>
        <v>41.827500000000001</v>
      </c>
    </row>
    <row r="168" spans="1:13" ht="22.05" customHeight="1" x14ac:dyDescent="0.3">
      <c r="A168" s="2" t="s">
        <v>1916</v>
      </c>
      <c r="B168" s="12" t="s">
        <v>8</v>
      </c>
      <c r="C168" s="12">
        <v>10.9</v>
      </c>
      <c r="D168" s="2">
        <v>342.25</v>
      </c>
      <c r="E168" s="2">
        <f>FastenersPriceList34[[#This Row],[1000 PCS/WT.]]/1000</f>
        <v>0.34225</v>
      </c>
      <c r="F168" s="2" t="s">
        <v>171</v>
      </c>
      <c r="G168" s="6" t="s">
        <v>1755</v>
      </c>
      <c r="H168" s="70">
        <v>50</v>
      </c>
      <c r="I168" s="72">
        <f>FastenersPriceList34[[#This Row],[Quantity (kg)]]/FastenersPriceList34[[#This Row],[SINGLE PC. WT.]]</f>
        <v>146.09203798392988</v>
      </c>
      <c r="J168" s="3">
        <v>130</v>
      </c>
      <c r="K168" s="3">
        <f>FastenersPriceList34[[#This Row],[1000 PCS/WT.]]*FastenersPriceList34[[#This Row],[Rate / PER kg (₹)]]</f>
        <v>44492.5</v>
      </c>
      <c r="L168" s="4">
        <f>FastenersPriceList34[[#This Row],[Rate / PER kg (₹)]]*FastenersPriceList34[[#This Row],[Quantity (kg)]]</f>
        <v>6500</v>
      </c>
      <c r="M168" s="4">
        <f>FastenersPriceList34[[#This Row],[SINGLE PC. WT.]]*FastenersPriceList34[[#This Row],[Rate / PER kg (₹)]]</f>
        <v>44.4925</v>
      </c>
    </row>
    <row r="169" spans="1:13" ht="22.05" customHeight="1" x14ac:dyDescent="0.3">
      <c r="A169" s="2" t="s">
        <v>1917</v>
      </c>
      <c r="B169" s="12" t="s">
        <v>8</v>
      </c>
      <c r="C169" s="12">
        <v>10.9</v>
      </c>
      <c r="D169" s="2">
        <v>362.75</v>
      </c>
      <c r="E169" s="2">
        <f>FastenersPriceList34[[#This Row],[1000 PCS/WT.]]/1000</f>
        <v>0.36275000000000002</v>
      </c>
      <c r="F169" s="2" t="s">
        <v>172</v>
      </c>
      <c r="G169" s="6" t="s">
        <v>1755</v>
      </c>
      <c r="H169" s="70">
        <v>50</v>
      </c>
      <c r="I169" s="72">
        <f>FastenersPriceList34[[#This Row],[Quantity (kg)]]/FastenersPriceList34[[#This Row],[SINGLE PC. WT.]]</f>
        <v>137.83597518952445</v>
      </c>
      <c r="J169" s="3">
        <v>130</v>
      </c>
      <c r="K169" s="3">
        <f>FastenersPriceList34[[#This Row],[1000 PCS/WT.]]*FastenersPriceList34[[#This Row],[Rate / PER kg (₹)]]</f>
        <v>47157.5</v>
      </c>
      <c r="L169" s="4">
        <f>FastenersPriceList34[[#This Row],[Rate / PER kg (₹)]]*FastenersPriceList34[[#This Row],[Quantity (kg)]]</f>
        <v>6500</v>
      </c>
      <c r="M169" s="4">
        <f>FastenersPriceList34[[#This Row],[SINGLE PC. WT.]]*FastenersPriceList34[[#This Row],[Rate / PER kg (₹)]]</f>
        <v>47.157499999999999</v>
      </c>
    </row>
    <row r="170" spans="1:13" ht="22.05" customHeight="1" x14ac:dyDescent="0.3">
      <c r="A170" s="2" t="s">
        <v>1918</v>
      </c>
      <c r="B170" s="12" t="s">
        <v>8</v>
      </c>
      <c r="C170" s="12">
        <v>10.9</v>
      </c>
      <c r="D170" s="2">
        <v>383.25</v>
      </c>
      <c r="E170" s="2">
        <f>FastenersPriceList34[[#This Row],[1000 PCS/WT.]]/1000</f>
        <v>0.38324999999999998</v>
      </c>
      <c r="F170" s="2" t="s">
        <v>173</v>
      </c>
      <c r="G170" s="6" t="s">
        <v>1755</v>
      </c>
      <c r="H170" s="70">
        <v>50</v>
      </c>
      <c r="I170" s="72">
        <f>FastenersPriceList34[[#This Row],[Quantity (kg)]]/FastenersPriceList34[[#This Row],[SINGLE PC. WT.]]</f>
        <v>130.4631441617743</v>
      </c>
      <c r="J170" s="3">
        <v>130</v>
      </c>
      <c r="K170" s="3">
        <f>FastenersPriceList34[[#This Row],[1000 PCS/WT.]]*FastenersPriceList34[[#This Row],[Rate / PER kg (₹)]]</f>
        <v>49822.5</v>
      </c>
      <c r="L170" s="4">
        <f>FastenersPriceList34[[#This Row],[Rate / PER kg (₹)]]*FastenersPriceList34[[#This Row],[Quantity (kg)]]</f>
        <v>6500</v>
      </c>
      <c r="M170" s="4">
        <f>FastenersPriceList34[[#This Row],[SINGLE PC. WT.]]*FastenersPriceList34[[#This Row],[Rate / PER kg (₹)]]</f>
        <v>49.822499999999998</v>
      </c>
    </row>
    <row r="171" spans="1:13" ht="22.05" customHeight="1" x14ac:dyDescent="0.3">
      <c r="A171" s="2" t="s">
        <v>1919</v>
      </c>
      <c r="B171" s="12" t="s">
        <v>8</v>
      </c>
      <c r="C171" s="12">
        <v>10.9</v>
      </c>
      <c r="D171" s="2">
        <v>403.75</v>
      </c>
      <c r="E171" s="2">
        <f>FastenersPriceList34[[#This Row],[1000 PCS/WT.]]/1000</f>
        <v>0.40375</v>
      </c>
      <c r="F171" s="2" t="s">
        <v>174</v>
      </c>
      <c r="G171" s="6" t="s">
        <v>1755</v>
      </c>
      <c r="H171" s="70">
        <v>50</v>
      </c>
      <c r="I171" s="72">
        <f>FastenersPriceList34[[#This Row],[Quantity (kg)]]/FastenersPriceList34[[#This Row],[SINGLE PC. WT.]]</f>
        <v>123.83900928792569</v>
      </c>
      <c r="J171" s="3">
        <v>130</v>
      </c>
      <c r="K171" s="3">
        <f>FastenersPriceList34[[#This Row],[1000 PCS/WT.]]*FastenersPriceList34[[#This Row],[Rate / PER kg (₹)]]</f>
        <v>52487.5</v>
      </c>
      <c r="L171" s="4">
        <f>FastenersPriceList34[[#This Row],[Rate / PER kg (₹)]]*FastenersPriceList34[[#This Row],[Quantity (kg)]]</f>
        <v>6500</v>
      </c>
      <c r="M171" s="4">
        <f>FastenersPriceList34[[#This Row],[SINGLE PC. WT.]]*FastenersPriceList34[[#This Row],[Rate / PER kg (₹)]]</f>
        <v>52.487499999999997</v>
      </c>
    </row>
    <row r="172" spans="1:13" ht="22.05" customHeight="1" x14ac:dyDescent="0.3">
      <c r="A172" s="2" t="s">
        <v>1920</v>
      </c>
      <c r="B172" s="12" t="s">
        <v>8</v>
      </c>
      <c r="C172" s="12">
        <v>10.9</v>
      </c>
      <c r="D172" s="2">
        <v>444.75</v>
      </c>
      <c r="E172" s="2">
        <f>FastenersPriceList34[[#This Row],[1000 PCS/WT.]]/1000</f>
        <v>0.44474999999999998</v>
      </c>
      <c r="F172" s="2" t="s">
        <v>175</v>
      </c>
      <c r="G172" s="6" t="s">
        <v>1755</v>
      </c>
      <c r="H172" s="70">
        <v>50</v>
      </c>
      <c r="I172" s="72">
        <f>FastenersPriceList34[[#This Row],[Quantity (kg)]]/FastenersPriceList34[[#This Row],[SINGLE PC. WT.]]</f>
        <v>112.42270938729624</v>
      </c>
      <c r="J172" s="3">
        <v>130</v>
      </c>
      <c r="K172" s="3">
        <f>FastenersPriceList34[[#This Row],[1000 PCS/WT.]]*FastenersPriceList34[[#This Row],[Rate / PER kg (₹)]]</f>
        <v>57817.5</v>
      </c>
      <c r="L172" s="4">
        <f>FastenersPriceList34[[#This Row],[Rate / PER kg (₹)]]*FastenersPriceList34[[#This Row],[Quantity (kg)]]</f>
        <v>6500</v>
      </c>
      <c r="M172" s="4">
        <f>FastenersPriceList34[[#This Row],[SINGLE PC. WT.]]*FastenersPriceList34[[#This Row],[Rate / PER kg (₹)]]</f>
        <v>57.817499999999995</v>
      </c>
    </row>
    <row r="173" spans="1:13" ht="22.05" customHeight="1" x14ac:dyDescent="0.3">
      <c r="A173" s="2" t="s">
        <v>1921</v>
      </c>
      <c r="B173" s="12" t="s">
        <v>8</v>
      </c>
      <c r="C173" s="12">
        <v>10.9</v>
      </c>
      <c r="D173" s="2">
        <v>465.25</v>
      </c>
      <c r="E173" s="2">
        <f>FastenersPriceList34[[#This Row],[1000 PCS/WT.]]/1000</f>
        <v>0.46525</v>
      </c>
      <c r="F173" s="2" t="s">
        <v>176</v>
      </c>
      <c r="G173" s="6" t="s">
        <v>1755</v>
      </c>
      <c r="H173" s="70">
        <v>50</v>
      </c>
      <c r="I173" s="72">
        <f>FastenersPriceList34[[#This Row],[Quantity (kg)]]/FastenersPriceList34[[#This Row],[SINGLE PC. WT.]]</f>
        <v>107.46910263299301</v>
      </c>
      <c r="J173" s="3">
        <v>135</v>
      </c>
      <c r="K173" s="3">
        <f>FastenersPriceList34[[#This Row],[1000 PCS/WT.]]*FastenersPriceList34[[#This Row],[Rate / PER kg (₹)]]</f>
        <v>62808.75</v>
      </c>
      <c r="L173" s="4">
        <f>FastenersPriceList34[[#This Row],[Rate / PER kg (₹)]]*FastenersPriceList34[[#This Row],[Quantity (kg)]]</f>
        <v>6750</v>
      </c>
      <c r="M173" s="4">
        <f>FastenersPriceList34[[#This Row],[SINGLE PC. WT.]]*FastenersPriceList34[[#This Row],[Rate / PER kg (₹)]]</f>
        <v>62.808749999999996</v>
      </c>
    </row>
    <row r="174" spans="1:13" ht="22.05" customHeight="1" x14ac:dyDescent="0.3">
      <c r="A174" s="2" t="s">
        <v>1922</v>
      </c>
      <c r="B174" s="12" t="s">
        <v>8</v>
      </c>
      <c r="C174" s="12">
        <v>10.9</v>
      </c>
      <c r="D174" s="2">
        <v>485.75</v>
      </c>
      <c r="E174" s="2">
        <f>FastenersPriceList34[[#This Row],[1000 PCS/WT.]]/1000</f>
        <v>0.48575000000000002</v>
      </c>
      <c r="F174" s="2" t="s">
        <v>177</v>
      </c>
      <c r="G174" s="6" t="s">
        <v>1755</v>
      </c>
      <c r="H174" s="70">
        <v>50</v>
      </c>
      <c r="I174" s="72">
        <f>FastenersPriceList34[[#This Row],[Quantity (kg)]]/FastenersPriceList34[[#This Row],[SINGLE PC. WT.]]</f>
        <v>102.93360782295419</v>
      </c>
      <c r="J174" s="3">
        <v>135</v>
      </c>
      <c r="K174" s="3">
        <f>FastenersPriceList34[[#This Row],[1000 PCS/WT.]]*FastenersPriceList34[[#This Row],[Rate / PER kg (₹)]]</f>
        <v>65576.25</v>
      </c>
      <c r="L174" s="4">
        <f>FastenersPriceList34[[#This Row],[Rate / PER kg (₹)]]*FastenersPriceList34[[#This Row],[Quantity (kg)]]</f>
        <v>6750</v>
      </c>
      <c r="M174" s="4">
        <f>FastenersPriceList34[[#This Row],[SINGLE PC. WT.]]*FastenersPriceList34[[#This Row],[Rate / PER kg (₹)]]</f>
        <v>65.576250000000002</v>
      </c>
    </row>
    <row r="175" spans="1:13" ht="22.05" customHeight="1" x14ac:dyDescent="0.3">
      <c r="A175" s="2" t="s">
        <v>1923</v>
      </c>
      <c r="B175" s="12" t="s">
        <v>8</v>
      </c>
      <c r="C175" s="12">
        <v>10.9</v>
      </c>
      <c r="D175" s="2">
        <v>183</v>
      </c>
      <c r="E175" s="2">
        <f>FastenersPriceList34[[#This Row],[1000 PCS/WT.]]/1000</f>
        <v>0.183</v>
      </c>
      <c r="F175" s="2" t="s">
        <v>636</v>
      </c>
      <c r="G175" s="6" t="s">
        <v>1755</v>
      </c>
      <c r="H175" s="70">
        <v>50</v>
      </c>
      <c r="I175" s="72">
        <f>FastenersPriceList34[[#This Row],[Quantity (kg)]]/FastenersPriceList34[[#This Row],[SINGLE PC. WT.]]</f>
        <v>273.22404371584702</v>
      </c>
      <c r="J175" s="3">
        <v>130</v>
      </c>
      <c r="K175" s="3">
        <f>FastenersPriceList34[[#This Row],[1000 PCS/WT.]]*FastenersPriceList34[[#This Row],[Rate / PER kg (₹)]]</f>
        <v>23790</v>
      </c>
      <c r="L175" s="4">
        <f>FastenersPriceList34[[#This Row],[Rate / PER kg (₹)]]*FastenersPriceList34[[#This Row],[Quantity (kg)]]</f>
        <v>6500</v>
      </c>
      <c r="M175" s="4">
        <f>FastenersPriceList34[[#This Row],[SINGLE PC. WT.]]*FastenersPriceList34[[#This Row],[Rate / PER kg (₹)]]</f>
        <v>23.79</v>
      </c>
    </row>
    <row r="176" spans="1:13" ht="22.05" customHeight="1" x14ac:dyDescent="0.3">
      <c r="A176" s="2" t="s">
        <v>1924</v>
      </c>
      <c r="B176" s="12" t="s">
        <v>8</v>
      </c>
      <c r="C176" s="12">
        <v>10.9</v>
      </c>
      <c r="D176" s="2">
        <v>196</v>
      </c>
      <c r="E176" s="2">
        <f>FastenersPriceList34[[#This Row],[1000 PCS/WT.]]/1000</f>
        <v>0.19600000000000001</v>
      </c>
      <c r="F176" s="2" t="s">
        <v>637</v>
      </c>
      <c r="G176" s="6" t="s">
        <v>1755</v>
      </c>
      <c r="H176" s="70">
        <v>50</v>
      </c>
      <c r="I176" s="72">
        <f>FastenersPriceList34[[#This Row],[Quantity (kg)]]/FastenersPriceList34[[#This Row],[SINGLE PC. WT.]]</f>
        <v>255.10204081632651</v>
      </c>
      <c r="J176" s="3">
        <v>130</v>
      </c>
      <c r="K176" s="3">
        <f>FastenersPriceList34[[#This Row],[1000 PCS/WT.]]*FastenersPriceList34[[#This Row],[Rate / PER kg (₹)]]</f>
        <v>25480</v>
      </c>
      <c r="L176" s="4">
        <f>FastenersPriceList34[[#This Row],[Rate / PER kg (₹)]]*FastenersPriceList34[[#This Row],[Quantity (kg)]]</f>
        <v>6500</v>
      </c>
      <c r="M176" s="4">
        <f>FastenersPriceList34[[#This Row],[SINGLE PC. WT.]]*FastenersPriceList34[[#This Row],[Rate / PER kg (₹)]]</f>
        <v>25.48</v>
      </c>
    </row>
    <row r="177" spans="1:13" ht="22.05" customHeight="1" x14ac:dyDescent="0.3">
      <c r="A177" s="2" t="s">
        <v>1925</v>
      </c>
      <c r="B177" s="12" t="s">
        <v>8</v>
      </c>
      <c r="C177" s="12">
        <v>10.9</v>
      </c>
      <c r="D177" s="2">
        <v>209</v>
      </c>
      <c r="E177" s="2">
        <f>FastenersPriceList34[[#This Row],[1000 PCS/WT.]]/1000</f>
        <v>0.20899999999999999</v>
      </c>
      <c r="F177" s="2" t="s">
        <v>638</v>
      </c>
      <c r="G177" s="6" t="s">
        <v>1755</v>
      </c>
      <c r="H177" s="70">
        <v>50</v>
      </c>
      <c r="I177" s="72">
        <f>FastenersPriceList34[[#This Row],[Quantity (kg)]]/FastenersPriceList34[[#This Row],[SINGLE PC. WT.]]</f>
        <v>239.23444976076556</v>
      </c>
      <c r="J177" s="3">
        <v>130</v>
      </c>
      <c r="K177" s="3">
        <f>FastenersPriceList34[[#This Row],[1000 PCS/WT.]]*FastenersPriceList34[[#This Row],[Rate / PER kg (₹)]]</f>
        <v>27170</v>
      </c>
      <c r="L177" s="4">
        <f>FastenersPriceList34[[#This Row],[Rate / PER kg (₹)]]*FastenersPriceList34[[#This Row],[Quantity (kg)]]</f>
        <v>6500</v>
      </c>
      <c r="M177" s="4">
        <f>FastenersPriceList34[[#This Row],[SINGLE PC. WT.]]*FastenersPriceList34[[#This Row],[Rate / PER kg (₹)]]</f>
        <v>27.169999999999998</v>
      </c>
    </row>
    <row r="178" spans="1:13" ht="22.05" customHeight="1" x14ac:dyDescent="0.3">
      <c r="A178" s="2" t="s">
        <v>1926</v>
      </c>
      <c r="B178" s="12" t="s">
        <v>8</v>
      </c>
      <c r="C178" s="12">
        <v>10.9</v>
      </c>
      <c r="D178" s="2">
        <v>222</v>
      </c>
      <c r="E178" s="2">
        <f>FastenersPriceList34[[#This Row],[1000 PCS/WT.]]/1000</f>
        <v>0.222</v>
      </c>
      <c r="F178" s="2" t="s">
        <v>639</v>
      </c>
      <c r="G178" s="6" t="s">
        <v>1755</v>
      </c>
      <c r="H178" s="70">
        <v>50</v>
      </c>
      <c r="I178" s="72">
        <f>FastenersPriceList34[[#This Row],[Quantity (kg)]]/FastenersPriceList34[[#This Row],[SINGLE PC. WT.]]</f>
        <v>225.22522522522522</v>
      </c>
      <c r="J178" s="3">
        <v>130</v>
      </c>
      <c r="K178" s="3">
        <f>FastenersPriceList34[[#This Row],[1000 PCS/WT.]]*FastenersPriceList34[[#This Row],[Rate / PER kg (₹)]]</f>
        <v>28860</v>
      </c>
      <c r="L178" s="4">
        <f>FastenersPriceList34[[#This Row],[Rate / PER kg (₹)]]*FastenersPriceList34[[#This Row],[Quantity (kg)]]</f>
        <v>6500</v>
      </c>
      <c r="M178" s="4">
        <f>FastenersPriceList34[[#This Row],[SINGLE PC. WT.]]*FastenersPriceList34[[#This Row],[Rate / PER kg (₹)]]</f>
        <v>28.86</v>
      </c>
    </row>
    <row r="179" spans="1:13" ht="22.05" customHeight="1" x14ac:dyDescent="0.3">
      <c r="A179" s="2" t="s">
        <v>1927</v>
      </c>
      <c r="B179" s="12" t="s">
        <v>8</v>
      </c>
      <c r="C179" s="12">
        <v>10.9</v>
      </c>
      <c r="D179" s="2">
        <v>235</v>
      </c>
      <c r="E179" s="2">
        <f>FastenersPriceList34[[#This Row],[1000 PCS/WT.]]/1000</f>
        <v>0.23499999999999999</v>
      </c>
      <c r="F179" s="2" t="s">
        <v>640</v>
      </c>
      <c r="G179" s="6" t="s">
        <v>1755</v>
      </c>
      <c r="H179" s="70">
        <v>50</v>
      </c>
      <c r="I179" s="72">
        <f>FastenersPriceList34[[#This Row],[Quantity (kg)]]/FastenersPriceList34[[#This Row],[SINGLE PC. WT.]]</f>
        <v>212.76595744680853</v>
      </c>
      <c r="J179" s="3">
        <v>130</v>
      </c>
      <c r="K179" s="3">
        <f>FastenersPriceList34[[#This Row],[1000 PCS/WT.]]*FastenersPriceList34[[#This Row],[Rate / PER kg (₹)]]</f>
        <v>30550</v>
      </c>
      <c r="L179" s="4">
        <f>FastenersPriceList34[[#This Row],[Rate / PER kg (₹)]]*FastenersPriceList34[[#This Row],[Quantity (kg)]]</f>
        <v>6500</v>
      </c>
      <c r="M179" s="4">
        <f>FastenersPriceList34[[#This Row],[SINGLE PC. WT.]]*FastenersPriceList34[[#This Row],[Rate / PER kg (₹)]]</f>
        <v>30.549999999999997</v>
      </c>
    </row>
    <row r="180" spans="1:13" ht="22.05" customHeight="1" x14ac:dyDescent="0.3">
      <c r="A180" s="2" t="s">
        <v>1928</v>
      </c>
      <c r="B180" s="12" t="s">
        <v>8</v>
      </c>
      <c r="C180" s="12">
        <v>10.9</v>
      </c>
      <c r="D180" s="2">
        <v>248</v>
      </c>
      <c r="E180" s="2">
        <f>FastenersPriceList34[[#This Row],[1000 PCS/WT.]]/1000</f>
        <v>0.248</v>
      </c>
      <c r="F180" s="2" t="s">
        <v>641</v>
      </c>
      <c r="G180" s="6" t="s">
        <v>1755</v>
      </c>
      <c r="H180" s="70">
        <v>50</v>
      </c>
      <c r="I180" s="72">
        <f>FastenersPriceList34[[#This Row],[Quantity (kg)]]/FastenersPriceList34[[#This Row],[SINGLE PC. WT.]]</f>
        <v>201.61290322580646</v>
      </c>
      <c r="J180" s="3">
        <v>130</v>
      </c>
      <c r="K180" s="3">
        <f>FastenersPriceList34[[#This Row],[1000 PCS/WT.]]*FastenersPriceList34[[#This Row],[Rate / PER kg (₹)]]</f>
        <v>32240</v>
      </c>
      <c r="L180" s="4">
        <f>FastenersPriceList34[[#This Row],[Rate / PER kg (₹)]]*FastenersPriceList34[[#This Row],[Quantity (kg)]]</f>
        <v>6500</v>
      </c>
      <c r="M180" s="4">
        <f>FastenersPriceList34[[#This Row],[SINGLE PC. WT.]]*FastenersPriceList34[[#This Row],[Rate / PER kg (₹)]]</f>
        <v>32.24</v>
      </c>
    </row>
    <row r="181" spans="1:13" ht="22.05" customHeight="1" x14ac:dyDescent="0.3">
      <c r="A181" s="2" t="s">
        <v>1929</v>
      </c>
      <c r="B181" s="12" t="s">
        <v>8</v>
      </c>
      <c r="C181" s="12">
        <v>10.9</v>
      </c>
      <c r="D181" s="2">
        <v>261</v>
      </c>
      <c r="E181" s="2">
        <f>FastenersPriceList34[[#This Row],[1000 PCS/WT.]]/1000</f>
        <v>0.26100000000000001</v>
      </c>
      <c r="F181" s="2" t="s">
        <v>642</v>
      </c>
      <c r="G181" s="6" t="s">
        <v>1755</v>
      </c>
      <c r="H181" s="70">
        <v>50</v>
      </c>
      <c r="I181" s="72">
        <f>FastenersPriceList34[[#This Row],[Quantity (kg)]]/FastenersPriceList34[[#This Row],[SINGLE PC. WT.]]</f>
        <v>191.57088122605364</v>
      </c>
      <c r="J181" s="3">
        <v>130</v>
      </c>
      <c r="K181" s="3">
        <f>FastenersPriceList34[[#This Row],[1000 PCS/WT.]]*FastenersPriceList34[[#This Row],[Rate / PER kg (₹)]]</f>
        <v>33930</v>
      </c>
      <c r="L181" s="4">
        <f>FastenersPriceList34[[#This Row],[Rate / PER kg (₹)]]*FastenersPriceList34[[#This Row],[Quantity (kg)]]</f>
        <v>6500</v>
      </c>
      <c r="M181" s="4">
        <f>FastenersPriceList34[[#This Row],[SINGLE PC. WT.]]*FastenersPriceList34[[#This Row],[Rate / PER kg (₹)]]</f>
        <v>33.93</v>
      </c>
    </row>
    <row r="182" spans="1:13" ht="22.05" customHeight="1" x14ac:dyDescent="0.3">
      <c r="A182" s="2" t="s">
        <v>1930</v>
      </c>
      <c r="B182" s="12" t="s">
        <v>8</v>
      </c>
      <c r="C182" s="12">
        <v>10.9</v>
      </c>
      <c r="D182" s="2">
        <v>274</v>
      </c>
      <c r="E182" s="2">
        <f>FastenersPriceList34[[#This Row],[1000 PCS/WT.]]/1000</f>
        <v>0.27400000000000002</v>
      </c>
      <c r="F182" s="2" t="s">
        <v>643</v>
      </c>
      <c r="G182" s="6" t="s">
        <v>1755</v>
      </c>
      <c r="H182" s="70">
        <v>50</v>
      </c>
      <c r="I182" s="72">
        <f>FastenersPriceList34[[#This Row],[Quantity (kg)]]/FastenersPriceList34[[#This Row],[SINGLE PC. WT.]]</f>
        <v>182.48175182481751</v>
      </c>
      <c r="J182" s="3">
        <v>130</v>
      </c>
      <c r="K182" s="3">
        <f>FastenersPriceList34[[#This Row],[1000 PCS/WT.]]*FastenersPriceList34[[#This Row],[Rate / PER kg (₹)]]</f>
        <v>35620</v>
      </c>
      <c r="L182" s="4">
        <f>FastenersPriceList34[[#This Row],[Rate / PER kg (₹)]]*FastenersPriceList34[[#This Row],[Quantity (kg)]]</f>
        <v>6500</v>
      </c>
      <c r="M182" s="4">
        <f>FastenersPriceList34[[#This Row],[SINGLE PC. WT.]]*FastenersPriceList34[[#This Row],[Rate / PER kg (₹)]]</f>
        <v>35.620000000000005</v>
      </c>
    </row>
    <row r="183" spans="1:13" ht="22.05" customHeight="1" x14ac:dyDescent="0.3">
      <c r="A183" s="2" t="s">
        <v>1931</v>
      </c>
      <c r="B183" s="12" t="s">
        <v>8</v>
      </c>
      <c r="C183" s="12">
        <v>10.9</v>
      </c>
      <c r="D183" s="2">
        <v>287</v>
      </c>
      <c r="E183" s="2">
        <f>FastenersPriceList34[[#This Row],[1000 PCS/WT.]]/1000</f>
        <v>0.28699999999999998</v>
      </c>
      <c r="F183" s="2" t="s">
        <v>644</v>
      </c>
      <c r="G183" s="6" t="s">
        <v>1755</v>
      </c>
      <c r="H183" s="70">
        <v>50</v>
      </c>
      <c r="I183" s="72">
        <f>FastenersPriceList34[[#This Row],[Quantity (kg)]]/FastenersPriceList34[[#This Row],[SINGLE PC. WT.]]</f>
        <v>174.21602787456447</v>
      </c>
      <c r="J183" s="3">
        <v>130</v>
      </c>
      <c r="K183" s="3">
        <f>FastenersPriceList34[[#This Row],[1000 PCS/WT.]]*FastenersPriceList34[[#This Row],[Rate / PER kg (₹)]]</f>
        <v>37310</v>
      </c>
      <c r="L183" s="4">
        <f>FastenersPriceList34[[#This Row],[Rate / PER kg (₹)]]*FastenersPriceList34[[#This Row],[Quantity (kg)]]</f>
        <v>6500</v>
      </c>
      <c r="M183" s="4">
        <f>FastenersPriceList34[[#This Row],[SINGLE PC. WT.]]*FastenersPriceList34[[#This Row],[Rate / PER kg (₹)]]</f>
        <v>37.309999999999995</v>
      </c>
    </row>
    <row r="184" spans="1:13" ht="22.05" customHeight="1" x14ac:dyDescent="0.3">
      <c r="A184" s="2" t="s">
        <v>1932</v>
      </c>
      <c r="B184" s="12" t="s">
        <v>8</v>
      </c>
      <c r="C184" s="12">
        <v>10.9</v>
      </c>
      <c r="D184" s="2">
        <v>300</v>
      </c>
      <c r="E184" s="2">
        <f>FastenersPriceList34[[#This Row],[1000 PCS/WT.]]/1000</f>
        <v>0.3</v>
      </c>
      <c r="F184" s="2" t="s">
        <v>645</v>
      </c>
      <c r="G184" s="6" t="s">
        <v>1755</v>
      </c>
      <c r="H184" s="70">
        <v>50</v>
      </c>
      <c r="I184" s="72">
        <f>FastenersPriceList34[[#This Row],[Quantity (kg)]]/FastenersPriceList34[[#This Row],[SINGLE PC. WT.]]</f>
        <v>166.66666666666669</v>
      </c>
      <c r="J184" s="3">
        <v>130</v>
      </c>
      <c r="K184" s="3">
        <f>FastenersPriceList34[[#This Row],[1000 PCS/WT.]]*FastenersPriceList34[[#This Row],[Rate / PER kg (₹)]]</f>
        <v>39000</v>
      </c>
      <c r="L184" s="4">
        <f>FastenersPriceList34[[#This Row],[Rate / PER kg (₹)]]*FastenersPriceList34[[#This Row],[Quantity (kg)]]</f>
        <v>6500</v>
      </c>
      <c r="M184" s="4">
        <f>FastenersPriceList34[[#This Row],[SINGLE PC. WT.]]*FastenersPriceList34[[#This Row],[Rate / PER kg (₹)]]</f>
        <v>39</v>
      </c>
    </row>
    <row r="185" spans="1:13" ht="22.05" customHeight="1" x14ac:dyDescent="0.3">
      <c r="A185" s="2" t="s">
        <v>1933</v>
      </c>
      <c r="B185" s="12" t="s">
        <v>8</v>
      </c>
      <c r="C185" s="12">
        <v>10.9</v>
      </c>
      <c r="D185" s="2">
        <v>313</v>
      </c>
      <c r="E185" s="2">
        <f>FastenersPriceList34[[#This Row],[1000 PCS/WT.]]/1000</f>
        <v>0.313</v>
      </c>
      <c r="F185" s="2" t="s">
        <v>646</v>
      </c>
      <c r="G185" s="6" t="s">
        <v>1755</v>
      </c>
      <c r="H185" s="70">
        <v>50</v>
      </c>
      <c r="I185" s="72">
        <f>FastenersPriceList34[[#This Row],[Quantity (kg)]]/FastenersPriceList34[[#This Row],[SINGLE PC. WT.]]</f>
        <v>159.7444089456869</v>
      </c>
      <c r="J185" s="3">
        <v>130</v>
      </c>
      <c r="K185" s="3">
        <f>FastenersPriceList34[[#This Row],[1000 PCS/WT.]]*FastenersPriceList34[[#This Row],[Rate / PER kg (₹)]]</f>
        <v>40690</v>
      </c>
      <c r="L185" s="4">
        <f>FastenersPriceList34[[#This Row],[Rate / PER kg (₹)]]*FastenersPriceList34[[#This Row],[Quantity (kg)]]</f>
        <v>6500</v>
      </c>
      <c r="M185" s="4">
        <f>FastenersPriceList34[[#This Row],[SINGLE PC. WT.]]*FastenersPriceList34[[#This Row],[Rate / PER kg (₹)]]</f>
        <v>40.69</v>
      </c>
    </row>
    <row r="186" spans="1:13" ht="22.05" customHeight="1" x14ac:dyDescent="0.3">
      <c r="A186" s="2" t="s">
        <v>1934</v>
      </c>
      <c r="B186" s="12" t="s">
        <v>8</v>
      </c>
      <c r="C186" s="12">
        <v>10.9</v>
      </c>
      <c r="D186" s="2">
        <v>326</v>
      </c>
      <c r="E186" s="2">
        <f>FastenersPriceList34[[#This Row],[1000 PCS/WT.]]/1000</f>
        <v>0.32600000000000001</v>
      </c>
      <c r="F186" s="2" t="s">
        <v>647</v>
      </c>
      <c r="G186" s="6" t="s">
        <v>1755</v>
      </c>
      <c r="H186" s="70">
        <v>50</v>
      </c>
      <c r="I186" s="72">
        <f>FastenersPriceList34[[#This Row],[Quantity (kg)]]/FastenersPriceList34[[#This Row],[SINGLE PC. WT.]]</f>
        <v>153.37423312883436</v>
      </c>
      <c r="J186" s="3">
        <v>130</v>
      </c>
      <c r="K186" s="3">
        <f>FastenersPriceList34[[#This Row],[1000 PCS/WT.]]*FastenersPriceList34[[#This Row],[Rate / PER kg (₹)]]</f>
        <v>42380</v>
      </c>
      <c r="L186" s="4">
        <f>FastenersPriceList34[[#This Row],[Rate / PER kg (₹)]]*FastenersPriceList34[[#This Row],[Quantity (kg)]]</f>
        <v>6500</v>
      </c>
      <c r="M186" s="4">
        <f>FastenersPriceList34[[#This Row],[SINGLE PC. WT.]]*FastenersPriceList34[[#This Row],[Rate / PER kg (₹)]]</f>
        <v>42.38</v>
      </c>
    </row>
    <row r="187" spans="1:13" ht="22.05" customHeight="1" x14ac:dyDescent="0.3">
      <c r="A187" s="2" t="s">
        <v>1935</v>
      </c>
      <c r="B187" s="12" t="s">
        <v>8</v>
      </c>
      <c r="C187" s="12">
        <v>10.9</v>
      </c>
      <c r="D187" s="2">
        <v>339</v>
      </c>
      <c r="E187" s="2">
        <f>FastenersPriceList34[[#This Row],[1000 PCS/WT.]]/1000</f>
        <v>0.33900000000000002</v>
      </c>
      <c r="F187" s="2" t="s">
        <v>648</v>
      </c>
      <c r="G187" s="6" t="s">
        <v>1755</v>
      </c>
      <c r="H187" s="70">
        <v>50</v>
      </c>
      <c r="I187" s="72">
        <f>FastenersPriceList34[[#This Row],[Quantity (kg)]]/FastenersPriceList34[[#This Row],[SINGLE PC. WT.]]</f>
        <v>147.49262536873155</v>
      </c>
      <c r="J187" s="3">
        <v>130</v>
      </c>
      <c r="K187" s="3">
        <f>FastenersPriceList34[[#This Row],[1000 PCS/WT.]]*FastenersPriceList34[[#This Row],[Rate / PER kg (₹)]]</f>
        <v>44070</v>
      </c>
      <c r="L187" s="4">
        <f>FastenersPriceList34[[#This Row],[Rate / PER kg (₹)]]*FastenersPriceList34[[#This Row],[Quantity (kg)]]</f>
        <v>6500</v>
      </c>
      <c r="M187" s="4">
        <f>FastenersPriceList34[[#This Row],[SINGLE PC. WT.]]*FastenersPriceList34[[#This Row],[Rate / PER kg (₹)]]</f>
        <v>44.07</v>
      </c>
    </row>
    <row r="188" spans="1:13" ht="22.05" customHeight="1" x14ac:dyDescent="0.3">
      <c r="A188" s="2" t="s">
        <v>1936</v>
      </c>
      <c r="B188" s="12" t="s">
        <v>8</v>
      </c>
      <c r="C188" s="12">
        <v>10.9</v>
      </c>
      <c r="D188" s="2">
        <v>352</v>
      </c>
      <c r="E188" s="2">
        <f>FastenersPriceList34[[#This Row],[1000 PCS/WT.]]/1000</f>
        <v>0.35199999999999998</v>
      </c>
      <c r="F188" s="2" t="s">
        <v>649</v>
      </c>
      <c r="G188" s="6" t="s">
        <v>1755</v>
      </c>
      <c r="H188" s="70">
        <v>50</v>
      </c>
      <c r="I188" s="72">
        <f>FastenersPriceList34[[#This Row],[Quantity (kg)]]/FastenersPriceList34[[#This Row],[SINGLE PC. WT.]]</f>
        <v>142.04545454545456</v>
      </c>
      <c r="J188" s="3">
        <v>130</v>
      </c>
      <c r="K188" s="3">
        <f>FastenersPriceList34[[#This Row],[1000 PCS/WT.]]*FastenersPriceList34[[#This Row],[Rate / PER kg (₹)]]</f>
        <v>45760</v>
      </c>
      <c r="L188" s="4">
        <f>FastenersPriceList34[[#This Row],[Rate / PER kg (₹)]]*FastenersPriceList34[[#This Row],[Quantity (kg)]]</f>
        <v>6500</v>
      </c>
      <c r="M188" s="4">
        <f>FastenersPriceList34[[#This Row],[SINGLE PC. WT.]]*FastenersPriceList34[[#This Row],[Rate / PER kg (₹)]]</f>
        <v>45.76</v>
      </c>
    </row>
    <row r="189" spans="1:13" ht="22.05" customHeight="1" x14ac:dyDescent="0.3">
      <c r="A189" s="2" t="s">
        <v>1937</v>
      </c>
      <c r="B189" s="12" t="s">
        <v>8</v>
      </c>
      <c r="C189" s="12">
        <v>10.9</v>
      </c>
      <c r="D189" s="2">
        <v>377</v>
      </c>
      <c r="E189" s="2">
        <f>FastenersPriceList34[[#This Row],[1000 PCS/WT.]]/1000</f>
        <v>0.377</v>
      </c>
      <c r="F189" s="2" t="s">
        <v>650</v>
      </c>
      <c r="G189" s="6" t="s">
        <v>1755</v>
      </c>
      <c r="H189" s="70">
        <v>50</v>
      </c>
      <c r="I189" s="72">
        <f>FastenersPriceList34[[#This Row],[Quantity (kg)]]/FastenersPriceList34[[#This Row],[SINGLE PC. WT.]]</f>
        <v>132.62599469496021</v>
      </c>
      <c r="J189" s="3">
        <v>135</v>
      </c>
      <c r="K189" s="3">
        <f>FastenersPriceList34[[#This Row],[1000 PCS/WT.]]*FastenersPriceList34[[#This Row],[Rate / PER kg (₹)]]</f>
        <v>50895</v>
      </c>
      <c r="L189" s="4">
        <f>FastenersPriceList34[[#This Row],[Rate / PER kg (₹)]]*FastenersPriceList34[[#This Row],[Quantity (kg)]]</f>
        <v>6750</v>
      </c>
      <c r="M189" s="4">
        <f>FastenersPriceList34[[#This Row],[SINGLE PC. WT.]]*FastenersPriceList34[[#This Row],[Rate / PER kg (₹)]]</f>
        <v>50.895000000000003</v>
      </c>
    </row>
    <row r="190" spans="1:13" ht="22.05" customHeight="1" x14ac:dyDescent="0.3">
      <c r="A190" s="2" t="s">
        <v>1938</v>
      </c>
      <c r="B190" s="12" t="s">
        <v>8</v>
      </c>
      <c r="C190" s="12">
        <v>10.9</v>
      </c>
      <c r="D190" s="2">
        <v>402</v>
      </c>
      <c r="E190" s="2">
        <f>FastenersPriceList34[[#This Row],[1000 PCS/WT.]]/1000</f>
        <v>0.40200000000000002</v>
      </c>
      <c r="F190" s="2" t="s">
        <v>651</v>
      </c>
      <c r="G190" s="6" t="s">
        <v>1755</v>
      </c>
      <c r="H190" s="70">
        <v>50</v>
      </c>
      <c r="I190" s="72">
        <f>FastenersPriceList34[[#This Row],[Quantity (kg)]]/FastenersPriceList34[[#This Row],[SINGLE PC. WT.]]</f>
        <v>124.37810945273631</v>
      </c>
      <c r="J190" s="3">
        <v>135</v>
      </c>
      <c r="K190" s="3">
        <f>FastenersPriceList34[[#This Row],[1000 PCS/WT.]]*FastenersPriceList34[[#This Row],[Rate / PER kg (₹)]]</f>
        <v>54270</v>
      </c>
      <c r="L190" s="4">
        <f>FastenersPriceList34[[#This Row],[Rate / PER kg (₹)]]*FastenersPriceList34[[#This Row],[Quantity (kg)]]</f>
        <v>6750</v>
      </c>
      <c r="M190" s="4">
        <f>FastenersPriceList34[[#This Row],[SINGLE PC. WT.]]*FastenersPriceList34[[#This Row],[Rate / PER kg (₹)]]</f>
        <v>54.27</v>
      </c>
    </row>
    <row r="191" spans="1:13" ht="22.05" customHeight="1" x14ac:dyDescent="0.3">
      <c r="A191" s="2" t="s">
        <v>1939</v>
      </c>
      <c r="B191" s="12" t="s">
        <v>8</v>
      </c>
      <c r="C191" s="12">
        <v>10.9</v>
      </c>
      <c r="D191" s="2">
        <v>427</v>
      </c>
      <c r="E191" s="2">
        <f>FastenersPriceList34[[#This Row],[1000 PCS/WT.]]/1000</f>
        <v>0.42699999999999999</v>
      </c>
      <c r="F191" s="2" t="s">
        <v>652</v>
      </c>
      <c r="G191" s="6" t="s">
        <v>1755</v>
      </c>
      <c r="H191" s="70">
        <v>50</v>
      </c>
      <c r="I191" s="72">
        <f>FastenersPriceList34[[#This Row],[Quantity (kg)]]/FastenersPriceList34[[#This Row],[SINGLE PC. WT.]]</f>
        <v>117.096018735363</v>
      </c>
      <c r="J191" s="3">
        <v>135</v>
      </c>
      <c r="K191" s="3">
        <f>FastenersPriceList34[[#This Row],[1000 PCS/WT.]]*FastenersPriceList34[[#This Row],[Rate / PER kg (₹)]]</f>
        <v>57645</v>
      </c>
      <c r="L191" s="4">
        <f>FastenersPriceList34[[#This Row],[Rate / PER kg (₹)]]*FastenersPriceList34[[#This Row],[Quantity (kg)]]</f>
        <v>6750</v>
      </c>
      <c r="M191" s="4">
        <f>FastenersPriceList34[[#This Row],[SINGLE PC. WT.]]*FastenersPriceList34[[#This Row],[Rate / PER kg (₹)]]</f>
        <v>57.644999999999996</v>
      </c>
    </row>
    <row r="192" spans="1:13" ht="22.05" customHeight="1" x14ac:dyDescent="0.3">
      <c r="A192" s="2" t="s">
        <v>1940</v>
      </c>
      <c r="B192" s="12" t="s">
        <v>8</v>
      </c>
      <c r="C192" s="12">
        <v>10.9</v>
      </c>
      <c r="D192" s="2">
        <v>452</v>
      </c>
      <c r="E192" s="2">
        <f>FastenersPriceList34[[#This Row],[1000 PCS/WT.]]/1000</f>
        <v>0.45200000000000001</v>
      </c>
      <c r="F192" s="2" t="s">
        <v>653</v>
      </c>
      <c r="G192" s="6" t="s">
        <v>1755</v>
      </c>
      <c r="H192" s="70">
        <v>50</v>
      </c>
      <c r="I192" s="72">
        <f>FastenersPriceList34[[#This Row],[Quantity (kg)]]/FastenersPriceList34[[#This Row],[SINGLE PC. WT.]]</f>
        <v>110.61946902654867</v>
      </c>
      <c r="J192" s="3">
        <v>135</v>
      </c>
      <c r="K192" s="3">
        <f>FastenersPriceList34[[#This Row],[1000 PCS/WT.]]*FastenersPriceList34[[#This Row],[Rate / PER kg (₹)]]</f>
        <v>61020</v>
      </c>
      <c r="L192" s="4">
        <f>FastenersPriceList34[[#This Row],[Rate / PER kg (₹)]]*FastenersPriceList34[[#This Row],[Quantity (kg)]]</f>
        <v>6750</v>
      </c>
      <c r="M192" s="4">
        <f>FastenersPriceList34[[#This Row],[SINGLE PC. WT.]]*FastenersPriceList34[[#This Row],[Rate / PER kg (₹)]]</f>
        <v>61.02</v>
      </c>
    </row>
    <row r="193" spans="1:13" ht="22.05" customHeight="1" x14ac:dyDescent="0.3">
      <c r="A193" s="2" t="s">
        <v>1941</v>
      </c>
      <c r="B193" s="12" t="s">
        <v>8</v>
      </c>
      <c r="C193" s="12">
        <v>10.9</v>
      </c>
      <c r="D193" s="2">
        <v>477</v>
      </c>
      <c r="E193" s="2">
        <f>FastenersPriceList34[[#This Row],[1000 PCS/WT.]]/1000</f>
        <v>0.47699999999999998</v>
      </c>
      <c r="F193" s="2" t="s">
        <v>654</v>
      </c>
      <c r="G193" s="6" t="s">
        <v>1755</v>
      </c>
      <c r="H193" s="70">
        <v>50</v>
      </c>
      <c r="I193" s="72">
        <f>FastenersPriceList34[[#This Row],[Quantity (kg)]]/FastenersPriceList34[[#This Row],[SINGLE PC. WT.]]</f>
        <v>104.82180293501048</v>
      </c>
      <c r="J193" s="3">
        <v>135</v>
      </c>
      <c r="K193" s="3">
        <f>FastenersPriceList34[[#This Row],[1000 PCS/WT.]]*FastenersPriceList34[[#This Row],[Rate / PER kg (₹)]]</f>
        <v>64395</v>
      </c>
      <c r="L193" s="4">
        <f>FastenersPriceList34[[#This Row],[Rate / PER kg (₹)]]*FastenersPriceList34[[#This Row],[Quantity (kg)]]</f>
        <v>6750</v>
      </c>
      <c r="M193" s="4">
        <f>FastenersPriceList34[[#This Row],[SINGLE PC. WT.]]*FastenersPriceList34[[#This Row],[Rate / PER kg (₹)]]</f>
        <v>64.394999999999996</v>
      </c>
    </row>
    <row r="194" spans="1:13" ht="22.05" customHeight="1" x14ac:dyDescent="0.3">
      <c r="A194" s="2" t="s">
        <v>1942</v>
      </c>
      <c r="B194" s="12" t="s">
        <v>8</v>
      </c>
      <c r="C194" s="12">
        <v>10.9</v>
      </c>
      <c r="D194" s="2">
        <v>502</v>
      </c>
      <c r="E194" s="2">
        <f>FastenersPriceList34[[#This Row],[1000 PCS/WT.]]/1000</f>
        <v>0.502</v>
      </c>
      <c r="F194" s="2" t="s">
        <v>655</v>
      </c>
      <c r="G194" s="6" t="s">
        <v>1755</v>
      </c>
      <c r="H194" s="70">
        <v>50</v>
      </c>
      <c r="I194" s="72">
        <f>FastenersPriceList34[[#This Row],[Quantity (kg)]]/FastenersPriceList34[[#This Row],[SINGLE PC. WT.]]</f>
        <v>99.601593625498012</v>
      </c>
      <c r="J194" s="3">
        <v>135</v>
      </c>
      <c r="K194" s="3">
        <f>FastenersPriceList34[[#This Row],[1000 PCS/WT.]]*FastenersPriceList34[[#This Row],[Rate / PER kg (₹)]]</f>
        <v>67770</v>
      </c>
      <c r="L194" s="4">
        <f>FastenersPriceList34[[#This Row],[Rate / PER kg (₹)]]*FastenersPriceList34[[#This Row],[Quantity (kg)]]</f>
        <v>6750</v>
      </c>
      <c r="M194" s="4">
        <f>FastenersPriceList34[[#This Row],[SINGLE PC. WT.]]*FastenersPriceList34[[#This Row],[Rate / PER kg (₹)]]</f>
        <v>67.77</v>
      </c>
    </row>
    <row r="195" spans="1:13" ht="22.05" customHeight="1" x14ac:dyDescent="0.3">
      <c r="A195" s="2" t="s">
        <v>1943</v>
      </c>
      <c r="B195" s="12" t="s">
        <v>8</v>
      </c>
      <c r="C195" s="12">
        <v>10.9</v>
      </c>
      <c r="D195" s="2">
        <v>527</v>
      </c>
      <c r="E195" s="2">
        <f>FastenersPriceList34[[#This Row],[1000 PCS/WT.]]/1000</f>
        <v>0.52700000000000002</v>
      </c>
      <c r="F195" s="2" t="s">
        <v>656</v>
      </c>
      <c r="G195" s="6" t="s">
        <v>1755</v>
      </c>
      <c r="H195" s="70">
        <v>50</v>
      </c>
      <c r="I195" s="72">
        <f>FastenersPriceList34[[#This Row],[Quantity (kg)]]/FastenersPriceList34[[#This Row],[SINGLE PC. WT.]]</f>
        <v>94.876660341555976</v>
      </c>
      <c r="J195" s="3">
        <v>135</v>
      </c>
      <c r="K195" s="3">
        <f>FastenersPriceList34[[#This Row],[1000 PCS/WT.]]*FastenersPriceList34[[#This Row],[Rate / PER kg (₹)]]</f>
        <v>71145</v>
      </c>
      <c r="L195" s="4">
        <f>FastenersPriceList34[[#This Row],[Rate / PER kg (₹)]]*FastenersPriceList34[[#This Row],[Quantity (kg)]]</f>
        <v>6750</v>
      </c>
      <c r="M195" s="4">
        <f>FastenersPriceList34[[#This Row],[SINGLE PC. WT.]]*FastenersPriceList34[[#This Row],[Rate / PER kg (₹)]]</f>
        <v>71.14500000000001</v>
      </c>
    </row>
    <row r="196" spans="1:13" ht="22.05" customHeight="1" x14ac:dyDescent="0.3">
      <c r="A196" s="2" t="s">
        <v>1944</v>
      </c>
      <c r="B196" s="12" t="s">
        <v>8</v>
      </c>
      <c r="C196" s="12">
        <v>10.9</v>
      </c>
      <c r="D196" s="2">
        <v>552</v>
      </c>
      <c r="E196" s="2">
        <f>FastenersPriceList34[[#This Row],[1000 PCS/WT.]]/1000</f>
        <v>0.55200000000000005</v>
      </c>
      <c r="F196" s="2" t="s">
        <v>657</v>
      </c>
      <c r="G196" s="6" t="s">
        <v>1755</v>
      </c>
      <c r="H196" s="70">
        <v>50</v>
      </c>
      <c r="I196" s="72">
        <f>FastenersPriceList34[[#This Row],[Quantity (kg)]]/FastenersPriceList34[[#This Row],[SINGLE PC. WT.]]</f>
        <v>90.579710144927532</v>
      </c>
      <c r="J196" s="3">
        <v>135</v>
      </c>
      <c r="K196" s="3">
        <f>FastenersPriceList34[[#This Row],[1000 PCS/WT.]]*FastenersPriceList34[[#This Row],[Rate / PER kg (₹)]]</f>
        <v>74520</v>
      </c>
      <c r="L196" s="4">
        <f>FastenersPriceList34[[#This Row],[Rate / PER kg (₹)]]*FastenersPriceList34[[#This Row],[Quantity (kg)]]</f>
        <v>6750</v>
      </c>
      <c r="M196" s="4">
        <f>FastenersPriceList34[[#This Row],[SINGLE PC. WT.]]*FastenersPriceList34[[#This Row],[Rate / PER kg (₹)]]</f>
        <v>74.52000000000001</v>
      </c>
    </row>
    <row r="197" spans="1:13" ht="22.05" customHeight="1" x14ac:dyDescent="0.3">
      <c r="A197" s="2" t="s">
        <v>1945</v>
      </c>
      <c r="B197" s="12" t="s">
        <v>8</v>
      </c>
      <c r="C197" s="12">
        <v>10.9</v>
      </c>
      <c r="D197" s="2">
        <v>577</v>
      </c>
      <c r="E197" s="2">
        <f>FastenersPriceList34[[#This Row],[1000 PCS/WT.]]/1000</f>
        <v>0.57699999999999996</v>
      </c>
      <c r="F197" s="2" t="s">
        <v>658</v>
      </c>
      <c r="G197" s="6" t="s">
        <v>1755</v>
      </c>
      <c r="H197" s="70">
        <v>50</v>
      </c>
      <c r="I197" s="72">
        <f>FastenersPriceList34[[#This Row],[Quantity (kg)]]/FastenersPriceList34[[#This Row],[SINGLE PC. WT.]]</f>
        <v>86.655112651646448</v>
      </c>
      <c r="J197" s="3">
        <v>135</v>
      </c>
      <c r="K197" s="3">
        <f>FastenersPriceList34[[#This Row],[1000 PCS/WT.]]*FastenersPriceList34[[#This Row],[Rate / PER kg (₹)]]</f>
        <v>77895</v>
      </c>
      <c r="L197" s="4">
        <f>FastenersPriceList34[[#This Row],[Rate / PER kg (₹)]]*FastenersPriceList34[[#This Row],[Quantity (kg)]]</f>
        <v>6750</v>
      </c>
      <c r="M197" s="4">
        <f>FastenersPriceList34[[#This Row],[SINGLE PC. WT.]]*FastenersPriceList34[[#This Row],[Rate / PER kg (₹)]]</f>
        <v>77.894999999999996</v>
      </c>
    </row>
    <row r="198" spans="1:13" ht="22.05" customHeight="1" x14ac:dyDescent="0.3">
      <c r="A198" s="2" t="s">
        <v>1946</v>
      </c>
      <c r="B198" s="12" t="s">
        <v>8</v>
      </c>
      <c r="C198" s="12">
        <v>10.9</v>
      </c>
      <c r="D198" s="2">
        <v>602</v>
      </c>
      <c r="E198" s="2">
        <f>FastenersPriceList34[[#This Row],[1000 PCS/WT.]]/1000</f>
        <v>0.60199999999999998</v>
      </c>
      <c r="F198" s="2" t="s">
        <v>659</v>
      </c>
      <c r="G198" s="6" t="s">
        <v>1755</v>
      </c>
      <c r="H198" s="70">
        <v>50</v>
      </c>
      <c r="I198" s="72">
        <f>FastenersPriceList34[[#This Row],[Quantity (kg)]]/FastenersPriceList34[[#This Row],[SINGLE PC. WT.]]</f>
        <v>83.056478405315616</v>
      </c>
      <c r="J198" s="3">
        <v>135</v>
      </c>
      <c r="K198" s="3">
        <f>FastenersPriceList34[[#This Row],[1000 PCS/WT.]]*FastenersPriceList34[[#This Row],[Rate / PER kg (₹)]]</f>
        <v>81270</v>
      </c>
      <c r="L198" s="4">
        <f>FastenersPriceList34[[#This Row],[Rate / PER kg (₹)]]*FastenersPriceList34[[#This Row],[Quantity (kg)]]</f>
        <v>6750</v>
      </c>
      <c r="M198" s="4">
        <f>FastenersPriceList34[[#This Row],[SINGLE PC. WT.]]*FastenersPriceList34[[#This Row],[Rate / PER kg (₹)]]</f>
        <v>81.27</v>
      </c>
    </row>
    <row r="199" spans="1:13" ht="22.05" customHeight="1" x14ac:dyDescent="0.3">
      <c r="A199" s="2" t="s">
        <v>1947</v>
      </c>
      <c r="B199" s="12" t="s">
        <v>8</v>
      </c>
      <c r="C199" s="12">
        <v>10.9</v>
      </c>
      <c r="D199" s="2">
        <v>247</v>
      </c>
      <c r="E199" s="2">
        <f>FastenersPriceList34[[#This Row],[1000 PCS/WT.]]/1000</f>
        <v>0.247</v>
      </c>
      <c r="F199" s="2" t="s">
        <v>660</v>
      </c>
      <c r="G199" s="6" t="s">
        <v>1755</v>
      </c>
      <c r="H199" s="70">
        <v>50</v>
      </c>
      <c r="I199" s="72">
        <f>FastenersPriceList34[[#This Row],[Quantity (kg)]]/FastenersPriceList34[[#This Row],[SINGLE PC. WT.]]</f>
        <v>202.42914979757086</v>
      </c>
      <c r="J199" s="3">
        <v>130</v>
      </c>
      <c r="K199" s="3">
        <f>FastenersPriceList34[[#This Row],[1000 PCS/WT.]]*FastenersPriceList34[[#This Row],[Rate / PER kg (₹)]]</f>
        <v>32110</v>
      </c>
      <c r="L199" s="4">
        <f>FastenersPriceList34[[#This Row],[Rate / PER kg (₹)]]*FastenersPriceList34[[#This Row],[Quantity (kg)]]</f>
        <v>6500</v>
      </c>
      <c r="M199" s="4">
        <f>FastenersPriceList34[[#This Row],[SINGLE PC. WT.]]*FastenersPriceList34[[#This Row],[Rate / PER kg (₹)]]</f>
        <v>32.11</v>
      </c>
    </row>
    <row r="200" spans="1:13" ht="22.05" customHeight="1" x14ac:dyDescent="0.3">
      <c r="A200" s="2" t="s">
        <v>1948</v>
      </c>
      <c r="B200" s="12" t="s">
        <v>8</v>
      </c>
      <c r="C200" s="12">
        <v>10.9</v>
      </c>
      <c r="D200" s="2">
        <v>265</v>
      </c>
      <c r="E200" s="2">
        <f>FastenersPriceList34[[#This Row],[1000 PCS/WT.]]/1000</f>
        <v>0.26500000000000001</v>
      </c>
      <c r="F200" s="2" t="s">
        <v>661</v>
      </c>
      <c r="G200" s="6" t="s">
        <v>1755</v>
      </c>
      <c r="H200" s="70">
        <v>50</v>
      </c>
      <c r="I200" s="72">
        <f>FastenersPriceList34[[#This Row],[Quantity (kg)]]/FastenersPriceList34[[#This Row],[SINGLE PC. WT.]]</f>
        <v>188.67924528301887</v>
      </c>
      <c r="J200" s="3">
        <v>130</v>
      </c>
      <c r="K200" s="3">
        <f>FastenersPriceList34[[#This Row],[1000 PCS/WT.]]*FastenersPriceList34[[#This Row],[Rate / PER kg (₹)]]</f>
        <v>34450</v>
      </c>
      <c r="L200" s="4">
        <f>FastenersPriceList34[[#This Row],[Rate / PER kg (₹)]]*FastenersPriceList34[[#This Row],[Quantity (kg)]]</f>
        <v>6500</v>
      </c>
      <c r="M200" s="4">
        <f>FastenersPriceList34[[#This Row],[SINGLE PC. WT.]]*FastenersPriceList34[[#This Row],[Rate / PER kg (₹)]]</f>
        <v>34.450000000000003</v>
      </c>
    </row>
    <row r="201" spans="1:13" ht="22.05" customHeight="1" x14ac:dyDescent="0.3">
      <c r="A201" s="2" t="s">
        <v>1949</v>
      </c>
      <c r="B201" s="12" t="s">
        <v>8</v>
      </c>
      <c r="C201" s="12">
        <v>10.9</v>
      </c>
      <c r="D201" s="2">
        <v>283</v>
      </c>
      <c r="E201" s="2">
        <f>FastenersPriceList34[[#This Row],[1000 PCS/WT.]]/1000</f>
        <v>0.28299999999999997</v>
      </c>
      <c r="F201" s="2" t="s">
        <v>662</v>
      </c>
      <c r="G201" s="6" t="s">
        <v>1755</v>
      </c>
      <c r="H201" s="70">
        <v>50</v>
      </c>
      <c r="I201" s="72">
        <f>FastenersPriceList34[[#This Row],[Quantity (kg)]]/FastenersPriceList34[[#This Row],[SINGLE PC. WT.]]</f>
        <v>176.67844522968198</v>
      </c>
      <c r="J201" s="3">
        <v>130</v>
      </c>
      <c r="K201" s="3">
        <f>FastenersPriceList34[[#This Row],[1000 PCS/WT.]]*FastenersPriceList34[[#This Row],[Rate / PER kg (₹)]]</f>
        <v>36790</v>
      </c>
      <c r="L201" s="4">
        <f>FastenersPriceList34[[#This Row],[Rate / PER kg (₹)]]*FastenersPriceList34[[#This Row],[Quantity (kg)]]</f>
        <v>6500</v>
      </c>
      <c r="M201" s="4">
        <f>FastenersPriceList34[[#This Row],[SINGLE PC. WT.]]*FastenersPriceList34[[#This Row],[Rate / PER kg (₹)]]</f>
        <v>36.79</v>
      </c>
    </row>
    <row r="202" spans="1:13" ht="22.05" customHeight="1" x14ac:dyDescent="0.3">
      <c r="A202" s="2" t="s">
        <v>1950</v>
      </c>
      <c r="B202" s="12" t="s">
        <v>8</v>
      </c>
      <c r="C202" s="12">
        <v>10.9</v>
      </c>
      <c r="D202" s="2">
        <v>301</v>
      </c>
      <c r="E202" s="2">
        <f>FastenersPriceList34[[#This Row],[1000 PCS/WT.]]/1000</f>
        <v>0.30099999999999999</v>
      </c>
      <c r="F202" s="2" t="s">
        <v>663</v>
      </c>
      <c r="G202" s="6" t="s">
        <v>1755</v>
      </c>
      <c r="H202" s="70">
        <v>50</v>
      </c>
      <c r="I202" s="72">
        <f>FastenersPriceList34[[#This Row],[Quantity (kg)]]/FastenersPriceList34[[#This Row],[SINGLE PC. WT.]]</f>
        <v>166.11295681063123</v>
      </c>
      <c r="J202" s="3">
        <v>130</v>
      </c>
      <c r="K202" s="3">
        <f>FastenersPriceList34[[#This Row],[1000 PCS/WT.]]*FastenersPriceList34[[#This Row],[Rate / PER kg (₹)]]</f>
        <v>39130</v>
      </c>
      <c r="L202" s="4">
        <f>FastenersPriceList34[[#This Row],[Rate / PER kg (₹)]]*FastenersPriceList34[[#This Row],[Quantity (kg)]]</f>
        <v>6500</v>
      </c>
      <c r="M202" s="4">
        <f>FastenersPriceList34[[#This Row],[SINGLE PC. WT.]]*FastenersPriceList34[[#This Row],[Rate / PER kg (₹)]]</f>
        <v>39.129999999999995</v>
      </c>
    </row>
    <row r="203" spans="1:13" ht="22.05" customHeight="1" x14ac:dyDescent="0.3">
      <c r="A203" s="2" t="s">
        <v>1951</v>
      </c>
      <c r="B203" s="12" t="s">
        <v>8</v>
      </c>
      <c r="C203" s="12">
        <v>10.9</v>
      </c>
      <c r="D203" s="2">
        <v>319</v>
      </c>
      <c r="E203" s="2">
        <f>FastenersPriceList34[[#This Row],[1000 PCS/WT.]]/1000</f>
        <v>0.31900000000000001</v>
      </c>
      <c r="F203" s="2" t="s">
        <v>664</v>
      </c>
      <c r="G203" s="6" t="s">
        <v>1755</v>
      </c>
      <c r="H203" s="70">
        <v>50</v>
      </c>
      <c r="I203" s="72">
        <f>FastenersPriceList34[[#This Row],[Quantity (kg)]]/FastenersPriceList34[[#This Row],[SINGLE PC. WT.]]</f>
        <v>156.73981191222569</v>
      </c>
      <c r="J203" s="3">
        <v>130</v>
      </c>
      <c r="K203" s="3">
        <f>FastenersPriceList34[[#This Row],[1000 PCS/WT.]]*FastenersPriceList34[[#This Row],[Rate / PER kg (₹)]]</f>
        <v>41470</v>
      </c>
      <c r="L203" s="4">
        <f>FastenersPriceList34[[#This Row],[Rate / PER kg (₹)]]*FastenersPriceList34[[#This Row],[Quantity (kg)]]</f>
        <v>6500</v>
      </c>
      <c r="M203" s="4">
        <f>FastenersPriceList34[[#This Row],[SINGLE PC. WT.]]*FastenersPriceList34[[#This Row],[Rate / PER kg (₹)]]</f>
        <v>41.47</v>
      </c>
    </row>
    <row r="204" spans="1:13" ht="22.05" customHeight="1" x14ac:dyDescent="0.3">
      <c r="A204" s="2" t="s">
        <v>1952</v>
      </c>
      <c r="B204" s="12" t="s">
        <v>8</v>
      </c>
      <c r="C204" s="12">
        <v>10.9</v>
      </c>
      <c r="D204" s="2">
        <v>337</v>
      </c>
      <c r="E204" s="2">
        <f>FastenersPriceList34[[#This Row],[1000 PCS/WT.]]/1000</f>
        <v>0.33700000000000002</v>
      </c>
      <c r="F204" s="2" t="s">
        <v>665</v>
      </c>
      <c r="G204" s="6" t="s">
        <v>1755</v>
      </c>
      <c r="H204" s="70">
        <v>50</v>
      </c>
      <c r="I204" s="72">
        <f>FastenersPriceList34[[#This Row],[Quantity (kg)]]/FastenersPriceList34[[#This Row],[SINGLE PC. WT.]]</f>
        <v>148.36795252225519</v>
      </c>
      <c r="J204" s="3">
        <v>130</v>
      </c>
      <c r="K204" s="3">
        <f>FastenersPriceList34[[#This Row],[1000 PCS/WT.]]*FastenersPriceList34[[#This Row],[Rate / PER kg (₹)]]</f>
        <v>43810</v>
      </c>
      <c r="L204" s="4">
        <f>FastenersPriceList34[[#This Row],[Rate / PER kg (₹)]]*FastenersPriceList34[[#This Row],[Quantity (kg)]]</f>
        <v>6500</v>
      </c>
      <c r="M204" s="4">
        <f>FastenersPriceList34[[#This Row],[SINGLE PC. WT.]]*FastenersPriceList34[[#This Row],[Rate / PER kg (₹)]]</f>
        <v>43.81</v>
      </c>
    </row>
    <row r="205" spans="1:13" ht="22.05" customHeight="1" x14ac:dyDescent="0.3">
      <c r="A205" s="2" t="s">
        <v>1953</v>
      </c>
      <c r="B205" s="12" t="s">
        <v>8</v>
      </c>
      <c r="C205" s="12">
        <v>10.9</v>
      </c>
      <c r="D205" s="2">
        <v>355</v>
      </c>
      <c r="E205" s="2">
        <f>FastenersPriceList34[[#This Row],[1000 PCS/WT.]]/1000</f>
        <v>0.35499999999999998</v>
      </c>
      <c r="F205" s="2" t="s">
        <v>666</v>
      </c>
      <c r="G205" s="6" t="s">
        <v>1755</v>
      </c>
      <c r="H205" s="70">
        <v>50</v>
      </c>
      <c r="I205" s="72">
        <f>FastenersPriceList34[[#This Row],[Quantity (kg)]]/FastenersPriceList34[[#This Row],[SINGLE PC. WT.]]</f>
        <v>140.84507042253523</v>
      </c>
      <c r="J205" s="3">
        <v>135</v>
      </c>
      <c r="K205" s="3">
        <f>FastenersPriceList34[[#This Row],[1000 PCS/WT.]]*FastenersPriceList34[[#This Row],[Rate / PER kg (₹)]]</f>
        <v>47925</v>
      </c>
      <c r="L205" s="4">
        <f>FastenersPriceList34[[#This Row],[Rate / PER kg (₹)]]*FastenersPriceList34[[#This Row],[Quantity (kg)]]</f>
        <v>6750</v>
      </c>
      <c r="M205" s="4">
        <f>FastenersPriceList34[[#This Row],[SINGLE PC. WT.]]*FastenersPriceList34[[#This Row],[Rate / PER kg (₹)]]</f>
        <v>47.924999999999997</v>
      </c>
    </row>
    <row r="206" spans="1:13" ht="22.05" customHeight="1" x14ac:dyDescent="0.3">
      <c r="A206" s="2" t="s">
        <v>1954</v>
      </c>
      <c r="B206" s="12" t="s">
        <v>8</v>
      </c>
      <c r="C206" s="12">
        <v>10.9</v>
      </c>
      <c r="D206" s="2">
        <v>373</v>
      </c>
      <c r="E206" s="2">
        <f>FastenersPriceList34[[#This Row],[1000 PCS/WT.]]/1000</f>
        <v>0.373</v>
      </c>
      <c r="F206" s="2" t="s">
        <v>667</v>
      </c>
      <c r="G206" s="6" t="s">
        <v>1755</v>
      </c>
      <c r="H206" s="70">
        <v>50</v>
      </c>
      <c r="I206" s="72">
        <f>FastenersPriceList34[[#This Row],[Quantity (kg)]]/FastenersPriceList34[[#This Row],[SINGLE PC. WT.]]</f>
        <v>134.04825737265415</v>
      </c>
      <c r="J206" s="3">
        <v>135</v>
      </c>
      <c r="K206" s="3">
        <f>FastenersPriceList34[[#This Row],[1000 PCS/WT.]]*FastenersPriceList34[[#This Row],[Rate / PER kg (₹)]]</f>
        <v>50355</v>
      </c>
      <c r="L206" s="4">
        <f>FastenersPriceList34[[#This Row],[Rate / PER kg (₹)]]*FastenersPriceList34[[#This Row],[Quantity (kg)]]</f>
        <v>6750</v>
      </c>
      <c r="M206" s="4">
        <f>FastenersPriceList34[[#This Row],[SINGLE PC. WT.]]*FastenersPriceList34[[#This Row],[Rate / PER kg (₹)]]</f>
        <v>50.354999999999997</v>
      </c>
    </row>
    <row r="207" spans="1:13" ht="22.05" customHeight="1" x14ac:dyDescent="0.3">
      <c r="A207" s="2" t="s">
        <v>1955</v>
      </c>
      <c r="B207" s="12" t="s">
        <v>8</v>
      </c>
      <c r="C207" s="12">
        <v>10.9</v>
      </c>
      <c r="D207" s="2">
        <v>391</v>
      </c>
      <c r="E207" s="2">
        <f>FastenersPriceList34[[#This Row],[1000 PCS/WT.]]/1000</f>
        <v>0.39100000000000001</v>
      </c>
      <c r="F207" s="2" t="s">
        <v>668</v>
      </c>
      <c r="G207" s="6" t="s">
        <v>1755</v>
      </c>
      <c r="H207" s="70">
        <v>50</v>
      </c>
      <c r="I207" s="72">
        <f>FastenersPriceList34[[#This Row],[Quantity (kg)]]/FastenersPriceList34[[#This Row],[SINGLE PC. WT.]]</f>
        <v>127.8772378516624</v>
      </c>
      <c r="J207" s="3">
        <v>135</v>
      </c>
      <c r="K207" s="3">
        <f>FastenersPriceList34[[#This Row],[1000 PCS/WT.]]*FastenersPriceList34[[#This Row],[Rate / PER kg (₹)]]</f>
        <v>52785</v>
      </c>
      <c r="L207" s="4">
        <f>FastenersPriceList34[[#This Row],[Rate / PER kg (₹)]]*FastenersPriceList34[[#This Row],[Quantity (kg)]]</f>
        <v>6750</v>
      </c>
      <c r="M207" s="4">
        <f>FastenersPriceList34[[#This Row],[SINGLE PC. WT.]]*FastenersPriceList34[[#This Row],[Rate / PER kg (₹)]]</f>
        <v>52.785000000000004</v>
      </c>
    </row>
    <row r="208" spans="1:13" ht="22.05" customHeight="1" x14ac:dyDescent="0.3">
      <c r="A208" s="2" t="s">
        <v>1956</v>
      </c>
      <c r="B208" s="12" t="s">
        <v>8</v>
      </c>
      <c r="C208" s="12">
        <v>10.9</v>
      </c>
      <c r="D208" s="2">
        <v>409</v>
      </c>
      <c r="E208" s="2">
        <f>FastenersPriceList34[[#This Row],[1000 PCS/WT.]]/1000</f>
        <v>0.40899999999999997</v>
      </c>
      <c r="F208" s="2" t="s">
        <v>669</v>
      </c>
      <c r="G208" s="6" t="s">
        <v>1755</v>
      </c>
      <c r="H208" s="70">
        <v>50</v>
      </c>
      <c r="I208" s="72">
        <f>FastenersPriceList34[[#This Row],[Quantity (kg)]]/FastenersPriceList34[[#This Row],[SINGLE PC. WT.]]</f>
        <v>122.24938875305624</v>
      </c>
      <c r="J208" s="3">
        <v>135</v>
      </c>
      <c r="K208" s="3">
        <f>FastenersPriceList34[[#This Row],[1000 PCS/WT.]]*FastenersPriceList34[[#This Row],[Rate / PER kg (₹)]]</f>
        <v>55215</v>
      </c>
      <c r="L208" s="4">
        <f>FastenersPriceList34[[#This Row],[Rate / PER kg (₹)]]*FastenersPriceList34[[#This Row],[Quantity (kg)]]</f>
        <v>6750</v>
      </c>
      <c r="M208" s="4">
        <f>FastenersPriceList34[[#This Row],[SINGLE PC. WT.]]*FastenersPriceList34[[#This Row],[Rate / PER kg (₹)]]</f>
        <v>55.214999999999996</v>
      </c>
    </row>
    <row r="209" spans="1:13" ht="22.05" customHeight="1" x14ac:dyDescent="0.3">
      <c r="A209" s="2" t="s">
        <v>1957</v>
      </c>
      <c r="B209" s="12" t="s">
        <v>8</v>
      </c>
      <c r="C209" s="12">
        <v>10.9</v>
      </c>
      <c r="D209" s="2">
        <v>427</v>
      </c>
      <c r="E209" s="2">
        <f>FastenersPriceList34[[#This Row],[1000 PCS/WT.]]/1000</f>
        <v>0.42699999999999999</v>
      </c>
      <c r="F209" s="2" t="s">
        <v>670</v>
      </c>
      <c r="G209" s="6" t="s">
        <v>1755</v>
      </c>
      <c r="H209" s="70">
        <v>50</v>
      </c>
      <c r="I209" s="72">
        <f>FastenersPriceList34[[#This Row],[Quantity (kg)]]/FastenersPriceList34[[#This Row],[SINGLE PC. WT.]]</f>
        <v>117.096018735363</v>
      </c>
      <c r="J209" s="3">
        <v>135</v>
      </c>
      <c r="K209" s="3">
        <f>FastenersPriceList34[[#This Row],[1000 PCS/WT.]]*FastenersPriceList34[[#This Row],[Rate / PER kg (₹)]]</f>
        <v>57645</v>
      </c>
      <c r="L209" s="4">
        <f>FastenersPriceList34[[#This Row],[Rate / PER kg (₹)]]*FastenersPriceList34[[#This Row],[Quantity (kg)]]</f>
        <v>6750</v>
      </c>
      <c r="M209" s="4">
        <f>FastenersPriceList34[[#This Row],[SINGLE PC. WT.]]*FastenersPriceList34[[#This Row],[Rate / PER kg (₹)]]</f>
        <v>57.644999999999996</v>
      </c>
    </row>
    <row r="210" spans="1:13" ht="22.05" customHeight="1" x14ac:dyDescent="0.3">
      <c r="A210" s="2" t="s">
        <v>1958</v>
      </c>
      <c r="B210" s="12" t="s">
        <v>8</v>
      </c>
      <c r="C210" s="12">
        <v>10.9</v>
      </c>
      <c r="D210" s="2">
        <v>445</v>
      </c>
      <c r="E210" s="2">
        <f>FastenersPriceList34[[#This Row],[1000 PCS/WT.]]/1000</f>
        <v>0.44500000000000001</v>
      </c>
      <c r="F210" s="2" t="s">
        <v>671</v>
      </c>
      <c r="G210" s="6" t="s">
        <v>1755</v>
      </c>
      <c r="H210" s="70">
        <v>50</v>
      </c>
      <c r="I210" s="72">
        <f>FastenersPriceList34[[#This Row],[Quantity (kg)]]/FastenersPriceList34[[#This Row],[SINGLE PC. WT.]]</f>
        <v>112.35955056179775</v>
      </c>
      <c r="J210" s="3">
        <v>135</v>
      </c>
      <c r="K210" s="3">
        <f>FastenersPriceList34[[#This Row],[1000 PCS/WT.]]*FastenersPriceList34[[#This Row],[Rate / PER kg (₹)]]</f>
        <v>60075</v>
      </c>
      <c r="L210" s="4">
        <f>FastenersPriceList34[[#This Row],[Rate / PER kg (₹)]]*FastenersPriceList34[[#This Row],[Quantity (kg)]]</f>
        <v>6750</v>
      </c>
      <c r="M210" s="4">
        <f>FastenersPriceList34[[#This Row],[SINGLE PC. WT.]]*FastenersPriceList34[[#This Row],[Rate / PER kg (₹)]]</f>
        <v>60.075000000000003</v>
      </c>
    </row>
    <row r="211" spans="1:13" ht="22.05" customHeight="1" x14ac:dyDescent="0.3">
      <c r="A211" s="2" t="s">
        <v>1959</v>
      </c>
      <c r="B211" s="12" t="s">
        <v>8</v>
      </c>
      <c r="C211" s="12">
        <v>10.9</v>
      </c>
      <c r="D211" s="2">
        <v>481</v>
      </c>
      <c r="E211" s="2">
        <f>FastenersPriceList34[[#This Row],[1000 PCS/WT.]]/1000</f>
        <v>0.48099999999999998</v>
      </c>
      <c r="F211" s="2" t="s">
        <v>672</v>
      </c>
      <c r="G211" s="6" t="s">
        <v>1755</v>
      </c>
      <c r="H211" s="70">
        <v>50</v>
      </c>
      <c r="I211" s="72">
        <f>FastenersPriceList34[[#This Row],[Quantity (kg)]]/FastenersPriceList34[[#This Row],[SINGLE PC. WT.]]</f>
        <v>103.95010395010395</v>
      </c>
      <c r="J211" s="3">
        <v>132</v>
      </c>
      <c r="K211" s="3">
        <f>FastenersPriceList34[[#This Row],[1000 PCS/WT.]]*FastenersPriceList34[[#This Row],[Rate / PER kg (₹)]]</f>
        <v>63492</v>
      </c>
      <c r="L211" s="4">
        <f>FastenersPriceList34[[#This Row],[Rate / PER kg (₹)]]*FastenersPriceList34[[#This Row],[Quantity (kg)]]</f>
        <v>6600</v>
      </c>
      <c r="M211" s="4">
        <f>FastenersPriceList34[[#This Row],[SINGLE PC. WT.]]*FastenersPriceList34[[#This Row],[Rate / PER kg (₹)]]</f>
        <v>63.491999999999997</v>
      </c>
    </row>
    <row r="212" spans="1:13" ht="22.05" customHeight="1" x14ac:dyDescent="0.3">
      <c r="A212" s="2" t="s">
        <v>1960</v>
      </c>
      <c r="B212" s="12" t="s">
        <v>8</v>
      </c>
      <c r="C212" s="12">
        <v>10.9</v>
      </c>
      <c r="D212" s="2">
        <v>517</v>
      </c>
      <c r="E212" s="2">
        <f>FastenersPriceList34[[#This Row],[1000 PCS/WT.]]/1000</f>
        <v>0.51700000000000002</v>
      </c>
      <c r="F212" s="2" t="s">
        <v>673</v>
      </c>
      <c r="G212" s="6" t="s">
        <v>1755</v>
      </c>
      <c r="H212" s="70">
        <v>50</v>
      </c>
      <c r="I212" s="72">
        <f>FastenersPriceList34[[#This Row],[Quantity (kg)]]/FastenersPriceList34[[#This Row],[SINGLE PC. WT.]]</f>
        <v>96.71179883945841</v>
      </c>
      <c r="J212" s="3">
        <v>132</v>
      </c>
      <c r="K212" s="3">
        <f>FastenersPriceList34[[#This Row],[1000 PCS/WT.]]*FastenersPriceList34[[#This Row],[Rate / PER kg (₹)]]</f>
        <v>68244</v>
      </c>
      <c r="L212" s="4">
        <f>FastenersPriceList34[[#This Row],[Rate / PER kg (₹)]]*FastenersPriceList34[[#This Row],[Quantity (kg)]]</f>
        <v>6600</v>
      </c>
      <c r="M212" s="4">
        <f>FastenersPriceList34[[#This Row],[SINGLE PC. WT.]]*FastenersPriceList34[[#This Row],[Rate / PER kg (₹)]]</f>
        <v>68.244</v>
      </c>
    </row>
    <row r="213" spans="1:13" ht="22.05" customHeight="1" x14ac:dyDescent="0.3">
      <c r="A213" s="2" t="s">
        <v>1961</v>
      </c>
      <c r="B213" s="12" t="s">
        <v>8</v>
      </c>
      <c r="C213" s="12">
        <v>10.9</v>
      </c>
      <c r="D213" s="2">
        <v>553</v>
      </c>
      <c r="E213" s="2">
        <f>FastenersPriceList34[[#This Row],[1000 PCS/WT.]]/1000</f>
        <v>0.55300000000000005</v>
      </c>
      <c r="F213" s="2" t="s">
        <v>674</v>
      </c>
      <c r="G213" s="6" t="s">
        <v>1755</v>
      </c>
      <c r="H213" s="70">
        <v>50</v>
      </c>
      <c r="I213" s="72">
        <f>FastenersPriceList34[[#This Row],[Quantity (kg)]]/FastenersPriceList34[[#This Row],[SINGLE PC. WT.]]</f>
        <v>90.415913200723324</v>
      </c>
      <c r="J213" s="3">
        <v>132</v>
      </c>
      <c r="K213" s="3">
        <f>FastenersPriceList34[[#This Row],[1000 PCS/WT.]]*FastenersPriceList34[[#This Row],[Rate / PER kg (₹)]]</f>
        <v>72996</v>
      </c>
      <c r="L213" s="4">
        <f>FastenersPriceList34[[#This Row],[Rate / PER kg (₹)]]*FastenersPriceList34[[#This Row],[Quantity (kg)]]</f>
        <v>6600</v>
      </c>
      <c r="M213" s="4">
        <f>FastenersPriceList34[[#This Row],[SINGLE PC. WT.]]*FastenersPriceList34[[#This Row],[Rate / PER kg (₹)]]</f>
        <v>72.996000000000009</v>
      </c>
    </row>
    <row r="214" spans="1:13" ht="22.05" customHeight="1" x14ac:dyDescent="0.3">
      <c r="A214" s="2" t="s">
        <v>1962</v>
      </c>
      <c r="B214" s="12" t="s">
        <v>8</v>
      </c>
      <c r="C214" s="12">
        <v>10.9</v>
      </c>
      <c r="D214" s="2">
        <v>589</v>
      </c>
      <c r="E214" s="2">
        <f>FastenersPriceList34[[#This Row],[1000 PCS/WT.]]/1000</f>
        <v>0.58899999999999997</v>
      </c>
      <c r="F214" s="2" t="s">
        <v>675</v>
      </c>
      <c r="G214" s="6" t="s">
        <v>1755</v>
      </c>
      <c r="H214" s="70">
        <v>50</v>
      </c>
      <c r="I214" s="72">
        <f>FastenersPriceList34[[#This Row],[Quantity (kg)]]/FastenersPriceList34[[#This Row],[SINGLE PC. WT.]]</f>
        <v>84.889643463497464</v>
      </c>
      <c r="J214" s="3">
        <v>132</v>
      </c>
      <c r="K214" s="3">
        <f>FastenersPriceList34[[#This Row],[1000 PCS/WT.]]*FastenersPriceList34[[#This Row],[Rate / PER kg (₹)]]</f>
        <v>77748</v>
      </c>
      <c r="L214" s="4">
        <f>FastenersPriceList34[[#This Row],[Rate / PER kg (₹)]]*FastenersPriceList34[[#This Row],[Quantity (kg)]]</f>
        <v>6600</v>
      </c>
      <c r="M214" s="4">
        <f>FastenersPriceList34[[#This Row],[SINGLE PC. WT.]]*FastenersPriceList34[[#This Row],[Rate / PER kg (₹)]]</f>
        <v>77.74799999999999</v>
      </c>
    </row>
    <row r="215" spans="1:13" ht="22.05" customHeight="1" x14ac:dyDescent="0.3">
      <c r="A215" s="2" t="s">
        <v>1963</v>
      </c>
      <c r="B215" s="12" t="s">
        <v>8</v>
      </c>
      <c r="C215" s="12">
        <v>10.9</v>
      </c>
      <c r="D215" s="2">
        <v>625</v>
      </c>
      <c r="E215" s="2">
        <f>FastenersPriceList34[[#This Row],[1000 PCS/WT.]]/1000</f>
        <v>0.625</v>
      </c>
      <c r="F215" s="2" t="s">
        <v>676</v>
      </c>
      <c r="G215" s="6" t="s">
        <v>1755</v>
      </c>
      <c r="H215" s="70">
        <v>50</v>
      </c>
      <c r="I215" s="72">
        <f>FastenersPriceList34[[#This Row],[Quantity (kg)]]/FastenersPriceList34[[#This Row],[SINGLE PC. WT.]]</f>
        <v>80</v>
      </c>
      <c r="J215" s="3">
        <v>132</v>
      </c>
      <c r="K215" s="3">
        <f>FastenersPriceList34[[#This Row],[1000 PCS/WT.]]*FastenersPriceList34[[#This Row],[Rate / PER kg (₹)]]</f>
        <v>82500</v>
      </c>
      <c r="L215" s="4">
        <f>FastenersPriceList34[[#This Row],[Rate / PER kg (₹)]]*FastenersPriceList34[[#This Row],[Quantity (kg)]]</f>
        <v>6600</v>
      </c>
      <c r="M215" s="4">
        <f>FastenersPriceList34[[#This Row],[SINGLE PC. WT.]]*FastenersPriceList34[[#This Row],[Rate / PER kg (₹)]]</f>
        <v>82.5</v>
      </c>
    </row>
    <row r="216" spans="1:13" ht="22.05" customHeight="1" x14ac:dyDescent="0.3">
      <c r="A216" s="2" t="s">
        <v>1964</v>
      </c>
      <c r="B216" s="12" t="s">
        <v>8</v>
      </c>
      <c r="C216" s="12">
        <v>10.9</v>
      </c>
      <c r="D216" s="2">
        <v>661</v>
      </c>
      <c r="E216" s="2">
        <f>FastenersPriceList34[[#This Row],[1000 PCS/WT.]]/1000</f>
        <v>0.66100000000000003</v>
      </c>
      <c r="F216" s="2" t="s">
        <v>677</v>
      </c>
      <c r="G216" s="6" t="s">
        <v>1755</v>
      </c>
      <c r="H216" s="70">
        <v>50</v>
      </c>
      <c r="I216" s="72">
        <f>FastenersPriceList34[[#This Row],[Quantity (kg)]]/FastenersPriceList34[[#This Row],[SINGLE PC. WT.]]</f>
        <v>75.642965204236006</v>
      </c>
      <c r="J216" s="3">
        <v>132</v>
      </c>
      <c r="K216" s="3">
        <f>FastenersPriceList34[[#This Row],[1000 PCS/WT.]]*FastenersPriceList34[[#This Row],[Rate / PER kg (₹)]]</f>
        <v>87252</v>
      </c>
      <c r="L216" s="4">
        <f>FastenersPriceList34[[#This Row],[Rate / PER kg (₹)]]*FastenersPriceList34[[#This Row],[Quantity (kg)]]</f>
        <v>6600</v>
      </c>
      <c r="M216" s="4">
        <f>FastenersPriceList34[[#This Row],[SINGLE PC. WT.]]*FastenersPriceList34[[#This Row],[Rate / PER kg (₹)]]</f>
        <v>87.25200000000001</v>
      </c>
    </row>
    <row r="217" spans="1:13" ht="22.05" customHeight="1" x14ac:dyDescent="0.3">
      <c r="A217" s="2" t="s">
        <v>1965</v>
      </c>
      <c r="B217" s="12" t="s">
        <v>8</v>
      </c>
      <c r="C217" s="12">
        <v>10.9</v>
      </c>
      <c r="D217" s="2">
        <v>697</v>
      </c>
      <c r="E217" s="2">
        <f>FastenersPriceList34[[#This Row],[1000 PCS/WT.]]/1000</f>
        <v>0.69699999999999995</v>
      </c>
      <c r="F217" s="2" t="s">
        <v>678</v>
      </c>
      <c r="G217" s="6" t="s">
        <v>1755</v>
      </c>
      <c r="H217" s="70">
        <v>50</v>
      </c>
      <c r="I217" s="72">
        <f>FastenersPriceList34[[#This Row],[Quantity (kg)]]/FastenersPriceList34[[#This Row],[SINGLE PC. WT.]]</f>
        <v>71.736011477761835</v>
      </c>
      <c r="J217" s="3">
        <v>132</v>
      </c>
      <c r="K217" s="3">
        <f>FastenersPriceList34[[#This Row],[1000 PCS/WT.]]*FastenersPriceList34[[#This Row],[Rate / PER kg (₹)]]</f>
        <v>92004</v>
      </c>
      <c r="L217" s="4">
        <f>FastenersPriceList34[[#This Row],[Rate / PER kg (₹)]]*FastenersPriceList34[[#This Row],[Quantity (kg)]]</f>
        <v>6600</v>
      </c>
      <c r="M217" s="4">
        <f>FastenersPriceList34[[#This Row],[SINGLE PC. WT.]]*FastenersPriceList34[[#This Row],[Rate / PER kg (₹)]]</f>
        <v>92.003999999999991</v>
      </c>
    </row>
    <row r="218" spans="1:13" ht="22.05" customHeight="1" x14ac:dyDescent="0.3">
      <c r="A218" s="2" t="s">
        <v>1966</v>
      </c>
      <c r="B218" s="12" t="s">
        <v>8</v>
      </c>
      <c r="C218" s="12">
        <v>10.9</v>
      </c>
      <c r="D218" s="2">
        <v>733</v>
      </c>
      <c r="E218" s="2">
        <f>FastenersPriceList34[[#This Row],[1000 PCS/WT.]]/1000</f>
        <v>0.73299999999999998</v>
      </c>
      <c r="F218" s="2" t="s">
        <v>679</v>
      </c>
      <c r="G218" s="6" t="s">
        <v>1755</v>
      </c>
      <c r="H218" s="70">
        <v>50</v>
      </c>
      <c r="I218" s="72">
        <f>FastenersPriceList34[[#This Row],[Quantity (kg)]]/FastenersPriceList34[[#This Row],[SINGLE PC. WT.]]</f>
        <v>68.212824010914048</v>
      </c>
      <c r="J218" s="3">
        <v>132</v>
      </c>
      <c r="K218" s="3">
        <f>FastenersPriceList34[[#This Row],[1000 PCS/WT.]]*FastenersPriceList34[[#This Row],[Rate / PER kg (₹)]]</f>
        <v>96756</v>
      </c>
      <c r="L218" s="4">
        <f>FastenersPriceList34[[#This Row],[Rate / PER kg (₹)]]*FastenersPriceList34[[#This Row],[Quantity (kg)]]</f>
        <v>6600</v>
      </c>
      <c r="M218" s="4">
        <f>FastenersPriceList34[[#This Row],[SINGLE PC. WT.]]*FastenersPriceList34[[#This Row],[Rate / PER kg (₹)]]</f>
        <v>96.756</v>
      </c>
    </row>
    <row r="219" spans="1:13" ht="22.05" customHeight="1" x14ac:dyDescent="0.3">
      <c r="A219" s="2" t="s">
        <v>1967</v>
      </c>
      <c r="B219" s="12" t="s">
        <v>8</v>
      </c>
      <c r="C219" s="12">
        <v>10.9</v>
      </c>
      <c r="D219" s="2">
        <v>769</v>
      </c>
      <c r="E219" s="2">
        <f>FastenersPriceList34[[#This Row],[1000 PCS/WT.]]/1000</f>
        <v>0.76900000000000002</v>
      </c>
      <c r="F219" s="2" t="s">
        <v>680</v>
      </c>
      <c r="G219" s="6" t="s">
        <v>1755</v>
      </c>
      <c r="H219" s="70">
        <v>50</v>
      </c>
      <c r="I219" s="72">
        <f>FastenersPriceList34[[#This Row],[Quantity (kg)]]/FastenersPriceList34[[#This Row],[SINGLE PC. WT.]]</f>
        <v>65.019505851755525</v>
      </c>
      <c r="J219" s="3">
        <v>132</v>
      </c>
      <c r="K219" s="3">
        <f>FastenersPriceList34[[#This Row],[1000 PCS/WT.]]*FastenersPriceList34[[#This Row],[Rate / PER kg (₹)]]</f>
        <v>101508</v>
      </c>
      <c r="L219" s="4">
        <f>FastenersPriceList34[[#This Row],[Rate / PER kg (₹)]]*FastenersPriceList34[[#This Row],[Quantity (kg)]]</f>
        <v>6600</v>
      </c>
      <c r="M219" s="4">
        <f>FastenersPriceList34[[#This Row],[SINGLE PC. WT.]]*FastenersPriceList34[[#This Row],[Rate / PER kg (₹)]]</f>
        <v>101.508</v>
      </c>
    </row>
    <row r="220" spans="1:13" ht="22.05" customHeight="1" x14ac:dyDescent="0.3">
      <c r="A220" s="2" t="s">
        <v>1968</v>
      </c>
      <c r="B220" s="12" t="s">
        <v>8</v>
      </c>
      <c r="C220" s="12">
        <v>10.9</v>
      </c>
      <c r="D220" s="2">
        <v>805</v>
      </c>
      <c r="E220" s="2">
        <f>FastenersPriceList34[[#This Row],[1000 PCS/WT.]]/1000</f>
        <v>0.80500000000000005</v>
      </c>
      <c r="F220" s="2" t="s">
        <v>681</v>
      </c>
      <c r="G220" s="6" t="s">
        <v>1755</v>
      </c>
      <c r="H220" s="70">
        <v>50</v>
      </c>
      <c r="I220" s="72">
        <f>FastenersPriceList34[[#This Row],[Quantity (kg)]]/FastenersPriceList34[[#This Row],[SINGLE PC. WT.]]</f>
        <v>62.11180124223602</v>
      </c>
      <c r="J220" s="3">
        <v>132</v>
      </c>
      <c r="K220" s="3">
        <f>FastenersPriceList34[[#This Row],[1000 PCS/WT.]]*FastenersPriceList34[[#This Row],[Rate / PER kg (₹)]]</f>
        <v>106260</v>
      </c>
      <c r="L220" s="4">
        <f>FastenersPriceList34[[#This Row],[Rate / PER kg (₹)]]*FastenersPriceList34[[#This Row],[Quantity (kg)]]</f>
        <v>6600</v>
      </c>
      <c r="M220" s="4">
        <f>FastenersPriceList34[[#This Row],[SINGLE PC. WT.]]*FastenersPriceList34[[#This Row],[Rate / PER kg (₹)]]</f>
        <v>106.26</v>
      </c>
    </row>
    <row r="221" spans="1:13" ht="22.05" customHeight="1" x14ac:dyDescent="0.3">
      <c r="A221" s="2" t="s">
        <v>1969</v>
      </c>
      <c r="B221" s="12" t="s">
        <v>8</v>
      </c>
      <c r="C221" s="12">
        <v>10.9</v>
      </c>
      <c r="D221" s="2">
        <v>350</v>
      </c>
      <c r="E221" s="2">
        <f>FastenersPriceList34[[#This Row],[1000 PCS/WT.]]/1000</f>
        <v>0.35</v>
      </c>
      <c r="F221" s="2" t="s">
        <v>682</v>
      </c>
      <c r="G221" s="6" t="s">
        <v>1755</v>
      </c>
      <c r="H221" s="70">
        <v>50</v>
      </c>
      <c r="I221" s="72">
        <f>FastenersPriceList34[[#This Row],[Quantity (kg)]]/FastenersPriceList34[[#This Row],[SINGLE PC. WT.]]</f>
        <v>142.85714285714286</v>
      </c>
      <c r="J221" s="3">
        <v>130</v>
      </c>
      <c r="K221" s="3">
        <f>FastenersPriceList34[[#This Row],[1000 PCS/WT.]]*FastenersPriceList34[[#This Row],[Rate / PER kg (₹)]]</f>
        <v>45500</v>
      </c>
      <c r="L221" s="4">
        <f>FastenersPriceList34[[#This Row],[Rate / PER kg (₹)]]*FastenersPriceList34[[#This Row],[Quantity (kg)]]</f>
        <v>6500</v>
      </c>
      <c r="M221" s="4">
        <f>FastenersPriceList34[[#This Row],[SINGLE PC. WT.]]*FastenersPriceList34[[#This Row],[Rate / PER kg (₹)]]</f>
        <v>45.5</v>
      </c>
    </row>
    <row r="222" spans="1:13" ht="22.05" customHeight="1" x14ac:dyDescent="0.3">
      <c r="A222" s="2" t="s">
        <v>1970</v>
      </c>
      <c r="B222" s="12" t="s">
        <v>8</v>
      </c>
      <c r="C222" s="12">
        <v>10.9</v>
      </c>
      <c r="D222" s="2">
        <v>370</v>
      </c>
      <c r="E222" s="2">
        <f>FastenersPriceList34[[#This Row],[1000 PCS/WT.]]/1000</f>
        <v>0.37</v>
      </c>
      <c r="F222" s="2" t="s">
        <v>683</v>
      </c>
      <c r="G222" s="6" t="s">
        <v>1755</v>
      </c>
      <c r="H222" s="70">
        <v>50</v>
      </c>
      <c r="I222" s="72">
        <f>FastenersPriceList34[[#This Row],[Quantity (kg)]]/FastenersPriceList34[[#This Row],[SINGLE PC. WT.]]</f>
        <v>135.13513513513513</v>
      </c>
      <c r="J222" s="3">
        <v>130</v>
      </c>
      <c r="K222" s="3">
        <f>FastenersPriceList34[[#This Row],[1000 PCS/WT.]]*FastenersPriceList34[[#This Row],[Rate / PER kg (₹)]]</f>
        <v>48100</v>
      </c>
      <c r="L222" s="4">
        <f>FastenersPriceList34[[#This Row],[Rate / PER kg (₹)]]*FastenersPriceList34[[#This Row],[Quantity (kg)]]</f>
        <v>6500</v>
      </c>
      <c r="M222" s="4">
        <f>FastenersPriceList34[[#This Row],[SINGLE PC. WT.]]*FastenersPriceList34[[#This Row],[Rate / PER kg (₹)]]</f>
        <v>48.1</v>
      </c>
    </row>
    <row r="223" spans="1:13" ht="22.05" customHeight="1" x14ac:dyDescent="0.3">
      <c r="A223" s="2" t="s">
        <v>1971</v>
      </c>
      <c r="B223" s="12" t="s">
        <v>8</v>
      </c>
      <c r="C223" s="12">
        <v>10.9</v>
      </c>
      <c r="D223" s="2">
        <v>390</v>
      </c>
      <c r="E223" s="2">
        <f>FastenersPriceList34[[#This Row],[1000 PCS/WT.]]/1000</f>
        <v>0.39</v>
      </c>
      <c r="F223" s="2" t="s">
        <v>684</v>
      </c>
      <c r="G223" s="6" t="s">
        <v>1755</v>
      </c>
      <c r="H223" s="70">
        <v>50</v>
      </c>
      <c r="I223" s="72">
        <f>FastenersPriceList34[[#This Row],[Quantity (kg)]]/FastenersPriceList34[[#This Row],[SINGLE PC. WT.]]</f>
        <v>128.2051282051282</v>
      </c>
      <c r="J223" s="3">
        <v>130</v>
      </c>
      <c r="K223" s="3">
        <f>FastenersPriceList34[[#This Row],[1000 PCS/WT.]]*FastenersPriceList34[[#This Row],[Rate / PER kg (₹)]]</f>
        <v>50700</v>
      </c>
      <c r="L223" s="4">
        <f>FastenersPriceList34[[#This Row],[Rate / PER kg (₹)]]*FastenersPriceList34[[#This Row],[Quantity (kg)]]</f>
        <v>6500</v>
      </c>
      <c r="M223" s="4">
        <f>FastenersPriceList34[[#This Row],[SINGLE PC. WT.]]*FastenersPriceList34[[#This Row],[Rate / PER kg (₹)]]</f>
        <v>50.7</v>
      </c>
    </row>
    <row r="224" spans="1:13" ht="22.05" customHeight="1" x14ac:dyDescent="0.3">
      <c r="A224" s="2" t="s">
        <v>1972</v>
      </c>
      <c r="B224" s="12" t="s">
        <v>8</v>
      </c>
      <c r="C224" s="12">
        <v>10.9</v>
      </c>
      <c r="D224" s="2">
        <v>410</v>
      </c>
      <c r="E224" s="2">
        <f>FastenersPriceList34[[#This Row],[1000 PCS/WT.]]/1000</f>
        <v>0.41</v>
      </c>
      <c r="F224" s="2" t="s">
        <v>685</v>
      </c>
      <c r="G224" s="6" t="s">
        <v>1755</v>
      </c>
      <c r="H224" s="70">
        <v>50</v>
      </c>
      <c r="I224" s="72">
        <f>FastenersPriceList34[[#This Row],[Quantity (kg)]]/FastenersPriceList34[[#This Row],[SINGLE PC. WT.]]</f>
        <v>121.95121951219512</v>
      </c>
      <c r="J224" s="3">
        <v>130</v>
      </c>
      <c r="K224" s="3">
        <f>FastenersPriceList34[[#This Row],[1000 PCS/WT.]]*FastenersPriceList34[[#This Row],[Rate / PER kg (₹)]]</f>
        <v>53300</v>
      </c>
      <c r="L224" s="4">
        <f>FastenersPriceList34[[#This Row],[Rate / PER kg (₹)]]*FastenersPriceList34[[#This Row],[Quantity (kg)]]</f>
        <v>6500</v>
      </c>
      <c r="M224" s="4">
        <f>FastenersPriceList34[[#This Row],[SINGLE PC. WT.]]*FastenersPriceList34[[#This Row],[Rate / PER kg (₹)]]</f>
        <v>53.3</v>
      </c>
    </row>
    <row r="225" spans="1:13" ht="22.05" customHeight="1" x14ac:dyDescent="0.3">
      <c r="A225" s="2" t="s">
        <v>1973</v>
      </c>
      <c r="B225" s="12" t="s">
        <v>8</v>
      </c>
      <c r="C225" s="12">
        <v>10.9</v>
      </c>
      <c r="D225" s="2">
        <v>430</v>
      </c>
      <c r="E225" s="2">
        <f>FastenersPriceList34[[#This Row],[1000 PCS/WT.]]/1000</f>
        <v>0.43</v>
      </c>
      <c r="F225" s="2" t="s">
        <v>686</v>
      </c>
      <c r="G225" s="6" t="s">
        <v>1755</v>
      </c>
      <c r="H225" s="70">
        <v>50</v>
      </c>
      <c r="I225" s="72">
        <f>FastenersPriceList34[[#This Row],[Quantity (kg)]]/FastenersPriceList34[[#This Row],[SINGLE PC. WT.]]</f>
        <v>116.27906976744187</v>
      </c>
      <c r="J225" s="3">
        <v>130</v>
      </c>
      <c r="K225" s="3">
        <f>FastenersPriceList34[[#This Row],[1000 PCS/WT.]]*FastenersPriceList34[[#This Row],[Rate / PER kg (₹)]]</f>
        <v>55900</v>
      </c>
      <c r="L225" s="4">
        <f>FastenersPriceList34[[#This Row],[Rate / PER kg (₹)]]*FastenersPriceList34[[#This Row],[Quantity (kg)]]</f>
        <v>6500</v>
      </c>
      <c r="M225" s="4">
        <f>FastenersPriceList34[[#This Row],[SINGLE PC. WT.]]*FastenersPriceList34[[#This Row],[Rate / PER kg (₹)]]</f>
        <v>55.9</v>
      </c>
    </row>
    <row r="226" spans="1:13" ht="22.05" customHeight="1" x14ac:dyDescent="0.3">
      <c r="A226" s="2" t="s">
        <v>1974</v>
      </c>
      <c r="B226" s="12" t="s">
        <v>8</v>
      </c>
      <c r="C226" s="12">
        <v>10.9</v>
      </c>
      <c r="D226" s="2">
        <v>450</v>
      </c>
      <c r="E226" s="2">
        <f>FastenersPriceList34[[#This Row],[1000 PCS/WT.]]/1000</f>
        <v>0.45</v>
      </c>
      <c r="F226" s="2" t="s">
        <v>687</v>
      </c>
      <c r="G226" s="6" t="s">
        <v>1755</v>
      </c>
      <c r="H226" s="70">
        <v>50</v>
      </c>
      <c r="I226" s="72">
        <f>FastenersPriceList34[[#This Row],[Quantity (kg)]]/FastenersPriceList34[[#This Row],[SINGLE PC. WT.]]</f>
        <v>111.11111111111111</v>
      </c>
      <c r="J226" s="3">
        <v>130</v>
      </c>
      <c r="K226" s="3">
        <f>FastenersPriceList34[[#This Row],[1000 PCS/WT.]]*FastenersPriceList34[[#This Row],[Rate / PER kg (₹)]]</f>
        <v>58500</v>
      </c>
      <c r="L226" s="4">
        <f>FastenersPriceList34[[#This Row],[Rate / PER kg (₹)]]*FastenersPriceList34[[#This Row],[Quantity (kg)]]</f>
        <v>6500</v>
      </c>
      <c r="M226" s="4">
        <f>FastenersPriceList34[[#This Row],[SINGLE PC. WT.]]*FastenersPriceList34[[#This Row],[Rate / PER kg (₹)]]</f>
        <v>58.5</v>
      </c>
    </row>
    <row r="227" spans="1:13" ht="22.05" customHeight="1" x14ac:dyDescent="0.3">
      <c r="A227" s="2" t="s">
        <v>1975</v>
      </c>
      <c r="B227" s="12" t="s">
        <v>8</v>
      </c>
      <c r="C227" s="12">
        <v>10.9</v>
      </c>
      <c r="D227" s="2">
        <v>470</v>
      </c>
      <c r="E227" s="2">
        <f>FastenersPriceList34[[#This Row],[1000 PCS/WT.]]/1000</f>
        <v>0.47</v>
      </c>
      <c r="F227" s="2" t="s">
        <v>688</v>
      </c>
      <c r="G227" s="6" t="s">
        <v>1755</v>
      </c>
      <c r="H227" s="70">
        <v>50</v>
      </c>
      <c r="I227" s="72">
        <f>FastenersPriceList34[[#This Row],[Quantity (kg)]]/FastenersPriceList34[[#This Row],[SINGLE PC. WT.]]</f>
        <v>106.38297872340426</v>
      </c>
      <c r="J227" s="3">
        <v>130</v>
      </c>
      <c r="K227" s="3">
        <f>FastenersPriceList34[[#This Row],[1000 PCS/WT.]]*FastenersPriceList34[[#This Row],[Rate / PER kg (₹)]]</f>
        <v>61100</v>
      </c>
      <c r="L227" s="4">
        <f>FastenersPriceList34[[#This Row],[Rate / PER kg (₹)]]*FastenersPriceList34[[#This Row],[Quantity (kg)]]</f>
        <v>6500</v>
      </c>
      <c r="M227" s="4">
        <f>FastenersPriceList34[[#This Row],[SINGLE PC. WT.]]*FastenersPriceList34[[#This Row],[Rate / PER kg (₹)]]</f>
        <v>61.099999999999994</v>
      </c>
    </row>
    <row r="228" spans="1:13" ht="22.05" customHeight="1" x14ac:dyDescent="0.3">
      <c r="A228" s="2" t="s">
        <v>1976</v>
      </c>
      <c r="B228" s="12" t="s">
        <v>8</v>
      </c>
      <c r="C228" s="12">
        <v>10.9</v>
      </c>
      <c r="D228" s="2">
        <v>490</v>
      </c>
      <c r="E228" s="2">
        <f>FastenersPriceList34[[#This Row],[1000 PCS/WT.]]/1000</f>
        <v>0.49</v>
      </c>
      <c r="F228" s="2" t="s">
        <v>689</v>
      </c>
      <c r="G228" s="6" t="s">
        <v>1755</v>
      </c>
      <c r="H228" s="70">
        <v>50</v>
      </c>
      <c r="I228" s="72">
        <f>FastenersPriceList34[[#This Row],[Quantity (kg)]]/FastenersPriceList34[[#This Row],[SINGLE PC. WT.]]</f>
        <v>102.04081632653062</v>
      </c>
      <c r="J228" s="3">
        <v>130</v>
      </c>
      <c r="K228" s="3">
        <f>FastenersPriceList34[[#This Row],[1000 PCS/WT.]]*FastenersPriceList34[[#This Row],[Rate / PER kg (₹)]]</f>
        <v>63700</v>
      </c>
      <c r="L228" s="4">
        <f>FastenersPriceList34[[#This Row],[Rate / PER kg (₹)]]*FastenersPriceList34[[#This Row],[Quantity (kg)]]</f>
        <v>6500</v>
      </c>
      <c r="M228" s="4">
        <f>FastenersPriceList34[[#This Row],[SINGLE PC. WT.]]*FastenersPriceList34[[#This Row],[Rate / PER kg (₹)]]</f>
        <v>63.699999999999996</v>
      </c>
    </row>
    <row r="229" spans="1:13" ht="22.05" customHeight="1" x14ac:dyDescent="0.3">
      <c r="A229" s="2" t="s">
        <v>1977</v>
      </c>
      <c r="B229" s="12" t="s">
        <v>8</v>
      </c>
      <c r="C229" s="12">
        <v>10.9</v>
      </c>
      <c r="D229" s="2">
        <v>510</v>
      </c>
      <c r="E229" s="2">
        <f>FastenersPriceList34[[#This Row],[1000 PCS/WT.]]/1000</f>
        <v>0.51</v>
      </c>
      <c r="F229" s="2" t="s">
        <v>690</v>
      </c>
      <c r="G229" s="6" t="s">
        <v>1755</v>
      </c>
      <c r="H229" s="70">
        <v>50</v>
      </c>
      <c r="I229" s="72">
        <f>FastenersPriceList34[[#This Row],[Quantity (kg)]]/FastenersPriceList34[[#This Row],[SINGLE PC. WT.]]</f>
        <v>98.039215686274503</v>
      </c>
      <c r="J229" s="3">
        <v>130</v>
      </c>
      <c r="K229" s="3">
        <f>FastenersPriceList34[[#This Row],[1000 PCS/WT.]]*FastenersPriceList34[[#This Row],[Rate / PER kg (₹)]]</f>
        <v>66300</v>
      </c>
      <c r="L229" s="4">
        <f>FastenersPriceList34[[#This Row],[Rate / PER kg (₹)]]*FastenersPriceList34[[#This Row],[Quantity (kg)]]</f>
        <v>6500</v>
      </c>
      <c r="M229" s="4">
        <f>FastenersPriceList34[[#This Row],[SINGLE PC. WT.]]*FastenersPriceList34[[#This Row],[Rate / PER kg (₹)]]</f>
        <v>66.3</v>
      </c>
    </row>
    <row r="230" spans="1:13" ht="22.05" customHeight="1" x14ac:dyDescent="0.3">
      <c r="A230" s="2" t="s">
        <v>1978</v>
      </c>
      <c r="B230" s="12" t="s">
        <v>8</v>
      </c>
      <c r="C230" s="12">
        <v>10.9</v>
      </c>
      <c r="D230" s="2">
        <v>531</v>
      </c>
      <c r="E230" s="2">
        <f>FastenersPriceList34[[#This Row],[1000 PCS/WT.]]/1000</f>
        <v>0.53100000000000003</v>
      </c>
      <c r="F230" s="2" t="s">
        <v>691</v>
      </c>
      <c r="G230" s="6" t="s">
        <v>1755</v>
      </c>
      <c r="H230" s="70">
        <v>50</v>
      </c>
      <c r="I230" s="72">
        <f>FastenersPriceList34[[#This Row],[Quantity (kg)]]/FastenersPriceList34[[#This Row],[SINGLE PC. WT.]]</f>
        <v>94.161958568738228</v>
      </c>
      <c r="J230" s="3">
        <v>130</v>
      </c>
      <c r="K230" s="3">
        <f>FastenersPriceList34[[#This Row],[1000 PCS/WT.]]*FastenersPriceList34[[#This Row],[Rate / PER kg (₹)]]</f>
        <v>69030</v>
      </c>
      <c r="L230" s="4">
        <f>FastenersPriceList34[[#This Row],[Rate / PER kg (₹)]]*FastenersPriceList34[[#This Row],[Quantity (kg)]]</f>
        <v>6500</v>
      </c>
      <c r="M230" s="4">
        <f>FastenersPriceList34[[#This Row],[SINGLE PC. WT.]]*FastenersPriceList34[[#This Row],[Rate / PER kg (₹)]]</f>
        <v>69.03</v>
      </c>
    </row>
    <row r="231" spans="1:13" ht="22.05" customHeight="1" x14ac:dyDescent="0.3">
      <c r="A231" s="2" t="s">
        <v>1979</v>
      </c>
      <c r="B231" s="12" t="s">
        <v>8</v>
      </c>
      <c r="C231" s="12">
        <v>10.9</v>
      </c>
      <c r="D231" s="2">
        <v>552</v>
      </c>
      <c r="E231" s="2">
        <f>FastenersPriceList34[[#This Row],[1000 PCS/WT.]]/1000</f>
        <v>0.55200000000000005</v>
      </c>
      <c r="F231" s="2" t="s">
        <v>692</v>
      </c>
      <c r="G231" s="6" t="s">
        <v>1755</v>
      </c>
      <c r="H231" s="70">
        <v>50</v>
      </c>
      <c r="I231" s="72">
        <f>FastenersPriceList34[[#This Row],[Quantity (kg)]]/FastenersPriceList34[[#This Row],[SINGLE PC. WT.]]</f>
        <v>90.579710144927532</v>
      </c>
      <c r="J231" s="3">
        <v>130</v>
      </c>
      <c r="K231" s="3">
        <f>FastenersPriceList34[[#This Row],[1000 PCS/WT.]]*FastenersPriceList34[[#This Row],[Rate / PER kg (₹)]]</f>
        <v>71760</v>
      </c>
      <c r="L231" s="4">
        <f>FastenersPriceList34[[#This Row],[Rate / PER kg (₹)]]*FastenersPriceList34[[#This Row],[Quantity (kg)]]</f>
        <v>6500</v>
      </c>
      <c r="M231" s="4">
        <f>FastenersPriceList34[[#This Row],[SINGLE PC. WT.]]*FastenersPriceList34[[#This Row],[Rate / PER kg (₹)]]</f>
        <v>71.760000000000005</v>
      </c>
    </row>
    <row r="232" spans="1:13" ht="22.05" customHeight="1" x14ac:dyDescent="0.3">
      <c r="A232" s="2" t="s">
        <v>1980</v>
      </c>
      <c r="B232" s="12" t="s">
        <v>8</v>
      </c>
      <c r="C232" s="12">
        <v>10.9</v>
      </c>
      <c r="D232" s="2">
        <v>573</v>
      </c>
      <c r="E232" s="2">
        <f>FastenersPriceList34[[#This Row],[1000 PCS/WT.]]/1000</f>
        <v>0.57299999999999995</v>
      </c>
      <c r="F232" s="2" t="s">
        <v>693</v>
      </c>
      <c r="G232" s="6" t="s">
        <v>1755</v>
      </c>
      <c r="H232" s="70">
        <v>50</v>
      </c>
      <c r="I232" s="72">
        <f>FastenersPriceList34[[#This Row],[Quantity (kg)]]/FastenersPriceList34[[#This Row],[SINGLE PC. WT.]]</f>
        <v>87.260034904013963</v>
      </c>
      <c r="J232" s="3">
        <v>130</v>
      </c>
      <c r="K232" s="3">
        <f>FastenersPriceList34[[#This Row],[1000 PCS/WT.]]*FastenersPriceList34[[#This Row],[Rate / PER kg (₹)]]</f>
        <v>74490</v>
      </c>
      <c r="L232" s="4">
        <f>FastenersPriceList34[[#This Row],[Rate / PER kg (₹)]]*FastenersPriceList34[[#This Row],[Quantity (kg)]]</f>
        <v>6500</v>
      </c>
      <c r="M232" s="4">
        <f>FastenersPriceList34[[#This Row],[SINGLE PC. WT.]]*FastenersPriceList34[[#This Row],[Rate / PER kg (₹)]]</f>
        <v>74.489999999999995</v>
      </c>
    </row>
    <row r="233" spans="1:13" ht="22.05" customHeight="1" x14ac:dyDescent="0.3">
      <c r="A233" s="2" t="s">
        <v>1981</v>
      </c>
      <c r="B233" s="12" t="s">
        <v>8</v>
      </c>
      <c r="C233" s="12">
        <v>10.9</v>
      </c>
      <c r="D233" s="2">
        <v>594</v>
      </c>
      <c r="E233" s="2">
        <f>FastenersPriceList34[[#This Row],[1000 PCS/WT.]]/1000</f>
        <v>0.59399999999999997</v>
      </c>
      <c r="F233" s="2" t="s">
        <v>694</v>
      </c>
      <c r="G233" s="6" t="s">
        <v>1755</v>
      </c>
      <c r="H233" s="70">
        <v>50</v>
      </c>
      <c r="I233" s="72">
        <f>FastenersPriceList34[[#This Row],[Quantity (kg)]]/FastenersPriceList34[[#This Row],[SINGLE PC. WT.]]</f>
        <v>84.17508417508418</v>
      </c>
      <c r="J233" s="3">
        <v>130</v>
      </c>
      <c r="K233" s="3">
        <f>FastenersPriceList34[[#This Row],[1000 PCS/WT.]]*FastenersPriceList34[[#This Row],[Rate / PER kg (₹)]]</f>
        <v>77220</v>
      </c>
      <c r="L233" s="4">
        <f>FastenersPriceList34[[#This Row],[Rate / PER kg (₹)]]*FastenersPriceList34[[#This Row],[Quantity (kg)]]</f>
        <v>6500</v>
      </c>
      <c r="M233" s="4">
        <f>FastenersPriceList34[[#This Row],[SINGLE PC. WT.]]*FastenersPriceList34[[#This Row],[Rate / PER kg (₹)]]</f>
        <v>77.22</v>
      </c>
    </row>
    <row r="234" spans="1:13" ht="22.05" customHeight="1" x14ac:dyDescent="0.3">
      <c r="A234" s="2" t="s">
        <v>1982</v>
      </c>
      <c r="B234" s="12" t="s">
        <v>8</v>
      </c>
      <c r="C234" s="12">
        <v>10.9</v>
      </c>
      <c r="D234" s="2">
        <v>636</v>
      </c>
      <c r="E234" s="2">
        <f>FastenersPriceList34[[#This Row],[1000 PCS/WT.]]/1000</f>
        <v>0.63600000000000001</v>
      </c>
      <c r="F234" s="2" t="s">
        <v>695</v>
      </c>
      <c r="G234" s="6" t="s">
        <v>1755</v>
      </c>
      <c r="H234" s="70">
        <v>50</v>
      </c>
      <c r="I234" s="72">
        <f>FastenersPriceList34[[#This Row],[Quantity (kg)]]/FastenersPriceList34[[#This Row],[SINGLE PC. WT.]]</f>
        <v>78.616352201257854</v>
      </c>
      <c r="J234" s="3">
        <v>135</v>
      </c>
      <c r="K234" s="3">
        <f>FastenersPriceList34[[#This Row],[1000 PCS/WT.]]*FastenersPriceList34[[#This Row],[Rate / PER kg (₹)]]</f>
        <v>85860</v>
      </c>
      <c r="L234" s="4">
        <f>FastenersPriceList34[[#This Row],[Rate / PER kg (₹)]]*FastenersPriceList34[[#This Row],[Quantity (kg)]]</f>
        <v>6750</v>
      </c>
      <c r="M234" s="4">
        <f>FastenersPriceList34[[#This Row],[SINGLE PC. WT.]]*FastenersPriceList34[[#This Row],[Rate / PER kg (₹)]]</f>
        <v>85.86</v>
      </c>
    </row>
    <row r="235" spans="1:13" ht="22.05" customHeight="1" x14ac:dyDescent="0.3">
      <c r="A235" s="2" t="s">
        <v>1983</v>
      </c>
      <c r="B235" s="12" t="s">
        <v>8</v>
      </c>
      <c r="C235" s="12">
        <v>10.9</v>
      </c>
      <c r="D235" s="2">
        <v>678</v>
      </c>
      <c r="E235" s="2">
        <f>FastenersPriceList34[[#This Row],[1000 PCS/WT.]]/1000</f>
        <v>0.67800000000000005</v>
      </c>
      <c r="F235" s="2" t="s">
        <v>696</v>
      </c>
      <c r="G235" s="6" t="s">
        <v>1755</v>
      </c>
      <c r="H235" s="70">
        <v>50</v>
      </c>
      <c r="I235" s="72">
        <f>FastenersPriceList34[[#This Row],[Quantity (kg)]]/FastenersPriceList34[[#This Row],[SINGLE PC. WT.]]</f>
        <v>73.746312684365776</v>
      </c>
      <c r="J235" s="3">
        <v>135</v>
      </c>
      <c r="K235" s="3">
        <f>FastenersPriceList34[[#This Row],[1000 PCS/WT.]]*FastenersPriceList34[[#This Row],[Rate / PER kg (₹)]]</f>
        <v>91530</v>
      </c>
      <c r="L235" s="4">
        <f>FastenersPriceList34[[#This Row],[Rate / PER kg (₹)]]*FastenersPriceList34[[#This Row],[Quantity (kg)]]</f>
        <v>6750</v>
      </c>
      <c r="M235" s="4">
        <f>FastenersPriceList34[[#This Row],[SINGLE PC. WT.]]*FastenersPriceList34[[#This Row],[Rate / PER kg (₹)]]</f>
        <v>91.53</v>
      </c>
    </row>
    <row r="236" spans="1:13" ht="22.05" customHeight="1" x14ac:dyDescent="0.3">
      <c r="A236" s="2" t="s">
        <v>1984</v>
      </c>
      <c r="B236" s="12" t="s">
        <v>8</v>
      </c>
      <c r="C236" s="12">
        <v>10.9</v>
      </c>
      <c r="D236" s="2">
        <v>720</v>
      </c>
      <c r="E236" s="2">
        <f>FastenersPriceList34[[#This Row],[1000 PCS/WT.]]/1000</f>
        <v>0.72</v>
      </c>
      <c r="F236" s="2" t="s">
        <v>697</v>
      </c>
      <c r="G236" s="6" t="s">
        <v>1755</v>
      </c>
      <c r="H236" s="70">
        <v>50</v>
      </c>
      <c r="I236" s="72">
        <f>FastenersPriceList34[[#This Row],[Quantity (kg)]]/FastenersPriceList34[[#This Row],[SINGLE PC. WT.]]</f>
        <v>69.444444444444443</v>
      </c>
      <c r="J236" s="3">
        <v>135</v>
      </c>
      <c r="K236" s="3">
        <f>FastenersPriceList34[[#This Row],[1000 PCS/WT.]]*FastenersPriceList34[[#This Row],[Rate / PER kg (₹)]]</f>
        <v>97200</v>
      </c>
      <c r="L236" s="4">
        <f>FastenersPriceList34[[#This Row],[Rate / PER kg (₹)]]*FastenersPriceList34[[#This Row],[Quantity (kg)]]</f>
        <v>6750</v>
      </c>
      <c r="M236" s="4">
        <f>FastenersPriceList34[[#This Row],[SINGLE PC. WT.]]*FastenersPriceList34[[#This Row],[Rate / PER kg (₹)]]</f>
        <v>97.2</v>
      </c>
    </row>
    <row r="237" spans="1:13" ht="22.05" customHeight="1" x14ac:dyDescent="0.3">
      <c r="A237" s="2" t="s">
        <v>1985</v>
      </c>
      <c r="B237" s="12" t="s">
        <v>8</v>
      </c>
      <c r="C237" s="12">
        <v>10.9</v>
      </c>
      <c r="D237" s="2">
        <v>762</v>
      </c>
      <c r="E237" s="2">
        <f>FastenersPriceList34[[#This Row],[1000 PCS/WT.]]/1000</f>
        <v>0.76200000000000001</v>
      </c>
      <c r="F237" s="2" t="s">
        <v>698</v>
      </c>
      <c r="G237" s="6" t="s">
        <v>1755</v>
      </c>
      <c r="H237" s="70">
        <v>50</v>
      </c>
      <c r="I237" s="72">
        <f>FastenersPriceList34[[#This Row],[Quantity (kg)]]/FastenersPriceList34[[#This Row],[SINGLE PC. WT.]]</f>
        <v>65.616797900262469</v>
      </c>
      <c r="J237" s="3">
        <v>135</v>
      </c>
      <c r="K237" s="3">
        <f>FastenersPriceList34[[#This Row],[1000 PCS/WT.]]*FastenersPriceList34[[#This Row],[Rate / PER kg (₹)]]</f>
        <v>102870</v>
      </c>
      <c r="L237" s="4">
        <f>FastenersPriceList34[[#This Row],[Rate / PER kg (₹)]]*FastenersPriceList34[[#This Row],[Quantity (kg)]]</f>
        <v>6750</v>
      </c>
      <c r="M237" s="4">
        <f>FastenersPriceList34[[#This Row],[SINGLE PC. WT.]]*FastenersPriceList34[[#This Row],[Rate / PER kg (₹)]]</f>
        <v>102.87</v>
      </c>
    </row>
    <row r="238" spans="1:13" ht="22.05" customHeight="1" x14ac:dyDescent="0.3">
      <c r="A238" s="2" t="s">
        <v>1986</v>
      </c>
      <c r="B238" s="12" t="s">
        <v>8</v>
      </c>
      <c r="C238" s="12">
        <v>10.9</v>
      </c>
      <c r="D238" s="2">
        <v>804</v>
      </c>
      <c r="E238" s="2">
        <f>FastenersPriceList34[[#This Row],[1000 PCS/WT.]]/1000</f>
        <v>0.80400000000000005</v>
      </c>
      <c r="F238" s="2" t="s">
        <v>699</v>
      </c>
      <c r="G238" s="6" t="s">
        <v>1755</v>
      </c>
      <c r="H238" s="70">
        <v>50</v>
      </c>
      <c r="I238" s="72">
        <f>FastenersPriceList34[[#This Row],[Quantity (kg)]]/FastenersPriceList34[[#This Row],[SINGLE PC. WT.]]</f>
        <v>62.189054726368155</v>
      </c>
      <c r="J238" s="3">
        <v>135</v>
      </c>
      <c r="K238" s="3">
        <f>FastenersPriceList34[[#This Row],[1000 PCS/WT.]]*FastenersPriceList34[[#This Row],[Rate / PER kg (₹)]]</f>
        <v>108540</v>
      </c>
      <c r="L238" s="4">
        <f>FastenersPriceList34[[#This Row],[Rate / PER kg (₹)]]*FastenersPriceList34[[#This Row],[Quantity (kg)]]</f>
        <v>6750</v>
      </c>
      <c r="M238" s="4">
        <f>FastenersPriceList34[[#This Row],[SINGLE PC. WT.]]*FastenersPriceList34[[#This Row],[Rate / PER kg (₹)]]</f>
        <v>108.54</v>
      </c>
    </row>
    <row r="239" spans="1:13" ht="22.05" customHeight="1" x14ac:dyDescent="0.3">
      <c r="A239" s="2" t="s">
        <v>1987</v>
      </c>
      <c r="B239" s="12" t="s">
        <v>8</v>
      </c>
      <c r="C239" s="12">
        <v>10.9</v>
      </c>
      <c r="D239" s="2">
        <v>846</v>
      </c>
      <c r="E239" s="2">
        <f>FastenersPriceList34[[#This Row],[1000 PCS/WT.]]/1000</f>
        <v>0.84599999999999997</v>
      </c>
      <c r="F239" s="2" t="s">
        <v>700</v>
      </c>
      <c r="G239" s="6" t="s">
        <v>1755</v>
      </c>
      <c r="H239" s="70">
        <v>50</v>
      </c>
      <c r="I239" s="72">
        <f>FastenersPriceList34[[#This Row],[Quantity (kg)]]/FastenersPriceList34[[#This Row],[SINGLE PC. WT.]]</f>
        <v>59.101654846335698</v>
      </c>
      <c r="J239" s="3">
        <v>135</v>
      </c>
      <c r="K239" s="3">
        <f>FastenersPriceList34[[#This Row],[1000 PCS/WT.]]*FastenersPriceList34[[#This Row],[Rate / PER kg (₹)]]</f>
        <v>114210</v>
      </c>
      <c r="L239" s="4">
        <f>FastenersPriceList34[[#This Row],[Rate / PER kg (₹)]]*FastenersPriceList34[[#This Row],[Quantity (kg)]]</f>
        <v>6750</v>
      </c>
      <c r="M239" s="4">
        <f>FastenersPriceList34[[#This Row],[SINGLE PC. WT.]]*FastenersPriceList34[[#This Row],[Rate / PER kg (₹)]]</f>
        <v>114.21</v>
      </c>
    </row>
    <row r="240" spans="1:13" ht="22.05" customHeight="1" x14ac:dyDescent="0.3">
      <c r="A240" s="2" t="s">
        <v>1988</v>
      </c>
      <c r="B240" s="12" t="s">
        <v>8</v>
      </c>
      <c r="C240" s="12">
        <v>10.9</v>
      </c>
      <c r="D240" s="2">
        <v>888</v>
      </c>
      <c r="E240" s="2">
        <f>FastenersPriceList34[[#This Row],[1000 PCS/WT.]]/1000</f>
        <v>0.88800000000000001</v>
      </c>
      <c r="F240" s="2" t="s">
        <v>701</v>
      </c>
      <c r="G240" s="6" t="s">
        <v>1755</v>
      </c>
      <c r="H240" s="70">
        <v>50</v>
      </c>
      <c r="I240" s="72">
        <f>FastenersPriceList34[[#This Row],[Quantity (kg)]]/FastenersPriceList34[[#This Row],[SINGLE PC. WT.]]</f>
        <v>56.306306306306304</v>
      </c>
      <c r="J240" s="3">
        <v>135</v>
      </c>
      <c r="K240" s="3">
        <f>FastenersPriceList34[[#This Row],[1000 PCS/WT.]]*FastenersPriceList34[[#This Row],[Rate / PER kg (₹)]]</f>
        <v>119880</v>
      </c>
      <c r="L240" s="4">
        <f>FastenersPriceList34[[#This Row],[Rate / PER kg (₹)]]*FastenersPriceList34[[#This Row],[Quantity (kg)]]</f>
        <v>6750</v>
      </c>
      <c r="M240" s="4">
        <f>FastenersPriceList34[[#This Row],[SINGLE PC. WT.]]*FastenersPriceList34[[#This Row],[Rate / PER kg (₹)]]</f>
        <v>119.88</v>
      </c>
    </row>
    <row r="241" spans="1:13" ht="22.05" customHeight="1" x14ac:dyDescent="0.3">
      <c r="A241" s="2" t="s">
        <v>1989</v>
      </c>
      <c r="B241" s="12" t="s">
        <v>8</v>
      </c>
      <c r="C241" s="12">
        <v>10.9</v>
      </c>
      <c r="D241" s="2">
        <v>930</v>
      </c>
      <c r="E241" s="2">
        <f>FastenersPriceList34[[#This Row],[1000 PCS/WT.]]/1000</f>
        <v>0.93</v>
      </c>
      <c r="F241" s="2" t="s">
        <v>702</v>
      </c>
      <c r="G241" s="6" t="s">
        <v>1755</v>
      </c>
      <c r="H241" s="70">
        <v>50</v>
      </c>
      <c r="I241" s="72">
        <f>FastenersPriceList34[[#This Row],[Quantity (kg)]]/FastenersPriceList34[[#This Row],[SINGLE PC. WT.]]</f>
        <v>53.763440860215049</v>
      </c>
      <c r="J241" s="3">
        <v>135</v>
      </c>
      <c r="K241" s="3">
        <f>FastenersPriceList34[[#This Row],[1000 PCS/WT.]]*FastenersPriceList34[[#This Row],[Rate / PER kg (₹)]]</f>
        <v>125550</v>
      </c>
      <c r="L241" s="4">
        <f>FastenersPriceList34[[#This Row],[Rate / PER kg (₹)]]*FastenersPriceList34[[#This Row],[Quantity (kg)]]</f>
        <v>6750</v>
      </c>
      <c r="M241" s="4">
        <f>FastenersPriceList34[[#This Row],[SINGLE PC. WT.]]*FastenersPriceList34[[#This Row],[Rate / PER kg (₹)]]</f>
        <v>125.55000000000001</v>
      </c>
    </row>
    <row r="242" spans="1:13" ht="22.05" customHeight="1" x14ac:dyDescent="0.3">
      <c r="A242" s="2" t="s">
        <v>1990</v>
      </c>
      <c r="B242" s="12" t="s">
        <v>8</v>
      </c>
      <c r="C242" s="12">
        <v>10.9</v>
      </c>
      <c r="D242" s="2">
        <v>972</v>
      </c>
      <c r="E242" s="2">
        <f>FastenersPriceList34[[#This Row],[1000 PCS/WT.]]/1000</f>
        <v>0.97199999999999998</v>
      </c>
      <c r="F242" s="2" t="s">
        <v>703</v>
      </c>
      <c r="G242" s="6" t="s">
        <v>1755</v>
      </c>
      <c r="H242" s="70">
        <v>50</v>
      </c>
      <c r="I242" s="72">
        <f>FastenersPriceList34[[#This Row],[Quantity (kg)]]/FastenersPriceList34[[#This Row],[SINGLE PC. WT.]]</f>
        <v>51.440329218106996</v>
      </c>
      <c r="J242" s="3">
        <v>135</v>
      </c>
      <c r="K242" s="3">
        <f>FastenersPriceList34[[#This Row],[1000 PCS/WT.]]*FastenersPriceList34[[#This Row],[Rate / PER kg (₹)]]</f>
        <v>131220</v>
      </c>
      <c r="L242" s="4">
        <f>FastenersPriceList34[[#This Row],[Rate / PER kg (₹)]]*FastenersPriceList34[[#This Row],[Quantity (kg)]]</f>
        <v>6750</v>
      </c>
      <c r="M242" s="4">
        <f>FastenersPriceList34[[#This Row],[SINGLE PC. WT.]]*FastenersPriceList34[[#This Row],[Rate / PER kg (₹)]]</f>
        <v>131.22</v>
      </c>
    </row>
    <row r="243" spans="1:13" ht="22.05" customHeight="1" x14ac:dyDescent="0.3">
      <c r="A243" s="2" t="s">
        <v>1991</v>
      </c>
      <c r="B243" s="12" t="s">
        <v>8</v>
      </c>
      <c r="C243" s="12">
        <v>10.9</v>
      </c>
      <c r="D243" s="2">
        <v>1014</v>
      </c>
      <c r="E243" s="2">
        <f>FastenersPriceList34[[#This Row],[1000 PCS/WT.]]/1000</f>
        <v>1.014</v>
      </c>
      <c r="F243" s="2" t="s">
        <v>704</v>
      </c>
      <c r="G243" s="6" t="s">
        <v>1755</v>
      </c>
      <c r="H243" s="70">
        <v>50</v>
      </c>
      <c r="I243" s="72">
        <f>FastenersPriceList34[[#This Row],[Quantity (kg)]]/FastenersPriceList34[[#This Row],[SINGLE PC. WT.]]</f>
        <v>49.30966469428008</v>
      </c>
      <c r="J243" s="3">
        <v>135</v>
      </c>
      <c r="K243" s="3">
        <f>FastenersPriceList34[[#This Row],[1000 PCS/WT.]]*FastenersPriceList34[[#This Row],[Rate / PER kg (₹)]]</f>
        <v>136890</v>
      </c>
      <c r="L243" s="4">
        <f>FastenersPriceList34[[#This Row],[Rate / PER kg (₹)]]*FastenersPriceList34[[#This Row],[Quantity (kg)]]</f>
        <v>6750</v>
      </c>
      <c r="M243" s="4">
        <f>FastenersPriceList34[[#This Row],[SINGLE PC. WT.]]*FastenersPriceList34[[#This Row],[Rate / PER kg (₹)]]</f>
        <v>136.89000000000001</v>
      </c>
    </row>
    <row r="244" spans="1:13" ht="22.05" customHeight="1" x14ac:dyDescent="0.3">
      <c r="A244" s="2" t="s">
        <v>1992</v>
      </c>
      <c r="B244" s="12" t="s">
        <v>8</v>
      </c>
      <c r="C244" s="12">
        <v>10.9</v>
      </c>
      <c r="D244" s="2">
        <v>1056</v>
      </c>
      <c r="E244" s="2">
        <f>FastenersPriceList34[[#This Row],[1000 PCS/WT.]]/1000</f>
        <v>1.056</v>
      </c>
      <c r="F244" s="2" t="s">
        <v>705</v>
      </c>
      <c r="G244" s="6" t="s">
        <v>1755</v>
      </c>
      <c r="H244" s="70">
        <v>50</v>
      </c>
      <c r="I244" s="72">
        <f>FastenersPriceList34[[#This Row],[Quantity (kg)]]/FastenersPriceList34[[#This Row],[SINGLE PC. WT.]]</f>
        <v>47.348484848484844</v>
      </c>
      <c r="J244" s="3">
        <v>138</v>
      </c>
      <c r="K244" s="3">
        <f>FastenersPriceList34[[#This Row],[1000 PCS/WT.]]*FastenersPriceList34[[#This Row],[Rate / PER kg (₹)]]</f>
        <v>145728</v>
      </c>
      <c r="L244" s="4">
        <f>FastenersPriceList34[[#This Row],[Rate / PER kg (₹)]]*FastenersPriceList34[[#This Row],[Quantity (kg)]]</f>
        <v>6900</v>
      </c>
      <c r="M244" s="4">
        <f>FastenersPriceList34[[#This Row],[SINGLE PC. WT.]]*FastenersPriceList34[[#This Row],[Rate / PER kg (₹)]]</f>
        <v>145.72800000000001</v>
      </c>
    </row>
    <row r="245" spans="1:13" ht="22.05" customHeight="1" x14ac:dyDescent="0.3">
      <c r="A245" s="2" t="s">
        <v>1993</v>
      </c>
      <c r="B245" s="12" t="s">
        <v>8</v>
      </c>
      <c r="C245" s="12">
        <v>10.9</v>
      </c>
      <c r="D245" s="2">
        <v>1098</v>
      </c>
      <c r="E245" s="2">
        <f>FastenersPriceList34[[#This Row],[1000 PCS/WT.]]/1000</f>
        <v>1.0980000000000001</v>
      </c>
      <c r="F245" s="2" t="s">
        <v>706</v>
      </c>
      <c r="G245" s="6" t="s">
        <v>1755</v>
      </c>
      <c r="H245" s="70">
        <v>50</v>
      </c>
      <c r="I245" s="72">
        <f>FastenersPriceList34[[#This Row],[Quantity (kg)]]/FastenersPriceList34[[#This Row],[SINGLE PC. WT.]]</f>
        <v>45.537340619307827</v>
      </c>
      <c r="J245" s="3">
        <v>138</v>
      </c>
      <c r="K245" s="3">
        <f>FastenersPriceList34[[#This Row],[1000 PCS/WT.]]*FastenersPriceList34[[#This Row],[Rate / PER kg (₹)]]</f>
        <v>151524</v>
      </c>
      <c r="L245" s="4">
        <f>FastenersPriceList34[[#This Row],[Rate / PER kg (₹)]]*FastenersPriceList34[[#This Row],[Quantity (kg)]]</f>
        <v>6900</v>
      </c>
      <c r="M245" s="4">
        <f>FastenersPriceList34[[#This Row],[SINGLE PC. WT.]]*FastenersPriceList34[[#This Row],[Rate / PER kg (₹)]]</f>
        <v>151.524</v>
      </c>
    </row>
    <row r="246" spans="1:13" ht="22.05" customHeight="1" x14ac:dyDescent="0.3">
      <c r="A246" s="2" t="s">
        <v>1994</v>
      </c>
      <c r="B246" s="12" t="s">
        <v>8</v>
      </c>
      <c r="C246" s="12">
        <v>10.9</v>
      </c>
      <c r="D246" s="2">
        <v>1140</v>
      </c>
      <c r="E246" s="2">
        <f>FastenersPriceList34[[#This Row],[1000 PCS/WT.]]/1000</f>
        <v>1.1399999999999999</v>
      </c>
      <c r="F246" s="2" t="s">
        <v>707</v>
      </c>
      <c r="G246" s="6" t="s">
        <v>1755</v>
      </c>
      <c r="H246" s="70">
        <v>50</v>
      </c>
      <c r="I246" s="72">
        <f>FastenersPriceList34[[#This Row],[Quantity (kg)]]/FastenersPriceList34[[#This Row],[SINGLE PC. WT.]]</f>
        <v>43.859649122807021</v>
      </c>
      <c r="J246" s="3">
        <v>138</v>
      </c>
      <c r="K246" s="3">
        <f>FastenersPriceList34[[#This Row],[1000 PCS/WT.]]*FastenersPriceList34[[#This Row],[Rate / PER kg (₹)]]</f>
        <v>157320</v>
      </c>
      <c r="L246" s="4">
        <f>FastenersPriceList34[[#This Row],[Rate / PER kg (₹)]]*FastenersPriceList34[[#This Row],[Quantity (kg)]]</f>
        <v>6900</v>
      </c>
      <c r="M246" s="4">
        <f>FastenersPriceList34[[#This Row],[SINGLE PC. WT.]]*FastenersPriceList34[[#This Row],[Rate / PER kg (₹)]]</f>
        <v>157.32</v>
      </c>
    </row>
    <row r="247" spans="1:13" ht="22.05" customHeight="1" x14ac:dyDescent="0.3">
      <c r="A247" s="2" t="s">
        <v>1995</v>
      </c>
      <c r="B247" s="12" t="s">
        <v>8</v>
      </c>
      <c r="C247" s="12">
        <v>10.9</v>
      </c>
      <c r="D247" s="2">
        <v>1182</v>
      </c>
      <c r="E247" s="2">
        <f>FastenersPriceList34[[#This Row],[1000 PCS/WT.]]/1000</f>
        <v>1.1819999999999999</v>
      </c>
      <c r="F247" s="2" t="s">
        <v>708</v>
      </c>
      <c r="G247" s="6" t="s">
        <v>1755</v>
      </c>
      <c r="H247" s="70">
        <v>50</v>
      </c>
      <c r="I247" s="72">
        <f>FastenersPriceList34[[#This Row],[Quantity (kg)]]/FastenersPriceList34[[#This Row],[SINGLE PC. WT.]]</f>
        <v>42.301184433164131</v>
      </c>
      <c r="J247" s="3">
        <v>138</v>
      </c>
      <c r="K247" s="3">
        <f>FastenersPriceList34[[#This Row],[1000 PCS/WT.]]*FastenersPriceList34[[#This Row],[Rate / PER kg (₹)]]</f>
        <v>163116</v>
      </c>
      <c r="L247" s="4">
        <f>FastenersPriceList34[[#This Row],[Rate / PER kg (₹)]]*FastenersPriceList34[[#This Row],[Quantity (kg)]]</f>
        <v>6900</v>
      </c>
      <c r="M247" s="4">
        <f>FastenersPriceList34[[#This Row],[SINGLE PC. WT.]]*FastenersPriceList34[[#This Row],[Rate / PER kg (₹)]]</f>
        <v>163.11599999999999</v>
      </c>
    </row>
    <row r="248" spans="1:13" ht="22.05" customHeight="1" x14ac:dyDescent="0.3">
      <c r="A248" s="2" t="s">
        <v>1996</v>
      </c>
      <c r="B248" s="12" t="s">
        <v>8</v>
      </c>
      <c r="C248" s="12">
        <v>10.9</v>
      </c>
      <c r="D248" s="2">
        <v>1224</v>
      </c>
      <c r="E248" s="2">
        <f>FastenersPriceList34[[#This Row],[1000 PCS/WT.]]/1000</f>
        <v>1.224</v>
      </c>
      <c r="F248" s="2" t="s">
        <v>709</v>
      </c>
      <c r="G248" s="6" t="s">
        <v>1755</v>
      </c>
      <c r="H248" s="70">
        <v>50</v>
      </c>
      <c r="I248" s="72">
        <f>FastenersPriceList34[[#This Row],[Quantity (kg)]]/FastenersPriceList34[[#This Row],[SINGLE PC. WT.]]</f>
        <v>40.849673202614383</v>
      </c>
      <c r="J248" s="3">
        <v>138</v>
      </c>
      <c r="K248" s="3">
        <f>FastenersPriceList34[[#This Row],[1000 PCS/WT.]]*FastenersPriceList34[[#This Row],[Rate / PER kg (₹)]]</f>
        <v>168912</v>
      </c>
      <c r="L248" s="4">
        <f>FastenersPriceList34[[#This Row],[Rate / PER kg (₹)]]*FastenersPriceList34[[#This Row],[Quantity (kg)]]</f>
        <v>6900</v>
      </c>
      <c r="M248" s="4">
        <f>FastenersPriceList34[[#This Row],[SINGLE PC. WT.]]*FastenersPriceList34[[#This Row],[Rate / PER kg (₹)]]</f>
        <v>168.91200000000001</v>
      </c>
    </row>
    <row r="249" spans="1:13" ht="22.05" customHeight="1" x14ac:dyDescent="0.3">
      <c r="A249" s="2" t="s">
        <v>1997</v>
      </c>
      <c r="B249" s="12" t="s">
        <v>8</v>
      </c>
      <c r="C249" s="12">
        <v>10.9</v>
      </c>
      <c r="D249" s="2">
        <v>1266</v>
      </c>
      <c r="E249" s="2">
        <f>FastenersPriceList34[[#This Row],[1000 PCS/WT.]]/1000</f>
        <v>1.266</v>
      </c>
      <c r="F249" s="2" t="s">
        <v>710</v>
      </c>
      <c r="G249" s="6" t="s">
        <v>1755</v>
      </c>
      <c r="H249" s="70">
        <v>50</v>
      </c>
      <c r="I249" s="72">
        <f>FastenersPriceList34[[#This Row],[Quantity (kg)]]/FastenersPriceList34[[#This Row],[SINGLE PC. WT.]]</f>
        <v>39.494470774091624</v>
      </c>
      <c r="J249" s="3">
        <v>138</v>
      </c>
      <c r="K249" s="3">
        <f>FastenersPriceList34[[#This Row],[1000 PCS/WT.]]*FastenersPriceList34[[#This Row],[Rate / PER kg (₹)]]</f>
        <v>174708</v>
      </c>
      <c r="L249" s="4">
        <f>FastenersPriceList34[[#This Row],[Rate / PER kg (₹)]]*FastenersPriceList34[[#This Row],[Quantity (kg)]]</f>
        <v>6900</v>
      </c>
      <c r="M249" s="4">
        <f>FastenersPriceList34[[#This Row],[SINGLE PC. WT.]]*FastenersPriceList34[[#This Row],[Rate / PER kg (₹)]]</f>
        <v>174.708</v>
      </c>
    </row>
    <row r="250" spans="1:13" ht="22.05" customHeight="1" x14ac:dyDescent="0.3">
      <c r="A250" s="2" t="s">
        <v>1998</v>
      </c>
      <c r="B250" s="12" t="s">
        <v>8</v>
      </c>
      <c r="C250" s="12">
        <v>10.9</v>
      </c>
      <c r="D250" s="2">
        <v>1308</v>
      </c>
      <c r="E250" s="2">
        <f>FastenersPriceList34[[#This Row],[1000 PCS/WT.]]/1000</f>
        <v>1.3080000000000001</v>
      </c>
      <c r="F250" s="2" t="s">
        <v>711</v>
      </c>
      <c r="G250" s="6" t="s">
        <v>1755</v>
      </c>
      <c r="H250" s="70">
        <v>50</v>
      </c>
      <c r="I250" s="72">
        <f>FastenersPriceList34[[#This Row],[Quantity (kg)]]/FastenersPriceList34[[#This Row],[SINGLE PC. WT.]]</f>
        <v>38.226299694189599</v>
      </c>
      <c r="J250" s="3">
        <v>138</v>
      </c>
      <c r="K250" s="3">
        <f>FastenersPriceList34[[#This Row],[1000 PCS/WT.]]*FastenersPriceList34[[#This Row],[Rate / PER kg (₹)]]</f>
        <v>180504</v>
      </c>
      <c r="L250" s="4">
        <f>FastenersPriceList34[[#This Row],[Rate / PER kg (₹)]]*FastenersPriceList34[[#This Row],[Quantity (kg)]]</f>
        <v>6900</v>
      </c>
      <c r="M250" s="4">
        <f>FastenersPriceList34[[#This Row],[SINGLE PC. WT.]]*FastenersPriceList34[[#This Row],[Rate / PER kg (₹)]]</f>
        <v>180.50400000000002</v>
      </c>
    </row>
    <row r="251" spans="1:13" ht="22.05" customHeight="1" x14ac:dyDescent="0.3">
      <c r="A251" s="2" t="s">
        <v>1999</v>
      </c>
      <c r="B251" s="12" t="s">
        <v>8</v>
      </c>
      <c r="C251" s="12">
        <v>10.9</v>
      </c>
      <c r="D251" s="2">
        <v>1350</v>
      </c>
      <c r="E251" s="2">
        <f>FastenersPriceList34[[#This Row],[1000 PCS/WT.]]/1000</f>
        <v>1.35</v>
      </c>
      <c r="F251" s="2" t="s">
        <v>712</v>
      </c>
      <c r="G251" s="6" t="s">
        <v>1755</v>
      </c>
      <c r="H251" s="70">
        <v>50</v>
      </c>
      <c r="I251" s="72">
        <f>FastenersPriceList34[[#This Row],[Quantity (kg)]]/FastenersPriceList34[[#This Row],[SINGLE PC. WT.]]</f>
        <v>37.037037037037038</v>
      </c>
      <c r="J251" s="3">
        <v>138</v>
      </c>
      <c r="K251" s="3">
        <f>FastenersPriceList34[[#This Row],[1000 PCS/WT.]]*FastenersPriceList34[[#This Row],[Rate / PER kg (₹)]]</f>
        <v>186300</v>
      </c>
      <c r="L251" s="4">
        <f>FastenersPriceList34[[#This Row],[Rate / PER kg (₹)]]*FastenersPriceList34[[#This Row],[Quantity (kg)]]</f>
        <v>6900</v>
      </c>
      <c r="M251" s="4">
        <f>FastenersPriceList34[[#This Row],[SINGLE PC. WT.]]*FastenersPriceList34[[#This Row],[Rate / PER kg (₹)]]</f>
        <v>186.3</v>
      </c>
    </row>
    <row r="252" spans="1:13" ht="22.05" customHeight="1" x14ac:dyDescent="0.3">
      <c r="A252" s="2" t="s">
        <v>2000</v>
      </c>
      <c r="B252" s="12" t="s">
        <v>8</v>
      </c>
      <c r="C252" s="12">
        <v>10.9</v>
      </c>
      <c r="D252" s="2">
        <v>1392</v>
      </c>
      <c r="E252" s="2">
        <f>FastenersPriceList34[[#This Row],[1000 PCS/WT.]]/1000</f>
        <v>1.3919999999999999</v>
      </c>
      <c r="F252" s="2" t="s">
        <v>713</v>
      </c>
      <c r="G252" s="6" t="s">
        <v>1755</v>
      </c>
      <c r="H252" s="70">
        <v>50</v>
      </c>
      <c r="I252" s="72">
        <f>FastenersPriceList34[[#This Row],[Quantity (kg)]]/FastenersPriceList34[[#This Row],[SINGLE PC. WT.]]</f>
        <v>35.919540229885058</v>
      </c>
      <c r="J252" s="3">
        <v>138</v>
      </c>
      <c r="K252" s="3">
        <f>FastenersPriceList34[[#This Row],[1000 PCS/WT.]]*FastenersPriceList34[[#This Row],[Rate / PER kg (₹)]]</f>
        <v>192096</v>
      </c>
      <c r="L252" s="4">
        <f>FastenersPriceList34[[#This Row],[Rate / PER kg (₹)]]*FastenersPriceList34[[#This Row],[Quantity (kg)]]</f>
        <v>6900</v>
      </c>
      <c r="M252" s="4">
        <f>FastenersPriceList34[[#This Row],[SINGLE PC. WT.]]*FastenersPriceList34[[#This Row],[Rate / PER kg (₹)]]</f>
        <v>192.09599999999998</v>
      </c>
    </row>
    <row r="253" spans="1:13" ht="22.05" customHeight="1" x14ac:dyDescent="0.3">
      <c r="A253" s="2" t="s">
        <v>2001</v>
      </c>
      <c r="B253" s="12" t="s">
        <v>8</v>
      </c>
      <c r="C253" s="12">
        <v>10.9</v>
      </c>
      <c r="D253" s="2">
        <v>1434</v>
      </c>
      <c r="E253" s="2">
        <f>FastenersPriceList34[[#This Row],[1000 PCS/WT.]]/1000</f>
        <v>1.4339999999999999</v>
      </c>
      <c r="F253" s="2" t="s">
        <v>714</v>
      </c>
      <c r="G253" s="6" t="s">
        <v>1755</v>
      </c>
      <c r="H253" s="70">
        <v>50</v>
      </c>
      <c r="I253" s="72">
        <f>FastenersPriceList34[[#This Row],[Quantity (kg)]]/FastenersPriceList34[[#This Row],[SINGLE PC. WT.]]</f>
        <v>34.867503486750351</v>
      </c>
      <c r="J253" s="3">
        <v>138</v>
      </c>
      <c r="K253" s="3">
        <f>FastenersPriceList34[[#This Row],[1000 PCS/WT.]]*FastenersPriceList34[[#This Row],[Rate / PER kg (₹)]]</f>
        <v>197892</v>
      </c>
      <c r="L253" s="4">
        <f>FastenersPriceList34[[#This Row],[Rate / PER kg (₹)]]*FastenersPriceList34[[#This Row],[Quantity (kg)]]</f>
        <v>6900</v>
      </c>
      <c r="M253" s="4">
        <f>FastenersPriceList34[[#This Row],[SINGLE PC. WT.]]*FastenersPriceList34[[#This Row],[Rate / PER kg (₹)]]</f>
        <v>197.892</v>
      </c>
    </row>
    <row r="254" spans="1:13" ht="22.05" customHeight="1" x14ac:dyDescent="0.3">
      <c r="A254" s="2" t="s">
        <v>2002</v>
      </c>
      <c r="B254" s="12" t="s">
        <v>8</v>
      </c>
      <c r="C254" s="12">
        <v>10.9</v>
      </c>
      <c r="D254" s="2">
        <v>464</v>
      </c>
      <c r="E254" s="2">
        <f>FastenersPriceList34[[#This Row],[1000 PCS/WT.]]/1000</f>
        <v>0.46400000000000002</v>
      </c>
      <c r="F254" s="2" t="s">
        <v>715</v>
      </c>
      <c r="G254" s="6" t="s">
        <v>1755</v>
      </c>
      <c r="H254" s="70">
        <v>50</v>
      </c>
      <c r="I254" s="72">
        <f>FastenersPriceList34[[#This Row],[Quantity (kg)]]/FastenersPriceList34[[#This Row],[SINGLE PC. WT.]]</f>
        <v>107.75862068965516</v>
      </c>
      <c r="J254" s="3">
        <v>130</v>
      </c>
      <c r="K254" s="3">
        <f>FastenersPriceList34[[#This Row],[1000 PCS/WT.]]*FastenersPriceList34[[#This Row],[Rate / PER kg (₹)]]</f>
        <v>60320</v>
      </c>
      <c r="L254" s="4">
        <f>FastenersPriceList34[[#This Row],[Rate / PER kg (₹)]]*FastenersPriceList34[[#This Row],[Quantity (kg)]]</f>
        <v>6500</v>
      </c>
      <c r="M254" s="4">
        <f>FastenersPriceList34[[#This Row],[SINGLE PC. WT.]]*FastenersPriceList34[[#This Row],[Rate / PER kg (₹)]]</f>
        <v>60.32</v>
      </c>
    </row>
    <row r="255" spans="1:13" ht="22.05" customHeight="1" x14ac:dyDescent="0.3">
      <c r="A255" s="2" t="s">
        <v>2003</v>
      </c>
      <c r="B255" s="12" t="s">
        <v>8</v>
      </c>
      <c r="C255" s="12">
        <v>10.9</v>
      </c>
      <c r="D255" s="2">
        <v>488</v>
      </c>
      <c r="E255" s="2">
        <f>FastenersPriceList34[[#This Row],[1000 PCS/WT.]]/1000</f>
        <v>0.48799999999999999</v>
      </c>
      <c r="F255" s="2" t="s">
        <v>716</v>
      </c>
      <c r="G255" s="6" t="s">
        <v>1755</v>
      </c>
      <c r="H255" s="70">
        <v>50</v>
      </c>
      <c r="I255" s="72">
        <f>FastenersPriceList34[[#This Row],[Quantity (kg)]]/FastenersPriceList34[[#This Row],[SINGLE PC. WT.]]</f>
        <v>102.45901639344262</v>
      </c>
      <c r="J255" s="3">
        <v>130</v>
      </c>
      <c r="K255" s="3">
        <f>FastenersPriceList34[[#This Row],[1000 PCS/WT.]]*FastenersPriceList34[[#This Row],[Rate / PER kg (₹)]]</f>
        <v>63440</v>
      </c>
      <c r="L255" s="4">
        <f>FastenersPriceList34[[#This Row],[Rate / PER kg (₹)]]*FastenersPriceList34[[#This Row],[Quantity (kg)]]</f>
        <v>6500</v>
      </c>
      <c r="M255" s="4">
        <f>FastenersPriceList34[[#This Row],[SINGLE PC. WT.]]*FastenersPriceList34[[#This Row],[Rate / PER kg (₹)]]</f>
        <v>63.44</v>
      </c>
    </row>
    <row r="256" spans="1:13" ht="22.05" customHeight="1" x14ac:dyDescent="0.3">
      <c r="A256" s="2" t="s">
        <v>2004</v>
      </c>
      <c r="B256" s="12" t="s">
        <v>8</v>
      </c>
      <c r="C256" s="12">
        <v>10.9</v>
      </c>
      <c r="D256" s="2">
        <v>513.25</v>
      </c>
      <c r="E256" s="2">
        <f>FastenersPriceList34[[#This Row],[1000 PCS/WT.]]/1000</f>
        <v>0.51324999999999998</v>
      </c>
      <c r="F256" s="2" t="s">
        <v>717</v>
      </c>
      <c r="G256" s="6" t="s">
        <v>1755</v>
      </c>
      <c r="H256" s="70">
        <v>50</v>
      </c>
      <c r="I256" s="72">
        <f>FastenersPriceList34[[#This Row],[Quantity (kg)]]/FastenersPriceList34[[#This Row],[SINGLE PC. WT.]]</f>
        <v>97.418412079883097</v>
      </c>
      <c r="J256" s="3">
        <v>130</v>
      </c>
      <c r="K256" s="3">
        <f>FastenersPriceList34[[#This Row],[1000 PCS/WT.]]*FastenersPriceList34[[#This Row],[Rate / PER kg (₹)]]</f>
        <v>66722.5</v>
      </c>
      <c r="L256" s="4">
        <f>FastenersPriceList34[[#This Row],[Rate / PER kg (₹)]]*FastenersPriceList34[[#This Row],[Quantity (kg)]]</f>
        <v>6500</v>
      </c>
      <c r="M256" s="4">
        <f>FastenersPriceList34[[#This Row],[SINGLE PC. WT.]]*FastenersPriceList34[[#This Row],[Rate / PER kg (₹)]]</f>
        <v>66.722499999999997</v>
      </c>
    </row>
    <row r="257" spans="1:13" ht="22.05" customHeight="1" x14ac:dyDescent="0.3">
      <c r="A257" s="2" t="s">
        <v>2005</v>
      </c>
      <c r="B257" s="12" t="s">
        <v>8</v>
      </c>
      <c r="C257" s="12">
        <v>10.9</v>
      </c>
      <c r="D257" s="2">
        <v>538.5</v>
      </c>
      <c r="E257" s="2">
        <f>FastenersPriceList34[[#This Row],[1000 PCS/WT.]]/1000</f>
        <v>0.53849999999999998</v>
      </c>
      <c r="F257" s="2" t="s">
        <v>718</v>
      </c>
      <c r="G257" s="6" t="s">
        <v>1755</v>
      </c>
      <c r="H257" s="70">
        <v>50</v>
      </c>
      <c r="I257" s="72">
        <f>FastenersPriceList34[[#This Row],[Quantity (kg)]]/FastenersPriceList34[[#This Row],[SINGLE PC. WT.]]</f>
        <v>92.850510677808728</v>
      </c>
      <c r="J257" s="3">
        <v>130</v>
      </c>
      <c r="K257" s="3">
        <f>FastenersPriceList34[[#This Row],[1000 PCS/WT.]]*FastenersPriceList34[[#This Row],[Rate / PER kg (₹)]]</f>
        <v>70005</v>
      </c>
      <c r="L257" s="4">
        <f>FastenersPriceList34[[#This Row],[Rate / PER kg (₹)]]*FastenersPriceList34[[#This Row],[Quantity (kg)]]</f>
        <v>6500</v>
      </c>
      <c r="M257" s="4">
        <f>FastenersPriceList34[[#This Row],[SINGLE PC. WT.]]*FastenersPriceList34[[#This Row],[Rate / PER kg (₹)]]</f>
        <v>70.004999999999995</v>
      </c>
    </row>
    <row r="258" spans="1:13" ht="22.05" customHeight="1" x14ac:dyDescent="0.3">
      <c r="A258" s="2" t="s">
        <v>2006</v>
      </c>
      <c r="B258" s="12" t="s">
        <v>8</v>
      </c>
      <c r="C258" s="12">
        <v>10.9</v>
      </c>
      <c r="D258" s="2">
        <v>563.75</v>
      </c>
      <c r="E258" s="2">
        <f>FastenersPriceList34[[#This Row],[1000 PCS/WT.]]/1000</f>
        <v>0.56374999999999997</v>
      </c>
      <c r="F258" s="2" t="s">
        <v>719</v>
      </c>
      <c r="G258" s="6" t="s">
        <v>1755</v>
      </c>
      <c r="H258" s="70">
        <v>50</v>
      </c>
      <c r="I258" s="72">
        <f>FastenersPriceList34[[#This Row],[Quantity (kg)]]/FastenersPriceList34[[#This Row],[SINGLE PC. WT.]]</f>
        <v>88.69179600886919</v>
      </c>
      <c r="J258" s="3">
        <v>130</v>
      </c>
      <c r="K258" s="3">
        <f>FastenersPriceList34[[#This Row],[1000 PCS/WT.]]*FastenersPriceList34[[#This Row],[Rate / PER kg (₹)]]</f>
        <v>73287.5</v>
      </c>
      <c r="L258" s="4">
        <f>FastenersPriceList34[[#This Row],[Rate / PER kg (₹)]]*FastenersPriceList34[[#This Row],[Quantity (kg)]]</f>
        <v>6500</v>
      </c>
      <c r="M258" s="4">
        <f>FastenersPriceList34[[#This Row],[SINGLE PC. WT.]]*FastenersPriceList34[[#This Row],[Rate / PER kg (₹)]]</f>
        <v>73.287499999999994</v>
      </c>
    </row>
    <row r="259" spans="1:13" ht="22.05" customHeight="1" x14ac:dyDescent="0.3">
      <c r="A259" s="2" t="s">
        <v>2007</v>
      </c>
      <c r="B259" s="12" t="s">
        <v>8</v>
      </c>
      <c r="C259" s="12">
        <v>10.9</v>
      </c>
      <c r="D259" s="2">
        <v>589</v>
      </c>
      <c r="E259" s="2">
        <f>FastenersPriceList34[[#This Row],[1000 PCS/WT.]]/1000</f>
        <v>0.58899999999999997</v>
      </c>
      <c r="F259" s="2" t="s">
        <v>720</v>
      </c>
      <c r="G259" s="6" t="s">
        <v>1755</v>
      </c>
      <c r="H259" s="70">
        <v>50</v>
      </c>
      <c r="I259" s="72">
        <f>FastenersPriceList34[[#This Row],[Quantity (kg)]]/FastenersPriceList34[[#This Row],[SINGLE PC. WT.]]</f>
        <v>84.889643463497464</v>
      </c>
      <c r="J259" s="3">
        <v>130</v>
      </c>
      <c r="K259" s="3">
        <f>FastenersPriceList34[[#This Row],[1000 PCS/WT.]]*FastenersPriceList34[[#This Row],[Rate / PER kg (₹)]]</f>
        <v>76570</v>
      </c>
      <c r="L259" s="4">
        <f>FastenersPriceList34[[#This Row],[Rate / PER kg (₹)]]*FastenersPriceList34[[#This Row],[Quantity (kg)]]</f>
        <v>6500</v>
      </c>
      <c r="M259" s="4">
        <f>FastenersPriceList34[[#This Row],[SINGLE PC. WT.]]*FastenersPriceList34[[#This Row],[Rate / PER kg (₹)]]</f>
        <v>76.569999999999993</v>
      </c>
    </row>
    <row r="260" spans="1:13" ht="22.05" customHeight="1" x14ac:dyDescent="0.3">
      <c r="A260" s="2" t="s">
        <v>2008</v>
      </c>
      <c r="B260" s="12" t="s">
        <v>8</v>
      </c>
      <c r="C260" s="12">
        <v>10.9</v>
      </c>
      <c r="D260" s="2">
        <v>614.25</v>
      </c>
      <c r="E260" s="2">
        <f>FastenersPriceList34[[#This Row],[1000 PCS/WT.]]/1000</f>
        <v>0.61424999999999996</v>
      </c>
      <c r="F260" s="2" t="s">
        <v>721</v>
      </c>
      <c r="G260" s="6" t="s">
        <v>1755</v>
      </c>
      <c r="H260" s="70">
        <v>50</v>
      </c>
      <c r="I260" s="72">
        <f>FastenersPriceList34[[#This Row],[Quantity (kg)]]/FastenersPriceList34[[#This Row],[SINGLE PC. WT.]]</f>
        <v>81.400081400081405</v>
      </c>
      <c r="J260" s="3">
        <v>130</v>
      </c>
      <c r="K260" s="3">
        <f>FastenersPriceList34[[#This Row],[1000 PCS/WT.]]*FastenersPriceList34[[#This Row],[Rate / PER kg (₹)]]</f>
        <v>79852.5</v>
      </c>
      <c r="L260" s="4">
        <f>FastenersPriceList34[[#This Row],[Rate / PER kg (₹)]]*FastenersPriceList34[[#This Row],[Quantity (kg)]]</f>
        <v>6500</v>
      </c>
      <c r="M260" s="4">
        <f>FastenersPriceList34[[#This Row],[SINGLE PC. WT.]]*FastenersPriceList34[[#This Row],[Rate / PER kg (₹)]]</f>
        <v>79.852499999999992</v>
      </c>
    </row>
    <row r="261" spans="1:13" ht="22.05" customHeight="1" x14ac:dyDescent="0.3">
      <c r="A261" s="2" t="s">
        <v>2009</v>
      </c>
      <c r="B261" s="12" t="s">
        <v>8</v>
      </c>
      <c r="C261" s="12">
        <v>10.9</v>
      </c>
      <c r="D261" s="2">
        <v>639.5</v>
      </c>
      <c r="E261" s="2">
        <f>FastenersPriceList34[[#This Row],[1000 PCS/WT.]]/1000</f>
        <v>0.63949999999999996</v>
      </c>
      <c r="F261" s="2" t="s">
        <v>722</v>
      </c>
      <c r="G261" s="6" t="s">
        <v>1755</v>
      </c>
      <c r="H261" s="70">
        <v>50</v>
      </c>
      <c r="I261" s="72">
        <f>FastenersPriceList34[[#This Row],[Quantity (kg)]]/FastenersPriceList34[[#This Row],[SINGLE PC. WT.]]</f>
        <v>78.186082877247856</v>
      </c>
      <c r="J261" s="3">
        <v>130</v>
      </c>
      <c r="K261" s="3">
        <f>FastenersPriceList34[[#This Row],[1000 PCS/WT.]]*FastenersPriceList34[[#This Row],[Rate / PER kg (₹)]]</f>
        <v>83135</v>
      </c>
      <c r="L261" s="4">
        <f>FastenersPriceList34[[#This Row],[Rate / PER kg (₹)]]*FastenersPriceList34[[#This Row],[Quantity (kg)]]</f>
        <v>6500</v>
      </c>
      <c r="M261" s="4">
        <f>FastenersPriceList34[[#This Row],[SINGLE PC. WT.]]*FastenersPriceList34[[#This Row],[Rate / PER kg (₹)]]</f>
        <v>83.134999999999991</v>
      </c>
    </row>
    <row r="262" spans="1:13" ht="22.05" customHeight="1" x14ac:dyDescent="0.3">
      <c r="A262" s="2" t="s">
        <v>2010</v>
      </c>
      <c r="B262" s="12" t="s">
        <v>8</v>
      </c>
      <c r="C262" s="12">
        <v>10.9</v>
      </c>
      <c r="D262" s="2">
        <v>664.75</v>
      </c>
      <c r="E262" s="2">
        <f>FastenersPriceList34[[#This Row],[1000 PCS/WT.]]/1000</f>
        <v>0.66474999999999995</v>
      </c>
      <c r="F262" s="2" t="s">
        <v>723</v>
      </c>
      <c r="G262" s="6" t="s">
        <v>1755</v>
      </c>
      <c r="H262" s="70">
        <v>50</v>
      </c>
      <c r="I262" s="72">
        <f>FastenersPriceList34[[#This Row],[Quantity (kg)]]/FastenersPriceList34[[#This Row],[SINGLE PC. WT.]]</f>
        <v>75.216246709289209</v>
      </c>
      <c r="J262" s="3">
        <v>130</v>
      </c>
      <c r="K262" s="3">
        <f>FastenersPriceList34[[#This Row],[1000 PCS/WT.]]*FastenersPriceList34[[#This Row],[Rate / PER kg (₹)]]</f>
        <v>86417.5</v>
      </c>
      <c r="L262" s="4">
        <f>FastenersPriceList34[[#This Row],[Rate / PER kg (₹)]]*FastenersPriceList34[[#This Row],[Quantity (kg)]]</f>
        <v>6500</v>
      </c>
      <c r="M262" s="4">
        <f>FastenersPriceList34[[#This Row],[SINGLE PC. WT.]]*FastenersPriceList34[[#This Row],[Rate / PER kg (₹)]]</f>
        <v>86.41749999999999</v>
      </c>
    </row>
    <row r="263" spans="1:13" ht="22.05" customHeight="1" x14ac:dyDescent="0.3">
      <c r="A263" s="2" t="s">
        <v>2011</v>
      </c>
      <c r="B263" s="12" t="s">
        <v>8</v>
      </c>
      <c r="C263" s="12">
        <v>10.9</v>
      </c>
      <c r="D263" s="2">
        <v>690</v>
      </c>
      <c r="E263" s="2">
        <f>FastenersPriceList34[[#This Row],[1000 PCS/WT.]]/1000</f>
        <v>0.69</v>
      </c>
      <c r="F263" s="2" t="s">
        <v>724</v>
      </c>
      <c r="G263" s="6" t="s">
        <v>1755</v>
      </c>
      <c r="H263" s="70">
        <v>50</v>
      </c>
      <c r="I263" s="72">
        <f>FastenersPriceList34[[#This Row],[Quantity (kg)]]/FastenersPriceList34[[#This Row],[SINGLE PC. WT.]]</f>
        <v>72.463768115942031</v>
      </c>
      <c r="J263" s="3">
        <v>130</v>
      </c>
      <c r="K263" s="3">
        <f>FastenersPriceList34[[#This Row],[1000 PCS/WT.]]*FastenersPriceList34[[#This Row],[Rate / PER kg (₹)]]</f>
        <v>89700</v>
      </c>
      <c r="L263" s="4">
        <f>FastenersPriceList34[[#This Row],[Rate / PER kg (₹)]]*FastenersPriceList34[[#This Row],[Quantity (kg)]]</f>
        <v>6500</v>
      </c>
      <c r="M263" s="4">
        <f>FastenersPriceList34[[#This Row],[SINGLE PC. WT.]]*FastenersPriceList34[[#This Row],[Rate / PER kg (₹)]]</f>
        <v>89.699999999999989</v>
      </c>
    </row>
    <row r="264" spans="1:13" ht="22.05" customHeight="1" x14ac:dyDescent="0.3">
      <c r="A264" s="2" t="s">
        <v>2012</v>
      </c>
      <c r="B264" s="12" t="s">
        <v>8</v>
      </c>
      <c r="C264" s="12">
        <v>10.9</v>
      </c>
      <c r="D264" s="2">
        <v>716.5</v>
      </c>
      <c r="E264" s="2">
        <f>FastenersPriceList34[[#This Row],[1000 PCS/WT.]]/1000</f>
        <v>0.71650000000000003</v>
      </c>
      <c r="F264" s="2" t="s">
        <v>725</v>
      </c>
      <c r="G264" s="6" t="s">
        <v>1755</v>
      </c>
      <c r="H264" s="70">
        <v>50</v>
      </c>
      <c r="I264" s="72">
        <f>FastenersPriceList34[[#This Row],[Quantity (kg)]]/FastenersPriceList34[[#This Row],[SINGLE PC. WT.]]</f>
        <v>69.783670621074663</v>
      </c>
      <c r="J264" s="3">
        <v>130</v>
      </c>
      <c r="K264" s="3">
        <f>FastenersPriceList34[[#This Row],[1000 PCS/WT.]]*FastenersPriceList34[[#This Row],[Rate / PER kg (₹)]]</f>
        <v>93145</v>
      </c>
      <c r="L264" s="4">
        <f>FastenersPriceList34[[#This Row],[Rate / PER kg (₹)]]*FastenersPriceList34[[#This Row],[Quantity (kg)]]</f>
        <v>6500</v>
      </c>
      <c r="M264" s="4">
        <f>FastenersPriceList34[[#This Row],[SINGLE PC. WT.]]*FastenersPriceList34[[#This Row],[Rate / PER kg (₹)]]</f>
        <v>93.14500000000001</v>
      </c>
    </row>
    <row r="265" spans="1:13" ht="22.05" customHeight="1" x14ac:dyDescent="0.3">
      <c r="A265" s="2" t="s">
        <v>2013</v>
      </c>
      <c r="B265" s="12" t="s">
        <v>8</v>
      </c>
      <c r="C265" s="12">
        <v>10.9</v>
      </c>
      <c r="D265" s="2">
        <v>743</v>
      </c>
      <c r="E265" s="2">
        <f>FastenersPriceList34[[#This Row],[1000 PCS/WT.]]/1000</f>
        <v>0.74299999999999999</v>
      </c>
      <c r="F265" s="2" t="s">
        <v>726</v>
      </c>
      <c r="G265" s="6" t="s">
        <v>1755</v>
      </c>
      <c r="H265" s="70">
        <v>50</v>
      </c>
      <c r="I265" s="72">
        <f>FastenersPriceList34[[#This Row],[Quantity (kg)]]/FastenersPriceList34[[#This Row],[SINGLE PC. WT.]]</f>
        <v>67.294751009421262</v>
      </c>
      <c r="J265" s="3">
        <v>130</v>
      </c>
      <c r="K265" s="3">
        <f>FastenersPriceList34[[#This Row],[1000 PCS/WT.]]*FastenersPriceList34[[#This Row],[Rate / PER kg (₹)]]</f>
        <v>96590</v>
      </c>
      <c r="L265" s="4">
        <f>FastenersPriceList34[[#This Row],[Rate / PER kg (₹)]]*FastenersPriceList34[[#This Row],[Quantity (kg)]]</f>
        <v>6500</v>
      </c>
      <c r="M265" s="4">
        <f>FastenersPriceList34[[#This Row],[SINGLE PC. WT.]]*FastenersPriceList34[[#This Row],[Rate / PER kg (₹)]]</f>
        <v>96.59</v>
      </c>
    </row>
    <row r="266" spans="1:13" ht="22.05" customHeight="1" x14ac:dyDescent="0.3">
      <c r="A266" s="2" t="s">
        <v>2014</v>
      </c>
      <c r="B266" s="12" t="s">
        <v>8</v>
      </c>
      <c r="C266" s="12">
        <v>10.9</v>
      </c>
      <c r="D266" s="2">
        <v>769.5</v>
      </c>
      <c r="E266" s="2">
        <f>FastenersPriceList34[[#This Row],[1000 PCS/WT.]]/1000</f>
        <v>0.76949999999999996</v>
      </c>
      <c r="F266" s="2" t="s">
        <v>727</v>
      </c>
      <c r="G266" s="6" t="s">
        <v>1755</v>
      </c>
      <c r="H266" s="70">
        <v>50</v>
      </c>
      <c r="I266" s="72">
        <f>FastenersPriceList34[[#This Row],[Quantity (kg)]]/FastenersPriceList34[[#This Row],[SINGLE PC. WT.]]</f>
        <v>64.977257959714109</v>
      </c>
      <c r="J266" s="3">
        <v>130</v>
      </c>
      <c r="K266" s="3">
        <f>FastenersPriceList34[[#This Row],[1000 PCS/WT.]]*FastenersPriceList34[[#This Row],[Rate / PER kg (₹)]]</f>
        <v>100035</v>
      </c>
      <c r="L266" s="4">
        <f>FastenersPriceList34[[#This Row],[Rate / PER kg (₹)]]*FastenersPriceList34[[#This Row],[Quantity (kg)]]</f>
        <v>6500</v>
      </c>
      <c r="M266" s="4">
        <f>FastenersPriceList34[[#This Row],[SINGLE PC. WT.]]*FastenersPriceList34[[#This Row],[Rate / PER kg (₹)]]</f>
        <v>100.035</v>
      </c>
    </row>
    <row r="267" spans="1:13" ht="22.05" customHeight="1" x14ac:dyDescent="0.3">
      <c r="A267" s="2" t="s">
        <v>2015</v>
      </c>
      <c r="B267" s="12" t="s">
        <v>8</v>
      </c>
      <c r="C267" s="12">
        <v>10.9</v>
      </c>
      <c r="D267" s="2">
        <v>824.75</v>
      </c>
      <c r="E267" s="2">
        <f>FastenersPriceList34[[#This Row],[1000 PCS/WT.]]/1000</f>
        <v>0.82474999999999998</v>
      </c>
      <c r="F267" s="2" t="s">
        <v>728</v>
      </c>
      <c r="G267" s="6" t="s">
        <v>1755</v>
      </c>
      <c r="H267" s="70">
        <v>50</v>
      </c>
      <c r="I267" s="72">
        <f>FastenersPriceList34[[#This Row],[Quantity (kg)]]/FastenersPriceList34[[#This Row],[SINGLE PC. WT.]]</f>
        <v>60.624431645953322</v>
      </c>
      <c r="J267" s="3">
        <v>135</v>
      </c>
      <c r="K267" s="3">
        <f>FastenersPriceList34[[#This Row],[1000 PCS/WT.]]*FastenersPriceList34[[#This Row],[Rate / PER kg (₹)]]</f>
        <v>111341.25</v>
      </c>
      <c r="L267" s="4">
        <f>FastenersPriceList34[[#This Row],[Rate / PER kg (₹)]]*FastenersPriceList34[[#This Row],[Quantity (kg)]]</f>
        <v>6750</v>
      </c>
      <c r="M267" s="4">
        <f>FastenersPriceList34[[#This Row],[SINGLE PC. WT.]]*FastenersPriceList34[[#This Row],[Rate / PER kg (₹)]]</f>
        <v>111.34125</v>
      </c>
    </row>
    <row r="268" spans="1:13" ht="22.05" customHeight="1" x14ac:dyDescent="0.3">
      <c r="A268" s="2" t="s">
        <v>2016</v>
      </c>
      <c r="B268" s="12" t="s">
        <v>8</v>
      </c>
      <c r="C268" s="12">
        <v>10.9</v>
      </c>
      <c r="D268" s="2">
        <v>880</v>
      </c>
      <c r="E268" s="2">
        <f>FastenersPriceList34[[#This Row],[1000 PCS/WT.]]/1000</f>
        <v>0.88</v>
      </c>
      <c r="F268" s="2" t="s">
        <v>729</v>
      </c>
      <c r="G268" s="6" t="s">
        <v>1755</v>
      </c>
      <c r="H268" s="70">
        <v>50</v>
      </c>
      <c r="I268" s="72">
        <f>FastenersPriceList34[[#This Row],[Quantity (kg)]]/FastenersPriceList34[[#This Row],[SINGLE PC. WT.]]</f>
        <v>56.81818181818182</v>
      </c>
      <c r="J268" s="3">
        <v>135</v>
      </c>
      <c r="K268" s="3">
        <f>FastenersPriceList34[[#This Row],[1000 PCS/WT.]]*FastenersPriceList34[[#This Row],[Rate / PER kg (₹)]]</f>
        <v>118800</v>
      </c>
      <c r="L268" s="4">
        <f>FastenersPriceList34[[#This Row],[Rate / PER kg (₹)]]*FastenersPriceList34[[#This Row],[Quantity (kg)]]</f>
        <v>6750</v>
      </c>
      <c r="M268" s="4">
        <f>FastenersPriceList34[[#This Row],[SINGLE PC. WT.]]*FastenersPriceList34[[#This Row],[Rate / PER kg (₹)]]</f>
        <v>118.8</v>
      </c>
    </row>
    <row r="269" spans="1:13" ht="22.05" customHeight="1" x14ac:dyDescent="0.3">
      <c r="A269" s="2" t="s">
        <v>2017</v>
      </c>
      <c r="B269" s="12" t="s">
        <v>8</v>
      </c>
      <c r="C269" s="12">
        <v>10.9</v>
      </c>
      <c r="D269" s="2">
        <v>935.25</v>
      </c>
      <c r="E269" s="2">
        <f>FastenersPriceList34[[#This Row],[1000 PCS/WT.]]/1000</f>
        <v>0.93525000000000003</v>
      </c>
      <c r="F269" s="2" t="s">
        <v>730</v>
      </c>
      <c r="G269" s="6" t="s">
        <v>1755</v>
      </c>
      <c r="H269" s="70">
        <v>50</v>
      </c>
      <c r="I269" s="72">
        <f>FastenersPriceList34[[#This Row],[Quantity (kg)]]/FastenersPriceList34[[#This Row],[SINGLE PC. WT.]]</f>
        <v>53.461641272387062</v>
      </c>
      <c r="J269" s="3">
        <v>135</v>
      </c>
      <c r="K269" s="3">
        <f>FastenersPriceList34[[#This Row],[1000 PCS/WT.]]*FastenersPriceList34[[#This Row],[Rate / PER kg (₹)]]</f>
        <v>126258.75</v>
      </c>
      <c r="L269" s="4">
        <f>FastenersPriceList34[[#This Row],[Rate / PER kg (₹)]]*FastenersPriceList34[[#This Row],[Quantity (kg)]]</f>
        <v>6750</v>
      </c>
      <c r="M269" s="4">
        <f>FastenersPriceList34[[#This Row],[SINGLE PC. WT.]]*FastenersPriceList34[[#This Row],[Rate / PER kg (₹)]]</f>
        <v>126.25875000000001</v>
      </c>
    </row>
    <row r="270" spans="1:13" ht="22.05" customHeight="1" x14ac:dyDescent="0.3">
      <c r="A270" s="2" t="s">
        <v>2018</v>
      </c>
      <c r="B270" s="12" t="s">
        <v>8</v>
      </c>
      <c r="C270" s="12">
        <v>10.9</v>
      </c>
      <c r="D270" s="2">
        <v>990.5</v>
      </c>
      <c r="E270" s="2">
        <f>FastenersPriceList34[[#This Row],[1000 PCS/WT.]]/1000</f>
        <v>0.99050000000000005</v>
      </c>
      <c r="F270" s="2" t="s">
        <v>731</v>
      </c>
      <c r="G270" s="6" t="s">
        <v>1755</v>
      </c>
      <c r="H270" s="70">
        <v>50</v>
      </c>
      <c r="I270" s="72">
        <f>FastenersPriceList34[[#This Row],[Quantity (kg)]]/FastenersPriceList34[[#This Row],[SINGLE PC. WT.]]</f>
        <v>50.479555779909134</v>
      </c>
      <c r="J270" s="3">
        <v>135</v>
      </c>
      <c r="K270" s="3">
        <f>FastenersPriceList34[[#This Row],[1000 PCS/WT.]]*FastenersPriceList34[[#This Row],[Rate / PER kg (₹)]]</f>
        <v>133717.5</v>
      </c>
      <c r="L270" s="4">
        <f>FastenersPriceList34[[#This Row],[Rate / PER kg (₹)]]*FastenersPriceList34[[#This Row],[Quantity (kg)]]</f>
        <v>6750</v>
      </c>
      <c r="M270" s="4">
        <f>FastenersPriceList34[[#This Row],[SINGLE PC. WT.]]*FastenersPriceList34[[#This Row],[Rate / PER kg (₹)]]</f>
        <v>133.7175</v>
      </c>
    </row>
    <row r="271" spans="1:13" ht="22.05" customHeight="1" x14ac:dyDescent="0.3">
      <c r="A271" s="2" t="s">
        <v>2019</v>
      </c>
      <c r="B271" s="12" t="s">
        <v>8</v>
      </c>
      <c r="C271" s="12">
        <v>10.9</v>
      </c>
      <c r="D271" s="2">
        <v>1045.75</v>
      </c>
      <c r="E271" s="2">
        <f>FastenersPriceList34[[#This Row],[1000 PCS/WT.]]/1000</f>
        <v>1.04575</v>
      </c>
      <c r="F271" s="2" t="s">
        <v>732</v>
      </c>
      <c r="G271" s="6" t="s">
        <v>1755</v>
      </c>
      <c r="H271" s="70">
        <v>50</v>
      </c>
      <c r="I271" s="72">
        <f>FastenersPriceList34[[#This Row],[Quantity (kg)]]/FastenersPriceList34[[#This Row],[SINGLE PC. WT.]]</f>
        <v>47.812574707147981</v>
      </c>
      <c r="J271" s="3">
        <v>135</v>
      </c>
      <c r="K271" s="3">
        <f>FastenersPriceList34[[#This Row],[1000 PCS/WT.]]*FastenersPriceList34[[#This Row],[Rate / PER kg (₹)]]</f>
        <v>141176.25</v>
      </c>
      <c r="L271" s="4">
        <f>FastenersPriceList34[[#This Row],[Rate / PER kg (₹)]]*FastenersPriceList34[[#This Row],[Quantity (kg)]]</f>
        <v>6750</v>
      </c>
      <c r="M271" s="4">
        <f>FastenersPriceList34[[#This Row],[SINGLE PC. WT.]]*FastenersPriceList34[[#This Row],[Rate / PER kg (₹)]]</f>
        <v>141.17624999999998</v>
      </c>
    </row>
    <row r="272" spans="1:13" ht="22.05" customHeight="1" x14ac:dyDescent="0.3">
      <c r="A272" s="2" t="s">
        <v>2020</v>
      </c>
      <c r="B272" s="12" t="s">
        <v>8</v>
      </c>
      <c r="C272" s="12">
        <v>10.9</v>
      </c>
      <c r="D272" s="2">
        <v>1101</v>
      </c>
      <c r="E272" s="2">
        <f>FastenersPriceList34[[#This Row],[1000 PCS/WT.]]/1000</f>
        <v>1.101</v>
      </c>
      <c r="F272" s="2" t="s">
        <v>733</v>
      </c>
      <c r="G272" s="6" t="s">
        <v>1755</v>
      </c>
      <c r="H272" s="70">
        <v>50</v>
      </c>
      <c r="I272" s="72">
        <f>FastenersPriceList34[[#This Row],[Quantity (kg)]]/FastenersPriceList34[[#This Row],[SINGLE PC. WT.]]</f>
        <v>45.413260672116259</v>
      </c>
      <c r="J272" s="3">
        <v>135</v>
      </c>
      <c r="K272" s="3">
        <f>FastenersPriceList34[[#This Row],[1000 PCS/WT.]]*FastenersPriceList34[[#This Row],[Rate / PER kg (₹)]]</f>
        <v>148635</v>
      </c>
      <c r="L272" s="4">
        <f>FastenersPriceList34[[#This Row],[Rate / PER kg (₹)]]*FastenersPriceList34[[#This Row],[Quantity (kg)]]</f>
        <v>6750</v>
      </c>
      <c r="M272" s="4">
        <f>FastenersPriceList34[[#This Row],[SINGLE PC. WT.]]*FastenersPriceList34[[#This Row],[Rate / PER kg (₹)]]</f>
        <v>148.63499999999999</v>
      </c>
    </row>
    <row r="273" spans="1:13" ht="22.05" customHeight="1" x14ac:dyDescent="0.3">
      <c r="A273" s="2" t="s">
        <v>2021</v>
      </c>
      <c r="B273" s="12" t="s">
        <v>8</v>
      </c>
      <c r="C273" s="12">
        <v>10.9</v>
      </c>
      <c r="D273" s="2">
        <v>1156.25</v>
      </c>
      <c r="E273" s="2">
        <f>FastenersPriceList34[[#This Row],[1000 PCS/WT.]]/1000</f>
        <v>1.15625</v>
      </c>
      <c r="F273" s="2" t="s">
        <v>734</v>
      </c>
      <c r="G273" s="6" t="s">
        <v>1755</v>
      </c>
      <c r="H273" s="70">
        <v>50</v>
      </c>
      <c r="I273" s="72">
        <f>FastenersPriceList34[[#This Row],[Quantity (kg)]]/FastenersPriceList34[[#This Row],[SINGLE PC. WT.]]</f>
        <v>43.243243243243242</v>
      </c>
      <c r="J273" s="3">
        <v>135</v>
      </c>
      <c r="K273" s="3">
        <f>FastenersPriceList34[[#This Row],[1000 PCS/WT.]]*FastenersPriceList34[[#This Row],[Rate / PER kg (₹)]]</f>
        <v>156093.75</v>
      </c>
      <c r="L273" s="4">
        <f>FastenersPriceList34[[#This Row],[Rate / PER kg (₹)]]*FastenersPriceList34[[#This Row],[Quantity (kg)]]</f>
        <v>6750</v>
      </c>
      <c r="M273" s="4">
        <f>FastenersPriceList34[[#This Row],[SINGLE PC. WT.]]*FastenersPriceList34[[#This Row],[Rate / PER kg (₹)]]</f>
        <v>156.09375</v>
      </c>
    </row>
    <row r="274" spans="1:13" ht="22.05" customHeight="1" x14ac:dyDescent="0.3">
      <c r="A274" s="2" t="s">
        <v>2022</v>
      </c>
      <c r="B274" s="12" t="s">
        <v>8</v>
      </c>
      <c r="C274" s="12">
        <v>10.9</v>
      </c>
      <c r="D274" s="2">
        <v>1211.5</v>
      </c>
      <c r="E274" s="2">
        <f>FastenersPriceList34[[#This Row],[1000 PCS/WT.]]/1000</f>
        <v>1.2115</v>
      </c>
      <c r="F274" s="2" t="s">
        <v>735</v>
      </c>
      <c r="G274" s="6" t="s">
        <v>1755</v>
      </c>
      <c r="H274" s="70">
        <v>50</v>
      </c>
      <c r="I274" s="72">
        <f>FastenersPriceList34[[#This Row],[Quantity (kg)]]/FastenersPriceList34[[#This Row],[SINGLE PC. WT.]]</f>
        <v>41.271151465125875</v>
      </c>
      <c r="J274" s="3">
        <v>135</v>
      </c>
      <c r="K274" s="3">
        <f>FastenersPriceList34[[#This Row],[1000 PCS/WT.]]*FastenersPriceList34[[#This Row],[Rate / PER kg (₹)]]</f>
        <v>163552.5</v>
      </c>
      <c r="L274" s="4">
        <f>FastenersPriceList34[[#This Row],[Rate / PER kg (₹)]]*FastenersPriceList34[[#This Row],[Quantity (kg)]]</f>
        <v>6750</v>
      </c>
      <c r="M274" s="4">
        <f>FastenersPriceList34[[#This Row],[SINGLE PC. WT.]]*FastenersPriceList34[[#This Row],[Rate / PER kg (₹)]]</f>
        <v>163.55250000000001</v>
      </c>
    </row>
    <row r="275" spans="1:13" ht="22.05" customHeight="1" x14ac:dyDescent="0.3">
      <c r="A275" s="2" t="s">
        <v>2023</v>
      </c>
      <c r="B275" s="12" t="s">
        <v>8</v>
      </c>
      <c r="C275" s="12">
        <v>10.9</v>
      </c>
      <c r="D275" s="2">
        <v>1266.75</v>
      </c>
      <c r="E275" s="2">
        <f>FastenersPriceList34[[#This Row],[1000 PCS/WT.]]/1000</f>
        <v>1.26675</v>
      </c>
      <c r="F275" s="2" t="s">
        <v>736</v>
      </c>
      <c r="G275" s="6" t="s">
        <v>1755</v>
      </c>
      <c r="H275" s="70">
        <v>50</v>
      </c>
      <c r="I275" s="72">
        <f>FastenersPriceList34[[#This Row],[Quantity (kg)]]/FastenersPriceList34[[#This Row],[SINGLE PC. WT.]]</f>
        <v>39.471087428458652</v>
      </c>
      <c r="J275" s="3">
        <v>135</v>
      </c>
      <c r="K275" s="3">
        <f>FastenersPriceList34[[#This Row],[1000 PCS/WT.]]*FastenersPriceList34[[#This Row],[Rate / PER kg (₹)]]</f>
        <v>171011.25</v>
      </c>
      <c r="L275" s="4">
        <f>FastenersPriceList34[[#This Row],[Rate / PER kg (₹)]]*FastenersPriceList34[[#This Row],[Quantity (kg)]]</f>
        <v>6750</v>
      </c>
      <c r="M275" s="4">
        <f>FastenersPriceList34[[#This Row],[SINGLE PC. WT.]]*FastenersPriceList34[[#This Row],[Rate / PER kg (₹)]]</f>
        <v>171.01125000000002</v>
      </c>
    </row>
    <row r="276" spans="1:13" ht="22.05" customHeight="1" x14ac:dyDescent="0.3">
      <c r="A276" s="2" t="s">
        <v>2024</v>
      </c>
      <c r="B276" s="12" t="s">
        <v>8</v>
      </c>
      <c r="C276" s="12">
        <v>10.9</v>
      </c>
      <c r="D276" s="2">
        <v>1322</v>
      </c>
      <c r="E276" s="2">
        <f>FastenersPriceList34[[#This Row],[1000 PCS/WT.]]/1000</f>
        <v>1.3220000000000001</v>
      </c>
      <c r="F276" s="2" t="s">
        <v>737</v>
      </c>
      <c r="G276" s="6" t="s">
        <v>1755</v>
      </c>
      <c r="H276" s="70">
        <v>50</v>
      </c>
      <c r="I276" s="72">
        <f>FastenersPriceList34[[#This Row],[Quantity (kg)]]/FastenersPriceList34[[#This Row],[SINGLE PC. WT.]]</f>
        <v>37.821482602118003</v>
      </c>
      <c r="J276" s="3">
        <v>135</v>
      </c>
      <c r="K276" s="3">
        <f>FastenersPriceList34[[#This Row],[1000 PCS/WT.]]*FastenersPriceList34[[#This Row],[Rate / PER kg (₹)]]</f>
        <v>178470</v>
      </c>
      <c r="L276" s="4">
        <f>FastenersPriceList34[[#This Row],[Rate / PER kg (₹)]]*FastenersPriceList34[[#This Row],[Quantity (kg)]]</f>
        <v>6750</v>
      </c>
      <c r="M276" s="4">
        <f>FastenersPriceList34[[#This Row],[SINGLE PC. WT.]]*FastenersPriceList34[[#This Row],[Rate / PER kg (₹)]]</f>
        <v>178.47</v>
      </c>
    </row>
    <row r="277" spans="1:13" ht="22.05" customHeight="1" x14ac:dyDescent="0.3">
      <c r="A277" s="2" t="s">
        <v>2025</v>
      </c>
      <c r="B277" s="12" t="s">
        <v>8</v>
      </c>
      <c r="C277" s="12">
        <v>10.9</v>
      </c>
      <c r="D277" s="2">
        <v>1377.25</v>
      </c>
      <c r="E277" s="2">
        <f>FastenersPriceList34[[#This Row],[1000 PCS/WT.]]/1000</f>
        <v>1.3772500000000001</v>
      </c>
      <c r="F277" s="2" t="s">
        <v>738</v>
      </c>
      <c r="G277" s="6" t="s">
        <v>1755</v>
      </c>
      <c r="H277" s="70">
        <v>50</v>
      </c>
      <c r="I277" s="72">
        <f>FastenersPriceList34[[#This Row],[Quantity (kg)]]/FastenersPriceList34[[#This Row],[SINGLE PC. WT.]]</f>
        <v>36.304229442730076</v>
      </c>
      <c r="J277" s="3">
        <v>138</v>
      </c>
      <c r="K277" s="3">
        <f>FastenersPriceList34[[#This Row],[1000 PCS/WT.]]*FastenersPriceList34[[#This Row],[Rate / PER kg (₹)]]</f>
        <v>190060.5</v>
      </c>
      <c r="L277" s="4">
        <f>FastenersPriceList34[[#This Row],[Rate / PER kg (₹)]]*FastenersPriceList34[[#This Row],[Quantity (kg)]]</f>
        <v>6900</v>
      </c>
      <c r="M277" s="4">
        <f>FastenersPriceList34[[#This Row],[SINGLE PC. WT.]]*FastenersPriceList34[[#This Row],[Rate / PER kg (₹)]]</f>
        <v>190.06050000000002</v>
      </c>
    </row>
    <row r="278" spans="1:13" ht="22.05" customHeight="1" x14ac:dyDescent="0.3">
      <c r="A278" s="2" t="s">
        <v>2026</v>
      </c>
      <c r="B278" s="12" t="s">
        <v>8</v>
      </c>
      <c r="C278" s="12">
        <v>10.9</v>
      </c>
      <c r="D278" s="2">
        <v>1432.5</v>
      </c>
      <c r="E278" s="2">
        <f>FastenersPriceList34[[#This Row],[1000 PCS/WT.]]/1000</f>
        <v>1.4325000000000001</v>
      </c>
      <c r="F278" s="2" t="s">
        <v>739</v>
      </c>
      <c r="G278" s="6" t="s">
        <v>1755</v>
      </c>
      <c r="H278" s="70">
        <v>50</v>
      </c>
      <c r="I278" s="72">
        <f>FastenersPriceList34[[#This Row],[Quantity (kg)]]/FastenersPriceList34[[#This Row],[SINGLE PC. WT.]]</f>
        <v>34.904013961605585</v>
      </c>
      <c r="J278" s="3">
        <v>138</v>
      </c>
      <c r="K278" s="3">
        <f>FastenersPriceList34[[#This Row],[1000 PCS/WT.]]*FastenersPriceList34[[#This Row],[Rate / PER kg (₹)]]</f>
        <v>197685</v>
      </c>
      <c r="L278" s="4">
        <f>FastenersPriceList34[[#This Row],[Rate / PER kg (₹)]]*FastenersPriceList34[[#This Row],[Quantity (kg)]]</f>
        <v>6900</v>
      </c>
      <c r="M278" s="4">
        <f>FastenersPriceList34[[#This Row],[SINGLE PC. WT.]]*FastenersPriceList34[[#This Row],[Rate / PER kg (₹)]]</f>
        <v>197.685</v>
      </c>
    </row>
    <row r="279" spans="1:13" ht="22.05" customHeight="1" x14ac:dyDescent="0.3">
      <c r="A279" s="2" t="s">
        <v>2027</v>
      </c>
      <c r="B279" s="12" t="s">
        <v>8</v>
      </c>
      <c r="C279" s="12">
        <v>10.9</v>
      </c>
      <c r="D279" s="2">
        <v>1487.75</v>
      </c>
      <c r="E279" s="2">
        <f>FastenersPriceList34[[#This Row],[1000 PCS/WT.]]/1000</f>
        <v>1.4877499999999999</v>
      </c>
      <c r="F279" s="2" t="s">
        <v>740</v>
      </c>
      <c r="G279" s="6" t="s">
        <v>1755</v>
      </c>
      <c r="H279" s="70">
        <v>50</v>
      </c>
      <c r="I279" s="72">
        <f>FastenersPriceList34[[#This Row],[Quantity (kg)]]/FastenersPriceList34[[#This Row],[SINGLE PC. WT.]]</f>
        <v>33.607797008906068</v>
      </c>
      <c r="J279" s="3">
        <v>138</v>
      </c>
      <c r="K279" s="3">
        <f>FastenersPriceList34[[#This Row],[1000 PCS/WT.]]*FastenersPriceList34[[#This Row],[Rate / PER kg (₹)]]</f>
        <v>205309.5</v>
      </c>
      <c r="L279" s="4">
        <f>FastenersPriceList34[[#This Row],[Rate / PER kg (₹)]]*FastenersPriceList34[[#This Row],[Quantity (kg)]]</f>
        <v>6900</v>
      </c>
      <c r="M279" s="4">
        <f>FastenersPriceList34[[#This Row],[SINGLE PC. WT.]]*FastenersPriceList34[[#This Row],[Rate / PER kg (₹)]]</f>
        <v>205.30949999999999</v>
      </c>
    </row>
    <row r="280" spans="1:13" ht="22.05" customHeight="1" x14ac:dyDescent="0.3">
      <c r="A280" s="2" t="s">
        <v>2028</v>
      </c>
      <c r="B280" s="12" t="s">
        <v>8</v>
      </c>
      <c r="C280" s="12">
        <v>10.9</v>
      </c>
      <c r="D280" s="2">
        <v>1543</v>
      </c>
      <c r="E280" s="2">
        <f>FastenersPriceList34[[#This Row],[1000 PCS/WT.]]/1000</f>
        <v>1.5429999999999999</v>
      </c>
      <c r="F280" s="2" t="s">
        <v>741</v>
      </c>
      <c r="G280" s="6" t="s">
        <v>1755</v>
      </c>
      <c r="H280" s="70">
        <v>50</v>
      </c>
      <c r="I280" s="72">
        <f>FastenersPriceList34[[#This Row],[Quantity (kg)]]/FastenersPriceList34[[#This Row],[SINGLE PC. WT.]]</f>
        <v>32.404406999351913</v>
      </c>
      <c r="J280" s="3">
        <v>138</v>
      </c>
      <c r="K280" s="3">
        <f>FastenersPriceList34[[#This Row],[1000 PCS/WT.]]*FastenersPriceList34[[#This Row],[Rate / PER kg (₹)]]</f>
        <v>212934</v>
      </c>
      <c r="L280" s="4">
        <f>FastenersPriceList34[[#This Row],[Rate / PER kg (₹)]]*FastenersPriceList34[[#This Row],[Quantity (kg)]]</f>
        <v>6900</v>
      </c>
      <c r="M280" s="4">
        <f>FastenersPriceList34[[#This Row],[SINGLE PC. WT.]]*FastenersPriceList34[[#This Row],[Rate / PER kg (₹)]]</f>
        <v>212.934</v>
      </c>
    </row>
    <row r="281" spans="1:13" ht="22.05" customHeight="1" x14ac:dyDescent="0.3">
      <c r="A281" s="2" t="s">
        <v>2029</v>
      </c>
      <c r="B281" s="12" t="s">
        <v>8</v>
      </c>
      <c r="C281" s="12">
        <v>10.9</v>
      </c>
      <c r="D281" s="2">
        <v>1598.25</v>
      </c>
      <c r="E281" s="2">
        <f>FastenersPriceList34[[#This Row],[1000 PCS/WT.]]/1000</f>
        <v>1.5982499999999999</v>
      </c>
      <c r="F281" s="2" t="s">
        <v>742</v>
      </c>
      <c r="G281" s="6" t="s">
        <v>1755</v>
      </c>
      <c r="H281" s="70">
        <v>50</v>
      </c>
      <c r="I281" s="72">
        <f>FastenersPriceList34[[#This Row],[Quantity (kg)]]/FastenersPriceList34[[#This Row],[SINGLE PC. WT.]]</f>
        <v>31.284217112466763</v>
      </c>
      <c r="J281" s="3">
        <v>138</v>
      </c>
      <c r="K281" s="3">
        <f>FastenersPriceList34[[#This Row],[1000 PCS/WT.]]*FastenersPriceList34[[#This Row],[Rate / PER kg (₹)]]</f>
        <v>220558.5</v>
      </c>
      <c r="L281" s="4">
        <f>FastenersPriceList34[[#This Row],[Rate / PER kg (₹)]]*FastenersPriceList34[[#This Row],[Quantity (kg)]]</f>
        <v>6900</v>
      </c>
      <c r="M281" s="4">
        <f>FastenersPriceList34[[#This Row],[SINGLE PC. WT.]]*FastenersPriceList34[[#This Row],[Rate / PER kg (₹)]]</f>
        <v>220.55849999999998</v>
      </c>
    </row>
    <row r="282" spans="1:13" ht="22.05" customHeight="1" x14ac:dyDescent="0.3">
      <c r="A282" s="2" t="s">
        <v>2030</v>
      </c>
      <c r="B282" s="12" t="s">
        <v>8</v>
      </c>
      <c r="C282" s="12">
        <v>10.9</v>
      </c>
      <c r="D282" s="2">
        <v>1653.5</v>
      </c>
      <c r="E282" s="2">
        <f>FastenersPriceList34[[#This Row],[1000 PCS/WT.]]/1000</f>
        <v>1.6535</v>
      </c>
      <c r="F282" s="2" t="s">
        <v>743</v>
      </c>
      <c r="G282" s="6" t="s">
        <v>1755</v>
      </c>
      <c r="H282" s="70">
        <v>50</v>
      </c>
      <c r="I282" s="72">
        <f>FastenersPriceList34[[#This Row],[Quantity (kg)]]/FastenersPriceList34[[#This Row],[SINGLE PC. WT.]]</f>
        <v>30.238887208950711</v>
      </c>
      <c r="J282" s="3">
        <v>138</v>
      </c>
      <c r="K282" s="3">
        <f>FastenersPriceList34[[#This Row],[1000 PCS/WT.]]*FastenersPriceList34[[#This Row],[Rate / PER kg (₹)]]</f>
        <v>228183</v>
      </c>
      <c r="L282" s="4">
        <f>FastenersPriceList34[[#This Row],[Rate / PER kg (₹)]]*FastenersPriceList34[[#This Row],[Quantity (kg)]]</f>
        <v>6900</v>
      </c>
      <c r="M282" s="4">
        <f>FastenersPriceList34[[#This Row],[SINGLE PC. WT.]]*FastenersPriceList34[[#This Row],[Rate / PER kg (₹)]]</f>
        <v>228.18299999999999</v>
      </c>
    </row>
    <row r="283" spans="1:13" ht="22.05" customHeight="1" x14ac:dyDescent="0.3">
      <c r="A283" s="2" t="s">
        <v>2031</v>
      </c>
      <c r="B283" s="12" t="s">
        <v>8</v>
      </c>
      <c r="C283" s="12">
        <v>10.9</v>
      </c>
      <c r="D283" s="2">
        <v>1708.75</v>
      </c>
      <c r="E283" s="2">
        <f>FastenersPriceList34[[#This Row],[1000 PCS/WT.]]/1000</f>
        <v>1.70875</v>
      </c>
      <c r="F283" s="2" t="s">
        <v>744</v>
      </c>
      <c r="G283" s="6" t="s">
        <v>1755</v>
      </c>
      <c r="H283" s="70">
        <v>50</v>
      </c>
      <c r="I283" s="72">
        <f>FastenersPriceList34[[#This Row],[Quantity (kg)]]/FastenersPriceList34[[#This Row],[SINGLE PC. WT.]]</f>
        <v>29.261155815654718</v>
      </c>
      <c r="J283" s="3">
        <v>138</v>
      </c>
      <c r="K283" s="3">
        <f>FastenersPriceList34[[#This Row],[1000 PCS/WT.]]*FastenersPriceList34[[#This Row],[Rate / PER kg (₹)]]</f>
        <v>235807.5</v>
      </c>
      <c r="L283" s="4">
        <f>FastenersPriceList34[[#This Row],[Rate / PER kg (₹)]]*FastenersPriceList34[[#This Row],[Quantity (kg)]]</f>
        <v>6900</v>
      </c>
      <c r="M283" s="4">
        <f>FastenersPriceList34[[#This Row],[SINGLE PC. WT.]]*FastenersPriceList34[[#This Row],[Rate / PER kg (₹)]]</f>
        <v>235.8075</v>
      </c>
    </row>
    <row r="284" spans="1:13" ht="22.05" customHeight="1" x14ac:dyDescent="0.3">
      <c r="A284" s="2" t="s">
        <v>2032</v>
      </c>
      <c r="B284" s="12" t="s">
        <v>8</v>
      </c>
      <c r="C284" s="12">
        <v>10.9</v>
      </c>
      <c r="D284" s="2">
        <v>1764</v>
      </c>
      <c r="E284" s="2">
        <f>FastenersPriceList34[[#This Row],[1000 PCS/WT.]]/1000</f>
        <v>1.764</v>
      </c>
      <c r="F284" s="2" t="s">
        <v>745</v>
      </c>
      <c r="G284" s="6" t="s">
        <v>1755</v>
      </c>
      <c r="H284" s="70">
        <v>50</v>
      </c>
      <c r="I284" s="72">
        <f>FastenersPriceList34[[#This Row],[Quantity (kg)]]/FastenersPriceList34[[#This Row],[SINGLE PC. WT.]]</f>
        <v>28.344671201814059</v>
      </c>
      <c r="J284" s="3">
        <v>138</v>
      </c>
      <c r="K284" s="3">
        <f>FastenersPriceList34[[#This Row],[1000 PCS/WT.]]*FastenersPriceList34[[#This Row],[Rate / PER kg (₹)]]</f>
        <v>243432</v>
      </c>
      <c r="L284" s="4">
        <f>FastenersPriceList34[[#This Row],[Rate / PER kg (₹)]]*FastenersPriceList34[[#This Row],[Quantity (kg)]]</f>
        <v>6900</v>
      </c>
      <c r="M284" s="4">
        <f>FastenersPriceList34[[#This Row],[SINGLE PC. WT.]]*FastenersPriceList34[[#This Row],[Rate / PER kg (₹)]]</f>
        <v>243.43199999999999</v>
      </c>
    </row>
    <row r="285" spans="1:13" ht="22.05" customHeight="1" x14ac:dyDescent="0.3">
      <c r="A285" s="2" t="s">
        <v>2033</v>
      </c>
      <c r="B285" s="12" t="s">
        <v>8</v>
      </c>
      <c r="C285" s="12">
        <v>10.9</v>
      </c>
      <c r="D285" s="2">
        <v>1819.25</v>
      </c>
      <c r="E285" s="2">
        <f>FastenersPriceList34[[#This Row],[1000 PCS/WT.]]/1000</f>
        <v>1.81925</v>
      </c>
      <c r="F285" s="2" t="s">
        <v>746</v>
      </c>
      <c r="G285" s="6" t="s">
        <v>1755</v>
      </c>
      <c r="H285" s="70">
        <v>50</v>
      </c>
      <c r="I285" s="72">
        <f>FastenersPriceList34[[#This Row],[Quantity (kg)]]/FastenersPriceList34[[#This Row],[SINGLE PC. WT.]]</f>
        <v>27.48385323622372</v>
      </c>
      <c r="J285" s="3">
        <v>138</v>
      </c>
      <c r="K285" s="3">
        <f>FastenersPriceList34[[#This Row],[1000 PCS/WT.]]*FastenersPriceList34[[#This Row],[Rate / PER kg (₹)]]</f>
        <v>251056.5</v>
      </c>
      <c r="L285" s="4">
        <f>FastenersPriceList34[[#This Row],[Rate / PER kg (₹)]]*FastenersPriceList34[[#This Row],[Quantity (kg)]]</f>
        <v>6900</v>
      </c>
      <c r="M285" s="4">
        <f>FastenersPriceList34[[#This Row],[SINGLE PC. WT.]]*FastenersPriceList34[[#This Row],[Rate / PER kg (₹)]]</f>
        <v>251.0565</v>
      </c>
    </row>
    <row r="286" spans="1:13" ht="22.05" customHeight="1" x14ac:dyDescent="0.3">
      <c r="A286" s="2" t="s">
        <v>2034</v>
      </c>
      <c r="B286" s="12" t="s">
        <v>8</v>
      </c>
      <c r="C286" s="12">
        <v>10.9</v>
      </c>
      <c r="D286" s="2">
        <v>1874.5</v>
      </c>
      <c r="E286" s="2">
        <f>FastenersPriceList34[[#This Row],[1000 PCS/WT.]]/1000</f>
        <v>1.8745000000000001</v>
      </c>
      <c r="F286" s="2" t="s">
        <v>747</v>
      </c>
      <c r="G286" s="6" t="s">
        <v>1755</v>
      </c>
      <c r="H286" s="70">
        <v>50</v>
      </c>
      <c r="I286" s="72">
        <f>FastenersPriceList34[[#This Row],[Quantity (kg)]]/FastenersPriceList34[[#This Row],[SINGLE PC. WT.]]</f>
        <v>26.673779674579887</v>
      </c>
      <c r="J286" s="3">
        <v>138</v>
      </c>
      <c r="K286" s="3">
        <f>FastenersPriceList34[[#This Row],[1000 PCS/WT.]]*FastenersPriceList34[[#This Row],[Rate / PER kg (₹)]]</f>
        <v>258681</v>
      </c>
      <c r="L286" s="4">
        <f>FastenersPriceList34[[#This Row],[Rate / PER kg (₹)]]*FastenersPriceList34[[#This Row],[Quantity (kg)]]</f>
        <v>6900</v>
      </c>
      <c r="M286" s="4">
        <f>FastenersPriceList34[[#This Row],[SINGLE PC. WT.]]*FastenersPriceList34[[#This Row],[Rate / PER kg (₹)]]</f>
        <v>258.68099999999998</v>
      </c>
    </row>
    <row r="287" spans="1:13" ht="22.05" customHeight="1" x14ac:dyDescent="0.3">
      <c r="A287" s="2" t="s">
        <v>2035</v>
      </c>
      <c r="B287" s="12" t="s">
        <v>8</v>
      </c>
      <c r="C287" s="12">
        <v>10.9</v>
      </c>
      <c r="D287" s="2">
        <v>592</v>
      </c>
      <c r="E287" s="2">
        <f>FastenersPriceList34[[#This Row],[1000 PCS/WT.]]/1000</f>
        <v>0.59199999999999997</v>
      </c>
      <c r="F287" s="2" t="s">
        <v>748</v>
      </c>
      <c r="G287" s="6" t="s">
        <v>1755</v>
      </c>
      <c r="H287" s="70">
        <v>50</v>
      </c>
      <c r="I287" s="72">
        <f>FastenersPriceList34[[#This Row],[Quantity (kg)]]/FastenersPriceList34[[#This Row],[SINGLE PC. WT.]]</f>
        <v>84.459459459459467</v>
      </c>
      <c r="J287" s="3">
        <v>130</v>
      </c>
      <c r="K287" s="3">
        <f>FastenersPriceList34[[#This Row],[1000 PCS/WT.]]*FastenersPriceList34[[#This Row],[Rate / PER kg (₹)]]</f>
        <v>76960</v>
      </c>
      <c r="L287" s="4">
        <f>FastenersPriceList34[[#This Row],[Rate / PER kg (₹)]]*FastenersPriceList34[[#This Row],[Quantity (kg)]]</f>
        <v>6500</v>
      </c>
      <c r="M287" s="4">
        <f>FastenersPriceList34[[#This Row],[SINGLE PC. WT.]]*FastenersPriceList34[[#This Row],[Rate / PER kg (₹)]]</f>
        <v>76.959999999999994</v>
      </c>
    </row>
    <row r="288" spans="1:13" ht="22.05" customHeight="1" x14ac:dyDescent="0.3">
      <c r="A288" s="2" t="s">
        <v>2036</v>
      </c>
      <c r="B288" s="12" t="s">
        <v>8</v>
      </c>
      <c r="C288" s="12">
        <v>10.9</v>
      </c>
      <c r="D288" s="2">
        <v>620</v>
      </c>
      <c r="E288" s="2">
        <f>FastenersPriceList34[[#This Row],[1000 PCS/WT.]]/1000</f>
        <v>0.62</v>
      </c>
      <c r="F288" s="2" t="s">
        <v>749</v>
      </c>
      <c r="G288" s="6" t="s">
        <v>1755</v>
      </c>
      <c r="H288" s="70">
        <v>50</v>
      </c>
      <c r="I288" s="72">
        <f>FastenersPriceList34[[#This Row],[Quantity (kg)]]/FastenersPriceList34[[#This Row],[SINGLE PC. WT.]]</f>
        <v>80.645161290322577</v>
      </c>
      <c r="J288" s="3">
        <v>130</v>
      </c>
      <c r="K288" s="3">
        <f>FastenersPriceList34[[#This Row],[1000 PCS/WT.]]*FastenersPriceList34[[#This Row],[Rate / PER kg (₹)]]</f>
        <v>80600</v>
      </c>
      <c r="L288" s="4">
        <f>FastenersPriceList34[[#This Row],[Rate / PER kg (₹)]]*FastenersPriceList34[[#This Row],[Quantity (kg)]]</f>
        <v>6500</v>
      </c>
      <c r="M288" s="4">
        <f>FastenersPriceList34[[#This Row],[SINGLE PC. WT.]]*FastenersPriceList34[[#This Row],[Rate / PER kg (₹)]]</f>
        <v>80.599999999999994</v>
      </c>
    </row>
    <row r="289" spans="1:13" ht="22.05" customHeight="1" x14ac:dyDescent="0.3">
      <c r="A289" s="2" t="s">
        <v>2037</v>
      </c>
      <c r="B289" s="12" t="s">
        <v>8</v>
      </c>
      <c r="C289" s="12">
        <v>10.9</v>
      </c>
      <c r="D289" s="2">
        <v>648</v>
      </c>
      <c r="E289" s="2">
        <f>FastenersPriceList34[[#This Row],[1000 PCS/WT.]]/1000</f>
        <v>0.64800000000000002</v>
      </c>
      <c r="F289" s="2" t="s">
        <v>750</v>
      </c>
      <c r="G289" s="6" t="s">
        <v>1755</v>
      </c>
      <c r="H289" s="70">
        <v>50</v>
      </c>
      <c r="I289" s="72">
        <f>FastenersPriceList34[[#This Row],[Quantity (kg)]]/FastenersPriceList34[[#This Row],[SINGLE PC. WT.]]</f>
        <v>77.160493827160494</v>
      </c>
      <c r="J289" s="3">
        <v>130</v>
      </c>
      <c r="K289" s="3">
        <f>FastenersPriceList34[[#This Row],[1000 PCS/WT.]]*FastenersPriceList34[[#This Row],[Rate / PER kg (₹)]]</f>
        <v>84240</v>
      </c>
      <c r="L289" s="4">
        <f>FastenersPriceList34[[#This Row],[Rate / PER kg (₹)]]*FastenersPriceList34[[#This Row],[Quantity (kg)]]</f>
        <v>6500</v>
      </c>
      <c r="M289" s="4">
        <f>FastenersPriceList34[[#This Row],[SINGLE PC. WT.]]*FastenersPriceList34[[#This Row],[Rate / PER kg (₹)]]</f>
        <v>84.240000000000009</v>
      </c>
    </row>
    <row r="290" spans="1:13" ht="22.05" customHeight="1" x14ac:dyDescent="0.3">
      <c r="A290" s="2" t="s">
        <v>2038</v>
      </c>
      <c r="B290" s="12" t="s">
        <v>8</v>
      </c>
      <c r="C290" s="12">
        <v>10.9</v>
      </c>
      <c r="D290" s="2">
        <v>676</v>
      </c>
      <c r="E290" s="2">
        <f>FastenersPriceList34[[#This Row],[1000 PCS/WT.]]/1000</f>
        <v>0.67600000000000005</v>
      </c>
      <c r="F290" s="2" t="s">
        <v>751</v>
      </c>
      <c r="G290" s="6" t="s">
        <v>1755</v>
      </c>
      <c r="H290" s="70">
        <v>50</v>
      </c>
      <c r="I290" s="72">
        <f>FastenersPriceList34[[#This Row],[Quantity (kg)]]/FastenersPriceList34[[#This Row],[SINGLE PC. WT.]]</f>
        <v>73.964497041420117</v>
      </c>
      <c r="J290" s="3">
        <v>130</v>
      </c>
      <c r="K290" s="3">
        <f>FastenersPriceList34[[#This Row],[1000 PCS/WT.]]*FastenersPriceList34[[#This Row],[Rate / PER kg (₹)]]</f>
        <v>87880</v>
      </c>
      <c r="L290" s="4">
        <f>FastenersPriceList34[[#This Row],[Rate / PER kg (₹)]]*FastenersPriceList34[[#This Row],[Quantity (kg)]]</f>
        <v>6500</v>
      </c>
      <c r="M290" s="4">
        <f>FastenersPriceList34[[#This Row],[SINGLE PC. WT.]]*FastenersPriceList34[[#This Row],[Rate / PER kg (₹)]]</f>
        <v>87.88000000000001</v>
      </c>
    </row>
    <row r="291" spans="1:13" ht="22.05" customHeight="1" x14ac:dyDescent="0.3">
      <c r="A291" s="2" t="s">
        <v>2039</v>
      </c>
      <c r="B291" s="12" t="s">
        <v>8</v>
      </c>
      <c r="C291" s="12">
        <v>10.9</v>
      </c>
      <c r="D291" s="2">
        <v>704</v>
      </c>
      <c r="E291" s="2">
        <f>FastenersPriceList34[[#This Row],[1000 PCS/WT.]]/1000</f>
        <v>0.70399999999999996</v>
      </c>
      <c r="F291" s="2" t="s">
        <v>752</v>
      </c>
      <c r="G291" s="6" t="s">
        <v>1755</v>
      </c>
      <c r="H291" s="70">
        <v>50</v>
      </c>
      <c r="I291" s="72">
        <f>FastenersPriceList34[[#This Row],[Quantity (kg)]]/FastenersPriceList34[[#This Row],[SINGLE PC. WT.]]</f>
        <v>71.02272727272728</v>
      </c>
      <c r="J291" s="3">
        <v>130</v>
      </c>
      <c r="K291" s="3">
        <f>FastenersPriceList34[[#This Row],[1000 PCS/WT.]]*FastenersPriceList34[[#This Row],[Rate / PER kg (₹)]]</f>
        <v>91520</v>
      </c>
      <c r="L291" s="4">
        <f>FastenersPriceList34[[#This Row],[Rate / PER kg (₹)]]*FastenersPriceList34[[#This Row],[Quantity (kg)]]</f>
        <v>6500</v>
      </c>
      <c r="M291" s="4">
        <f>FastenersPriceList34[[#This Row],[SINGLE PC. WT.]]*FastenersPriceList34[[#This Row],[Rate / PER kg (₹)]]</f>
        <v>91.52</v>
      </c>
    </row>
    <row r="292" spans="1:13" ht="22.05" customHeight="1" x14ac:dyDescent="0.3">
      <c r="A292" s="2" t="s">
        <v>2040</v>
      </c>
      <c r="B292" s="12" t="s">
        <v>8</v>
      </c>
      <c r="C292" s="12">
        <v>10.9</v>
      </c>
      <c r="D292" s="2">
        <v>732</v>
      </c>
      <c r="E292" s="2">
        <f>FastenersPriceList34[[#This Row],[1000 PCS/WT.]]/1000</f>
        <v>0.73199999999999998</v>
      </c>
      <c r="F292" s="2" t="s">
        <v>753</v>
      </c>
      <c r="G292" s="6" t="s">
        <v>1755</v>
      </c>
      <c r="H292" s="70">
        <v>50</v>
      </c>
      <c r="I292" s="72">
        <f>FastenersPriceList34[[#This Row],[Quantity (kg)]]/FastenersPriceList34[[#This Row],[SINGLE PC. WT.]]</f>
        <v>68.306010928961754</v>
      </c>
      <c r="J292" s="3">
        <v>130</v>
      </c>
      <c r="K292" s="3">
        <f>FastenersPriceList34[[#This Row],[1000 PCS/WT.]]*FastenersPriceList34[[#This Row],[Rate / PER kg (₹)]]</f>
        <v>95160</v>
      </c>
      <c r="L292" s="4">
        <f>FastenersPriceList34[[#This Row],[Rate / PER kg (₹)]]*FastenersPriceList34[[#This Row],[Quantity (kg)]]</f>
        <v>6500</v>
      </c>
      <c r="M292" s="4">
        <f>FastenersPriceList34[[#This Row],[SINGLE PC. WT.]]*FastenersPriceList34[[#This Row],[Rate / PER kg (₹)]]</f>
        <v>95.16</v>
      </c>
    </row>
    <row r="293" spans="1:13" ht="22.05" customHeight="1" x14ac:dyDescent="0.3">
      <c r="A293" s="2" t="s">
        <v>2041</v>
      </c>
      <c r="B293" s="12" t="s">
        <v>8</v>
      </c>
      <c r="C293" s="12">
        <v>10.9</v>
      </c>
      <c r="D293" s="2">
        <v>760</v>
      </c>
      <c r="E293" s="2">
        <f>FastenersPriceList34[[#This Row],[1000 PCS/WT.]]/1000</f>
        <v>0.76</v>
      </c>
      <c r="F293" s="2" t="s">
        <v>754</v>
      </c>
      <c r="G293" s="6" t="s">
        <v>1755</v>
      </c>
      <c r="H293" s="70">
        <v>50</v>
      </c>
      <c r="I293" s="72">
        <f>FastenersPriceList34[[#This Row],[Quantity (kg)]]/FastenersPriceList34[[#This Row],[SINGLE PC. WT.]]</f>
        <v>65.78947368421052</v>
      </c>
      <c r="J293" s="3">
        <v>130</v>
      </c>
      <c r="K293" s="3">
        <f>FastenersPriceList34[[#This Row],[1000 PCS/WT.]]*FastenersPriceList34[[#This Row],[Rate / PER kg (₹)]]</f>
        <v>98800</v>
      </c>
      <c r="L293" s="4">
        <f>FastenersPriceList34[[#This Row],[Rate / PER kg (₹)]]*FastenersPriceList34[[#This Row],[Quantity (kg)]]</f>
        <v>6500</v>
      </c>
      <c r="M293" s="4">
        <f>FastenersPriceList34[[#This Row],[SINGLE PC. WT.]]*FastenersPriceList34[[#This Row],[Rate / PER kg (₹)]]</f>
        <v>98.8</v>
      </c>
    </row>
    <row r="294" spans="1:13" ht="22.05" customHeight="1" x14ac:dyDescent="0.3">
      <c r="A294" s="2" t="s">
        <v>2042</v>
      </c>
      <c r="B294" s="12" t="s">
        <v>8</v>
      </c>
      <c r="C294" s="12">
        <v>10.9</v>
      </c>
      <c r="D294" s="2">
        <v>788</v>
      </c>
      <c r="E294" s="2">
        <f>FastenersPriceList34[[#This Row],[1000 PCS/WT.]]/1000</f>
        <v>0.78800000000000003</v>
      </c>
      <c r="F294" s="2" t="s">
        <v>755</v>
      </c>
      <c r="G294" s="6" t="s">
        <v>1755</v>
      </c>
      <c r="H294" s="70">
        <v>50</v>
      </c>
      <c r="I294" s="72">
        <f>FastenersPriceList34[[#This Row],[Quantity (kg)]]/FastenersPriceList34[[#This Row],[SINGLE PC. WT.]]</f>
        <v>63.451776649746193</v>
      </c>
      <c r="J294" s="3">
        <v>130</v>
      </c>
      <c r="K294" s="3">
        <f>FastenersPriceList34[[#This Row],[1000 PCS/WT.]]*FastenersPriceList34[[#This Row],[Rate / PER kg (₹)]]</f>
        <v>102440</v>
      </c>
      <c r="L294" s="4">
        <f>FastenersPriceList34[[#This Row],[Rate / PER kg (₹)]]*FastenersPriceList34[[#This Row],[Quantity (kg)]]</f>
        <v>6500</v>
      </c>
      <c r="M294" s="4">
        <f>FastenersPriceList34[[#This Row],[SINGLE PC. WT.]]*FastenersPriceList34[[#This Row],[Rate / PER kg (₹)]]</f>
        <v>102.44</v>
      </c>
    </row>
    <row r="295" spans="1:13" ht="22.05" customHeight="1" x14ac:dyDescent="0.3">
      <c r="A295" s="2" t="s">
        <v>2043</v>
      </c>
      <c r="B295" s="12" t="s">
        <v>8</v>
      </c>
      <c r="C295" s="12">
        <v>10.9</v>
      </c>
      <c r="D295" s="2">
        <v>821</v>
      </c>
      <c r="E295" s="2">
        <f>FastenersPriceList34[[#This Row],[1000 PCS/WT.]]/1000</f>
        <v>0.82099999999999995</v>
      </c>
      <c r="F295" s="2" t="s">
        <v>756</v>
      </c>
      <c r="G295" s="6" t="s">
        <v>1755</v>
      </c>
      <c r="H295" s="70">
        <v>50</v>
      </c>
      <c r="I295" s="72">
        <f>FastenersPriceList34[[#This Row],[Quantity (kg)]]/FastenersPriceList34[[#This Row],[SINGLE PC. WT.]]</f>
        <v>60.90133982947625</v>
      </c>
      <c r="J295" s="3">
        <v>130</v>
      </c>
      <c r="K295" s="3">
        <f>FastenersPriceList34[[#This Row],[1000 PCS/WT.]]*FastenersPriceList34[[#This Row],[Rate / PER kg (₹)]]</f>
        <v>106730</v>
      </c>
      <c r="L295" s="4">
        <f>FastenersPriceList34[[#This Row],[Rate / PER kg (₹)]]*FastenersPriceList34[[#This Row],[Quantity (kg)]]</f>
        <v>6500</v>
      </c>
      <c r="M295" s="4">
        <f>FastenersPriceList34[[#This Row],[SINGLE PC. WT.]]*FastenersPriceList34[[#This Row],[Rate / PER kg (₹)]]</f>
        <v>106.72999999999999</v>
      </c>
    </row>
    <row r="296" spans="1:13" ht="22.05" customHeight="1" x14ac:dyDescent="0.3">
      <c r="A296" s="2" t="s">
        <v>2044</v>
      </c>
      <c r="B296" s="12" t="s">
        <v>8</v>
      </c>
      <c r="C296" s="12">
        <v>10.9</v>
      </c>
      <c r="D296" s="2">
        <v>854</v>
      </c>
      <c r="E296" s="2">
        <f>FastenersPriceList34[[#This Row],[1000 PCS/WT.]]/1000</f>
        <v>0.85399999999999998</v>
      </c>
      <c r="F296" s="2" t="s">
        <v>757</v>
      </c>
      <c r="G296" s="6" t="s">
        <v>1755</v>
      </c>
      <c r="H296" s="70">
        <v>50</v>
      </c>
      <c r="I296" s="72">
        <f>FastenersPriceList34[[#This Row],[Quantity (kg)]]/FastenersPriceList34[[#This Row],[SINGLE PC. WT.]]</f>
        <v>58.548009367681502</v>
      </c>
      <c r="J296" s="3">
        <v>130</v>
      </c>
      <c r="K296" s="3">
        <f>FastenersPriceList34[[#This Row],[1000 PCS/WT.]]*FastenersPriceList34[[#This Row],[Rate / PER kg (₹)]]</f>
        <v>111020</v>
      </c>
      <c r="L296" s="4">
        <f>FastenersPriceList34[[#This Row],[Rate / PER kg (₹)]]*FastenersPriceList34[[#This Row],[Quantity (kg)]]</f>
        <v>6500</v>
      </c>
      <c r="M296" s="4">
        <f>FastenersPriceList34[[#This Row],[SINGLE PC. WT.]]*FastenersPriceList34[[#This Row],[Rate / PER kg (₹)]]</f>
        <v>111.02</v>
      </c>
    </row>
    <row r="297" spans="1:13" ht="22.05" customHeight="1" x14ac:dyDescent="0.3">
      <c r="A297" s="2" t="s">
        <v>2045</v>
      </c>
      <c r="B297" s="12" t="s">
        <v>8</v>
      </c>
      <c r="C297" s="12">
        <v>10.9</v>
      </c>
      <c r="D297" s="2">
        <v>887</v>
      </c>
      <c r="E297" s="2">
        <f>FastenersPriceList34[[#This Row],[1000 PCS/WT.]]/1000</f>
        <v>0.88700000000000001</v>
      </c>
      <c r="F297" s="2" t="s">
        <v>758</v>
      </c>
      <c r="G297" s="6" t="s">
        <v>1755</v>
      </c>
      <c r="H297" s="70">
        <v>50</v>
      </c>
      <c r="I297" s="72">
        <f>FastenersPriceList34[[#This Row],[Quantity (kg)]]/FastenersPriceList34[[#This Row],[SINGLE PC. WT.]]</f>
        <v>56.369785794813978</v>
      </c>
      <c r="J297" s="3">
        <v>130</v>
      </c>
      <c r="K297" s="3">
        <f>FastenersPriceList34[[#This Row],[1000 PCS/WT.]]*FastenersPriceList34[[#This Row],[Rate / PER kg (₹)]]</f>
        <v>115310</v>
      </c>
      <c r="L297" s="4">
        <f>FastenersPriceList34[[#This Row],[Rate / PER kg (₹)]]*FastenersPriceList34[[#This Row],[Quantity (kg)]]</f>
        <v>6500</v>
      </c>
      <c r="M297" s="4">
        <f>FastenersPriceList34[[#This Row],[SINGLE PC. WT.]]*FastenersPriceList34[[#This Row],[Rate / PER kg (₹)]]</f>
        <v>115.31</v>
      </c>
    </row>
    <row r="298" spans="1:13" ht="22.05" customHeight="1" x14ac:dyDescent="0.3">
      <c r="A298" s="2" t="s">
        <v>2046</v>
      </c>
      <c r="B298" s="12" t="s">
        <v>8</v>
      </c>
      <c r="C298" s="12">
        <v>10.9</v>
      </c>
      <c r="D298" s="2">
        <v>953</v>
      </c>
      <c r="E298" s="2">
        <f>FastenersPriceList34[[#This Row],[1000 PCS/WT.]]/1000</f>
        <v>0.95299999999999996</v>
      </c>
      <c r="F298" s="2" t="s">
        <v>759</v>
      </c>
      <c r="G298" s="6" t="s">
        <v>1755</v>
      </c>
      <c r="H298" s="70">
        <v>50</v>
      </c>
      <c r="I298" s="72">
        <f>FastenersPriceList34[[#This Row],[Quantity (kg)]]/FastenersPriceList34[[#This Row],[SINGLE PC. WT.]]</f>
        <v>52.465897166841557</v>
      </c>
      <c r="J298" s="3">
        <v>130</v>
      </c>
      <c r="K298" s="3">
        <f>FastenersPriceList34[[#This Row],[1000 PCS/WT.]]*FastenersPriceList34[[#This Row],[Rate / PER kg (₹)]]</f>
        <v>123890</v>
      </c>
      <c r="L298" s="4">
        <f>FastenersPriceList34[[#This Row],[Rate / PER kg (₹)]]*FastenersPriceList34[[#This Row],[Quantity (kg)]]</f>
        <v>6500</v>
      </c>
      <c r="M298" s="4">
        <f>FastenersPriceList34[[#This Row],[SINGLE PC. WT.]]*FastenersPriceList34[[#This Row],[Rate / PER kg (₹)]]</f>
        <v>123.89</v>
      </c>
    </row>
    <row r="299" spans="1:13" ht="22.05" customHeight="1" x14ac:dyDescent="0.3">
      <c r="A299" s="2" t="s">
        <v>2047</v>
      </c>
      <c r="B299" s="12" t="s">
        <v>8</v>
      </c>
      <c r="C299" s="12">
        <v>10.9</v>
      </c>
      <c r="D299" s="2">
        <v>1023</v>
      </c>
      <c r="E299" s="2">
        <f>FastenersPriceList34[[#This Row],[1000 PCS/WT.]]/1000</f>
        <v>1.0229999999999999</v>
      </c>
      <c r="F299" s="2" t="s">
        <v>760</v>
      </c>
      <c r="G299" s="6" t="s">
        <v>1755</v>
      </c>
      <c r="H299" s="70">
        <v>50</v>
      </c>
      <c r="I299" s="72">
        <f>FastenersPriceList34[[#This Row],[Quantity (kg)]]/FastenersPriceList34[[#This Row],[SINGLE PC. WT.]]</f>
        <v>48.875855327468237</v>
      </c>
      <c r="J299" s="3">
        <v>115</v>
      </c>
      <c r="K299" s="3">
        <f>FastenersPriceList34[[#This Row],[1000 PCS/WT.]]*FastenersPriceList34[[#This Row],[Rate / PER kg (₹)]]</f>
        <v>117645</v>
      </c>
      <c r="L299" s="4">
        <f>FastenersPriceList34[[#This Row],[Rate / PER kg (₹)]]*FastenersPriceList34[[#This Row],[Quantity (kg)]]</f>
        <v>5750</v>
      </c>
      <c r="M299" s="4">
        <f>FastenersPriceList34[[#This Row],[SINGLE PC. WT.]]*FastenersPriceList34[[#This Row],[Rate / PER kg (₹)]]</f>
        <v>117.645</v>
      </c>
    </row>
    <row r="300" spans="1:13" ht="22.05" customHeight="1" x14ac:dyDescent="0.3">
      <c r="A300" s="2" t="s">
        <v>2048</v>
      </c>
      <c r="B300" s="12" t="s">
        <v>8</v>
      </c>
      <c r="C300" s="12">
        <v>10.9</v>
      </c>
      <c r="D300" s="2">
        <v>1093</v>
      </c>
      <c r="E300" s="2">
        <f>FastenersPriceList34[[#This Row],[1000 PCS/WT.]]/1000</f>
        <v>1.093</v>
      </c>
      <c r="F300" s="2" t="s">
        <v>761</v>
      </c>
      <c r="G300" s="6" t="s">
        <v>1755</v>
      </c>
      <c r="H300" s="70">
        <v>50</v>
      </c>
      <c r="I300" s="72">
        <f>FastenersPriceList34[[#This Row],[Quantity (kg)]]/FastenersPriceList34[[#This Row],[SINGLE PC. WT.]]</f>
        <v>45.745654162854528</v>
      </c>
      <c r="J300" s="3">
        <v>135</v>
      </c>
      <c r="K300" s="3">
        <f>FastenersPriceList34[[#This Row],[1000 PCS/WT.]]*FastenersPriceList34[[#This Row],[Rate / PER kg (₹)]]</f>
        <v>147555</v>
      </c>
      <c r="L300" s="4">
        <f>FastenersPriceList34[[#This Row],[Rate / PER kg (₹)]]*FastenersPriceList34[[#This Row],[Quantity (kg)]]</f>
        <v>6750</v>
      </c>
      <c r="M300" s="4">
        <f>FastenersPriceList34[[#This Row],[SINGLE PC. WT.]]*FastenersPriceList34[[#This Row],[Rate / PER kg (₹)]]</f>
        <v>147.55500000000001</v>
      </c>
    </row>
    <row r="301" spans="1:13" ht="22.05" customHeight="1" x14ac:dyDescent="0.3">
      <c r="A301" s="2" t="s">
        <v>2049</v>
      </c>
      <c r="B301" s="12" t="s">
        <v>8</v>
      </c>
      <c r="C301" s="12">
        <v>10.9</v>
      </c>
      <c r="D301" s="2">
        <v>1163</v>
      </c>
      <c r="E301" s="2">
        <f>FastenersPriceList34[[#This Row],[1000 PCS/WT.]]/1000</f>
        <v>1.163</v>
      </c>
      <c r="F301" s="2" t="s">
        <v>762</v>
      </c>
      <c r="G301" s="6" t="s">
        <v>1755</v>
      </c>
      <c r="H301" s="70">
        <v>50</v>
      </c>
      <c r="I301" s="72">
        <f>FastenersPriceList34[[#This Row],[Quantity (kg)]]/FastenersPriceList34[[#This Row],[SINGLE PC. WT.]]</f>
        <v>42.992261392949267</v>
      </c>
      <c r="J301" s="3">
        <v>135</v>
      </c>
      <c r="K301" s="3">
        <f>FastenersPriceList34[[#This Row],[1000 PCS/WT.]]*FastenersPriceList34[[#This Row],[Rate / PER kg (₹)]]</f>
        <v>157005</v>
      </c>
      <c r="L301" s="4">
        <f>FastenersPriceList34[[#This Row],[Rate / PER kg (₹)]]*FastenersPriceList34[[#This Row],[Quantity (kg)]]</f>
        <v>6750</v>
      </c>
      <c r="M301" s="4">
        <f>FastenersPriceList34[[#This Row],[SINGLE PC. WT.]]*FastenersPriceList34[[#This Row],[Rate / PER kg (₹)]]</f>
        <v>157.005</v>
      </c>
    </row>
    <row r="302" spans="1:13" ht="22.05" customHeight="1" x14ac:dyDescent="0.3">
      <c r="A302" s="2" t="s">
        <v>2050</v>
      </c>
      <c r="B302" s="12" t="s">
        <v>8</v>
      </c>
      <c r="C302" s="12">
        <v>10.9</v>
      </c>
      <c r="D302" s="2">
        <v>1233</v>
      </c>
      <c r="E302" s="2">
        <f>FastenersPriceList34[[#This Row],[1000 PCS/WT.]]/1000</f>
        <v>1.2330000000000001</v>
      </c>
      <c r="F302" s="2" t="s">
        <v>763</v>
      </c>
      <c r="G302" s="6" t="s">
        <v>1755</v>
      </c>
      <c r="H302" s="70">
        <v>50</v>
      </c>
      <c r="I302" s="72">
        <f>FastenersPriceList34[[#This Row],[Quantity (kg)]]/FastenersPriceList34[[#This Row],[SINGLE PC. WT.]]</f>
        <v>40.551500405515</v>
      </c>
      <c r="J302" s="3">
        <v>135</v>
      </c>
      <c r="K302" s="3">
        <f>FastenersPriceList34[[#This Row],[1000 PCS/WT.]]*FastenersPriceList34[[#This Row],[Rate / PER kg (₹)]]</f>
        <v>166455</v>
      </c>
      <c r="L302" s="4">
        <f>FastenersPriceList34[[#This Row],[Rate / PER kg (₹)]]*FastenersPriceList34[[#This Row],[Quantity (kg)]]</f>
        <v>6750</v>
      </c>
      <c r="M302" s="4">
        <f>FastenersPriceList34[[#This Row],[SINGLE PC. WT.]]*FastenersPriceList34[[#This Row],[Rate / PER kg (₹)]]</f>
        <v>166.45500000000001</v>
      </c>
    </row>
    <row r="303" spans="1:13" ht="22.05" customHeight="1" x14ac:dyDescent="0.3">
      <c r="A303" s="2" t="s">
        <v>2051</v>
      </c>
      <c r="B303" s="12" t="s">
        <v>8</v>
      </c>
      <c r="C303" s="12">
        <v>10.9</v>
      </c>
      <c r="D303" s="2">
        <v>1303</v>
      </c>
      <c r="E303" s="2">
        <f>FastenersPriceList34[[#This Row],[1000 PCS/WT.]]/1000</f>
        <v>1.3029999999999999</v>
      </c>
      <c r="F303" s="2" t="s">
        <v>764</v>
      </c>
      <c r="G303" s="6" t="s">
        <v>1755</v>
      </c>
      <c r="H303" s="70">
        <v>50</v>
      </c>
      <c r="I303" s="72">
        <f>FastenersPriceList34[[#This Row],[Quantity (kg)]]/FastenersPriceList34[[#This Row],[SINGLE PC. WT.]]</f>
        <v>38.372985418265543</v>
      </c>
      <c r="J303" s="3">
        <v>135</v>
      </c>
      <c r="K303" s="3">
        <f>FastenersPriceList34[[#This Row],[1000 PCS/WT.]]*FastenersPriceList34[[#This Row],[Rate / PER kg (₹)]]</f>
        <v>175905</v>
      </c>
      <c r="L303" s="4">
        <f>FastenersPriceList34[[#This Row],[Rate / PER kg (₹)]]*FastenersPriceList34[[#This Row],[Quantity (kg)]]</f>
        <v>6750</v>
      </c>
      <c r="M303" s="4">
        <f>FastenersPriceList34[[#This Row],[SINGLE PC. WT.]]*FastenersPriceList34[[#This Row],[Rate / PER kg (₹)]]</f>
        <v>175.905</v>
      </c>
    </row>
    <row r="304" spans="1:13" ht="22.05" customHeight="1" x14ac:dyDescent="0.3">
      <c r="A304" s="2" t="s">
        <v>2052</v>
      </c>
      <c r="B304" s="12" t="s">
        <v>8</v>
      </c>
      <c r="C304" s="12">
        <v>10.9</v>
      </c>
      <c r="D304" s="2">
        <v>1373</v>
      </c>
      <c r="E304" s="2">
        <f>FastenersPriceList34[[#This Row],[1000 PCS/WT.]]/1000</f>
        <v>1.373</v>
      </c>
      <c r="F304" s="2" t="s">
        <v>765</v>
      </c>
      <c r="G304" s="6" t="s">
        <v>1755</v>
      </c>
      <c r="H304" s="70">
        <v>50</v>
      </c>
      <c r="I304" s="72">
        <f>FastenersPriceList34[[#This Row],[Quantity (kg)]]/FastenersPriceList34[[#This Row],[SINGLE PC. WT.]]</f>
        <v>36.416605972323381</v>
      </c>
      <c r="J304" s="3">
        <v>135</v>
      </c>
      <c r="K304" s="3">
        <f>FastenersPriceList34[[#This Row],[1000 PCS/WT.]]*FastenersPriceList34[[#This Row],[Rate / PER kg (₹)]]</f>
        <v>185355</v>
      </c>
      <c r="L304" s="4">
        <f>FastenersPriceList34[[#This Row],[Rate / PER kg (₹)]]*FastenersPriceList34[[#This Row],[Quantity (kg)]]</f>
        <v>6750</v>
      </c>
      <c r="M304" s="4">
        <f>FastenersPriceList34[[#This Row],[SINGLE PC. WT.]]*FastenersPriceList34[[#This Row],[Rate / PER kg (₹)]]</f>
        <v>185.35499999999999</v>
      </c>
    </row>
    <row r="305" spans="1:13" ht="22.05" customHeight="1" x14ac:dyDescent="0.3">
      <c r="A305" s="2" t="s">
        <v>2053</v>
      </c>
      <c r="B305" s="12" t="s">
        <v>8</v>
      </c>
      <c r="C305" s="12">
        <v>10.9</v>
      </c>
      <c r="D305" s="2">
        <v>1443</v>
      </c>
      <c r="E305" s="2">
        <f>FastenersPriceList34[[#This Row],[1000 PCS/WT.]]/1000</f>
        <v>1.4430000000000001</v>
      </c>
      <c r="F305" s="2" t="s">
        <v>766</v>
      </c>
      <c r="G305" s="6" t="s">
        <v>1755</v>
      </c>
      <c r="H305" s="70">
        <v>50</v>
      </c>
      <c r="I305" s="72">
        <f>FastenersPriceList34[[#This Row],[Quantity (kg)]]/FastenersPriceList34[[#This Row],[SINGLE PC. WT.]]</f>
        <v>34.650034650034648</v>
      </c>
      <c r="J305" s="3">
        <v>135</v>
      </c>
      <c r="K305" s="3">
        <f>FastenersPriceList34[[#This Row],[1000 PCS/WT.]]*FastenersPriceList34[[#This Row],[Rate / PER kg (₹)]]</f>
        <v>194805</v>
      </c>
      <c r="L305" s="4">
        <f>FastenersPriceList34[[#This Row],[Rate / PER kg (₹)]]*FastenersPriceList34[[#This Row],[Quantity (kg)]]</f>
        <v>6750</v>
      </c>
      <c r="M305" s="4">
        <f>FastenersPriceList34[[#This Row],[SINGLE PC. WT.]]*FastenersPriceList34[[#This Row],[Rate / PER kg (₹)]]</f>
        <v>194.80500000000001</v>
      </c>
    </row>
    <row r="306" spans="1:13" ht="22.05" customHeight="1" x14ac:dyDescent="0.3">
      <c r="A306" s="2" t="s">
        <v>2054</v>
      </c>
      <c r="B306" s="12" t="s">
        <v>8</v>
      </c>
      <c r="C306" s="12">
        <v>10.9</v>
      </c>
      <c r="D306" s="2">
        <v>1513</v>
      </c>
      <c r="E306" s="2">
        <f>FastenersPriceList34[[#This Row],[1000 PCS/WT.]]/1000</f>
        <v>1.5129999999999999</v>
      </c>
      <c r="F306" s="2" t="s">
        <v>767</v>
      </c>
      <c r="G306" s="6" t="s">
        <v>1755</v>
      </c>
      <c r="H306" s="70">
        <v>50</v>
      </c>
      <c r="I306" s="72">
        <f>FastenersPriceList34[[#This Row],[Quantity (kg)]]/FastenersPriceList34[[#This Row],[SINGLE PC. WT.]]</f>
        <v>33.046926635822871</v>
      </c>
      <c r="J306" s="3">
        <v>135</v>
      </c>
      <c r="K306" s="3">
        <f>FastenersPriceList34[[#This Row],[1000 PCS/WT.]]*FastenersPriceList34[[#This Row],[Rate / PER kg (₹)]]</f>
        <v>204255</v>
      </c>
      <c r="L306" s="4">
        <f>FastenersPriceList34[[#This Row],[Rate / PER kg (₹)]]*FastenersPriceList34[[#This Row],[Quantity (kg)]]</f>
        <v>6750</v>
      </c>
      <c r="M306" s="4">
        <f>FastenersPriceList34[[#This Row],[SINGLE PC. WT.]]*FastenersPriceList34[[#This Row],[Rate / PER kg (₹)]]</f>
        <v>204.255</v>
      </c>
    </row>
    <row r="307" spans="1:13" ht="22.05" customHeight="1" x14ac:dyDescent="0.3">
      <c r="A307" s="2" t="s">
        <v>2055</v>
      </c>
      <c r="B307" s="12" t="s">
        <v>8</v>
      </c>
      <c r="C307" s="12">
        <v>10.9</v>
      </c>
      <c r="D307" s="2">
        <v>1583</v>
      </c>
      <c r="E307" s="2">
        <f>FastenersPriceList34[[#This Row],[1000 PCS/WT.]]/1000</f>
        <v>1.583</v>
      </c>
      <c r="F307" s="2" t="s">
        <v>768</v>
      </c>
      <c r="G307" s="6" t="s">
        <v>1755</v>
      </c>
      <c r="H307" s="70">
        <v>50</v>
      </c>
      <c r="I307" s="72">
        <f>FastenersPriceList34[[#This Row],[Quantity (kg)]]/FastenersPriceList34[[#This Row],[SINGLE PC. WT.]]</f>
        <v>31.585596967782692</v>
      </c>
      <c r="J307" s="3">
        <v>135</v>
      </c>
      <c r="K307" s="3">
        <f>FastenersPriceList34[[#This Row],[1000 PCS/WT.]]*FastenersPriceList34[[#This Row],[Rate / PER kg (₹)]]</f>
        <v>213705</v>
      </c>
      <c r="L307" s="4">
        <f>FastenersPriceList34[[#This Row],[Rate / PER kg (₹)]]*FastenersPriceList34[[#This Row],[Quantity (kg)]]</f>
        <v>6750</v>
      </c>
      <c r="M307" s="4">
        <f>FastenersPriceList34[[#This Row],[SINGLE PC. WT.]]*FastenersPriceList34[[#This Row],[Rate / PER kg (₹)]]</f>
        <v>213.70499999999998</v>
      </c>
    </row>
    <row r="308" spans="1:13" ht="22.05" customHeight="1" x14ac:dyDescent="0.3">
      <c r="A308" s="2" t="s">
        <v>2056</v>
      </c>
      <c r="B308" s="12" t="s">
        <v>8</v>
      </c>
      <c r="C308" s="12">
        <v>10.9</v>
      </c>
      <c r="D308" s="2">
        <v>1653</v>
      </c>
      <c r="E308" s="2">
        <f>FastenersPriceList34[[#This Row],[1000 PCS/WT.]]/1000</f>
        <v>1.653</v>
      </c>
      <c r="F308" s="2" t="s">
        <v>769</v>
      </c>
      <c r="G308" s="6" t="s">
        <v>1755</v>
      </c>
      <c r="H308" s="70">
        <v>50</v>
      </c>
      <c r="I308" s="72">
        <f>FastenersPriceList34[[#This Row],[Quantity (kg)]]/FastenersPriceList34[[#This Row],[SINGLE PC. WT.]]</f>
        <v>30.248033877797944</v>
      </c>
      <c r="J308" s="3">
        <v>135</v>
      </c>
      <c r="K308" s="3">
        <f>FastenersPriceList34[[#This Row],[1000 PCS/WT.]]*FastenersPriceList34[[#This Row],[Rate / PER kg (₹)]]</f>
        <v>223155</v>
      </c>
      <c r="L308" s="4">
        <f>FastenersPriceList34[[#This Row],[Rate / PER kg (₹)]]*FastenersPriceList34[[#This Row],[Quantity (kg)]]</f>
        <v>6750</v>
      </c>
      <c r="M308" s="4">
        <f>FastenersPriceList34[[#This Row],[SINGLE PC. WT.]]*FastenersPriceList34[[#This Row],[Rate / PER kg (₹)]]</f>
        <v>223.155</v>
      </c>
    </row>
    <row r="309" spans="1:13" ht="22.05" customHeight="1" x14ac:dyDescent="0.3">
      <c r="A309" s="2" t="s">
        <v>2057</v>
      </c>
      <c r="B309" s="12" t="s">
        <v>8</v>
      </c>
      <c r="C309" s="12">
        <v>10.9</v>
      </c>
      <c r="D309" s="2">
        <v>1723</v>
      </c>
      <c r="E309" s="2">
        <f>FastenersPriceList34[[#This Row],[1000 PCS/WT.]]/1000</f>
        <v>1.7230000000000001</v>
      </c>
      <c r="F309" s="2" t="s">
        <v>770</v>
      </c>
      <c r="G309" s="6" t="s">
        <v>1755</v>
      </c>
      <c r="H309" s="70">
        <v>50</v>
      </c>
      <c r="I309" s="72">
        <f>FastenersPriceList34[[#This Row],[Quantity (kg)]]/FastenersPriceList34[[#This Row],[SINGLE PC. WT.]]</f>
        <v>29.019152640742888</v>
      </c>
      <c r="J309" s="3">
        <v>138</v>
      </c>
      <c r="K309" s="3">
        <f>FastenersPriceList34[[#This Row],[1000 PCS/WT.]]*FastenersPriceList34[[#This Row],[Rate / PER kg (₹)]]</f>
        <v>237774</v>
      </c>
      <c r="L309" s="4">
        <f>FastenersPriceList34[[#This Row],[Rate / PER kg (₹)]]*FastenersPriceList34[[#This Row],[Quantity (kg)]]</f>
        <v>6900</v>
      </c>
      <c r="M309" s="4">
        <f>FastenersPriceList34[[#This Row],[SINGLE PC. WT.]]*FastenersPriceList34[[#This Row],[Rate / PER kg (₹)]]</f>
        <v>237.774</v>
      </c>
    </row>
    <row r="310" spans="1:13" ht="22.05" customHeight="1" x14ac:dyDescent="0.3">
      <c r="A310" s="2" t="s">
        <v>2058</v>
      </c>
      <c r="B310" s="12" t="s">
        <v>8</v>
      </c>
      <c r="C310" s="12">
        <v>10.9</v>
      </c>
      <c r="D310" s="2">
        <v>1793</v>
      </c>
      <c r="E310" s="2">
        <f>FastenersPriceList34[[#This Row],[1000 PCS/WT.]]/1000</f>
        <v>1.7929999999999999</v>
      </c>
      <c r="F310" s="2" t="s">
        <v>771</v>
      </c>
      <c r="G310" s="6" t="s">
        <v>1755</v>
      </c>
      <c r="H310" s="70">
        <v>50</v>
      </c>
      <c r="I310" s="72">
        <f>FastenersPriceList34[[#This Row],[Quantity (kg)]]/FastenersPriceList34[[#This Row],[SINGLE PC. WT.]]</f>
        <v>27.886224205242613</v>
      </c>
      <c r="J310" s="3">
        <v>138</v>
      </c>
      <c r="K310" s="3">
        <f>FastenersPriceList34[[#This Row],[1000 PCS/WT.]]*FastenersPriceList34[[#This Row],[Rate / PER kg (₹)]]</f>
        <v>247434</v>
      </c>
      <c r="L310" s="4">
        <f>FastenersPriceList34[[#This Row],[Rate / PER kg (₹)]]*FastenersPriceList34[[#This Row],[Quantity (kg)]]</f>
        <v>6900</v>
      </c>
      <c r="M310" s="4">
        <f>FastenersPriceList34[[#This Row],[SINGLE PC. WT.]]*FastenersPriceList34[[#This Row],[Rate / PER kg (₹)]]</f>
        <v>247.434</v>
      </c>
    </row>
    <row r="311" spans="1:13" ht="22.05" customHeight="1" x14ac:dyDescent="0.3">
      <c r="A311" s="2" t="s">
        <v>2059</v>
      </c>
      <c r="B311" s="12" t="s">
        <v>8</v>
      </c>
      <c r="C311" s="12">
        <v>10.9</v>
      </c>
      <c r="D311" s="2">
        <v>1863</v>
      </c>
      <c r="E311" s="2">
        <f>FastenersPriceList34[[#This Row],[1000 PCS/WT.]]/1000</f>
        <v>1.863</v>
      </c>
      <c r="F311" s="2" t="s">
        <v>772</v>
      </c>
      <c r="G311" s="6" t="s">
        <v>1755</v>
      </c>
      <c r="H311" s="70">
        <v>50</v>
      </c>
      <c r="I311" s="72">
        <f>FastenersPriceList34[[#This Row],[Quantity (kg)]]/FastenersPriceList34[[#This Row],[SINGLE PC. WT.]]</f>
        <v>26.838432635534083</v>
      </c>
      <c r="J311" s="3">
        <v>138</v>
      </c>
      <c r="K311" s="3">
        <f>FastenersPriceList34[[#This Row],[1000 PCS/WT.]]*FastenersPriceList34[[#This Row],[Rate / PER kg (₹)]]</f>
        <v>257094</v>
      </c>
      <c r="L311" s="4">
        <f>FastenersPriceList34[[#This Row],[Rate / PER kg (₹)]]*FastenersPriceList34[[#This Row],[Quantity (kg)]]</f>
        <v>6900</v>
      </c>
      <c r="M311" s="4">
        <f>FastenersPriceList34[[#This Row],[SINGLE PC. WT.]]*FastenersPriceList34[[#This Row],[Rate / PER kg (₹)]]</f>
        <v>257.09399999999999</v>
      </c>
    </row>
    <row r="312" spans="1:13" ht="22.05" customHeight="1" x14ac:dyDescent="0.3">
      <c r="A312" s="2" t="s">
        <v>2060</v>
      </c>
      <c r="B312" s="12" t="s">
        <v>8</v>
      </c>
      <c r="C312" s="12">
        <v>10.9</v>
      </c>
      <c r="D312" s="2">
        <v>1933</v>
      </c>
      <c r="E312" s="2">
        <f>FastenersPriceList34[[#This Row],[1000 PCS/WT.]]/1000</f>
        <v>1.9330000000000001</v>
      </c>
      <c r="F312" s="2" t="s">
        <v>773</v>
      </c>
      <c r="G312" s="6" t="s">
        <v>1755</v>
      </c>
      <c r="H312" s="70">
        <v>50</v>
      </c>
      <c r="I312" s="72">
        <f>FastenersPriceList34[[#This Row],[Quantity (kg)]]/FastenersPriceList34[[#This Row],[SINGLE PC. WT.]]</f>
        <v>25.866528711846868</v>
      </c>
      <c r="J312" s="3">
        <v>138</v>
      </c>
      <c r="K312" s="3">
        <f>FastenersPriceList34[[#This Row],[1000 PCS/WT.]]*FastenersPriceList34[[#This Row],[Rate / PER kg (₹)]]</f>
        <v>266754</v>
      </c>
      <c r="L312" s="4">
        <f>FastenersPriceList34[[#This Row],[Rate / PER kg (₹)]]*FastenersPriceList34[[#This Row],[Quantity (kg)]]</f>
        <v>6900</v>
      </c>
      <c r="M312" s="4">
        <f>FastenersPriceList34[[#This Row],[SINGLE PC. WT.]]*FastenersPriceList34[[#This Row],[Rate / PER kg (₹)]]</f>
        <v>266.75400000000002</v>
      </c>
    </row>
    <row r="313" spans="1:13" ht="22.05" customHeight="1" x14ac:dyDescent="0.3">
      <c r="A313" s="2" t="s">
        <v>2061</v>
      </c>
      <c r="B313" s="12" t="s">
        <v>8</v>
      </c>
      <c r="C313" s="12">
        <v>10.9</v>
      </c>
      <c r="D313" s="2">
        <v>2003</v>
      </c>
      <c r="E313" s="2">
        <f>FastenersPriceList34[[#This Row],[1000 PCS/WT.]]/1000</f>
        <v>2.0030000000000001</v>
      </c>
      <c r="F313" s="2" t="s">
        <v>774</v>
      </c>
      <c r="G313" s="6" t="s">
        <v>1755</v>
      </c>
      <c r="H313" s="70">
        <v>50</v>
      </c>
      <c r="I313" s="72">
        <f>FastenersPriceList34[[#This Row],[Quantity (kg)]]/FastenersPriceList34[[#This Row],[SINGLE PC. WT.]]</f>
        <v>24.962556165751373</v>
      </c>
      <c r="J313" s="3">
        <v>138</v>
      </c>
      <c r="K313" s="3">
        <f>FastenersPriceList34[[#This Row],[1000 PCS/WT.]]*FastenersPriceList34[[#This Row],[Rate / PER kg (₹)]]</f>
        <v>276414</v>
      </c>
      <c r="L313" s="4">
        <f>FastenersPriceList34[[#This Row],[Rate / PER kg (₹)]]*FastenersPriceList34[[#This Row],[Quantity (kg)]]</f>
        <v>6900</v>
      </c>
      <c r="M313" s="4">
        <f>FastenersPriceList34[[#This Row],[SINGLE PC. WT.]]*FastenersPriceList34[[#This Row],[Rate / PER kg (₹)]]</f>
        <v>276.41399999999999</v>
      </c>
    </row>
    <row r="314" spans="1:13" ht="22.05" customHeight="1" x14ac:dyDescent="0.3">
      <c r="A314" s="2" t="s">
        <v>2062</v>
      </c>
      <c r="B314" s="12" t="s">
        <v>8</v>
      </c>
      <c r="C314" s="12">
        <v>10.9</v>
      </c>
      <c r="D314" s="2">
        <v>2073</v>
      </c>
      <c r="E314" s="2">
        <f>FastenersPriceList34[[#This Row],[1000 PCS/WT.]]/1000</f>
        <v>2.073</v>
      </c>
      <c r="F314" s="2" t="s">
        <v>775</v>
      </c>
      <c r="G314" s="6" t="s">
        <v>1755</v>
      </c>
      <c r="H314" s="70">
        <v>50</v>
      </c>
      <c r="I314" s="72">
        <f>FastenersPriceList34[[#This Row],[Quantity (kg)]]/FastenersPriceList34[[#This Row],[SINGLE PC. WT.]]</f>
        <v>24.119633381572601</v>
      </c>
      <c r="J314" s="3">
        <v>138</v>
      </c>
      <c r="K314" s="3">
        <f>FastenersPriceList34[[#This Row],[1000 PCS/WT.]]*FastenersPriceList34[[#This Row],[Rate / PER kg (₹)]]</f>
        <v>286074</v>
      </c>
      <c r="L314" s="4">
        <f>FastenersPriceList34[[#This Row],[Rate / PER kg (₹)]]*FastenersPriceList34[[#This Row],[Quantity (kg)]]</f>
        <v>6900</v>
      </c>
      <c r="M314" s="4">
        <f>FastenersPriceList34[[#This Row],[SINGLE PC. WT.]]*FastenersPriceList34[[#This Row],[Rate / PER kg (₹)]]</f>
        <v>286.07400000000001</v>
      </c>
    </row>
    <row r="315" spans="1:13" ht="22.05" customHeight="1" x14ac:dyDescent="0.3">
      <c r="A315" s="2" t="s">
        <v>2063</v>
      </c>
      <c r="B315" s="12" t="s">
        <v>8</v>
      </c>
      <c r="C315" s="12">
        <v>10.9</v>
      </c>
      <c r="D315" s="2">
        <v>2143</v>
      </c>
      <c r="E315" s="2">
        <f>FastenersPriceList34[[#This Row],[1000 PCS/WT.]]/1000</f>
        <v>2.1429999999999998</v>
      </c>
      <c r="F315" s="2" t="s">
        <v>776</v>
      </c>
      <c r="G315" s="6" t="s">
        <v>1755</v>
      </c>
      <c r="H315" s="70">
        <v>50</v>
      </c>
      <c r="I315" s="72">
        <f>FastenersPriceList34[[#This Row],[Quantity (kg)]]/FastenersPriceList34[[#This Row],[SINGLE PC. WT.]]</f>
        <v>23.331777881474572</v>
      </c>
      <c r="J315" s="3">
        <v>138</v>
      </c>
      <c r="K315" s="3">
        <f>FastenersPriceList34[[#This Row],[1000 PCS/WT.]]*FastenersPriceList34[[#This Row],[Rate / PER kg (₹)]]</f>
        <v>295734</v>
      </c>
      <c r="L315" s="4">
        <f>FastenersPriceList34[[#This Row],[Rate / PER kg (₹)]]*FastenersPriceList34[[#This Row],[Quantity (kg)]]</f>
        <v>6900</v>
      </c>
      <c r="M315" s="4">
        <f>FastenersPriceList34[[#This Row],[SINGLE PC. WT.]]*FastenersPriceList34[[#This Row],[Rate / PER kg (₹)]]</f>
        <v>295.73399999999998</v>
      </c>
    </row>
    <row r="316" spans="1:13" ht="22.05" customHeight="1" x14ac:dyDescent="0.3">
      <c r="A316" s="2" t="s">
        <v>2064</v>
      </c>
      <c r="B316" s="12" t="s">
        <v>8</v>
      </c>
      <c r="C316" s="12">
        <v>10.9</v>
      </c>
      <c r="D316" s="2">
        <v>2213</v>
      </c>
      <c r="E316" s="2">
        <f>FastenersPriceList34[[#This Row],[1000 PCS/WT.]]/1000</f>
        <v>2.2130000000000001</v>
      </c>
      <c r="F316" s="2" t="s">
        <v>777</v>
      </c>
      <c r="G316" s="6" t="s">
        <v>1755</v>
      </c>
      <c r="H316" s="70">
        <v>50</v>
      </c>
      <c r="I316" s="72">
        <f>FastenersPriceList34[[#This Row],[Quantity (kg)]]/FastenersPriceList34[[#This Row],[SINGLE PC. WT.]]</f>
        <v>22.593764121102573</v>
      </c>
      <c r="J316" s="3">
        <v>138</v>
      </c>
      <c r="K316" s="3">
        <f>FastenersPriceList34[[#This Row],[1000 PCS/WT.]]*FastenersPriceList34[[#This Row],[Rate / PER kg (₹)]]</f>
        <v>305394</v>
      </c>
      <c r="L316" s="4">
        <f>FastenersPriceList34[[#This Row],[Rate / PER kg (₹)]]*FastenersPriceList34[[#This Row],[Quantity (kg)]]</f>
        <v>6900</v>
      </c>
      <c r="M316" s="4">
        <f>FastenersPriceList34[[#This Row],[SINGLE PC. WT.]]*FastenersPriceList34[[#This Row],[Rate / PER kg (₹)]]</f>
        <v>305.39400000000001</v>
      </c>
    </row>
    <row r="317" spans="1:13" ht="22.05" customHeight="1" x14ac:dyDescent="0.3">
      <c r="A317" s="2" t="s">
        <v>2065</v>
      </c>
      <c r="B317" s="12" t="s">
        <v>8</v>
      </c>
      <c r="C317" s="12">
        <v>10.9</v>
      </c>
      <c r="D317" s="2">
        <v>2283</v>
      </c>
      <c r="E317" s="2">
        <f>FastenersPriceList34[[#This Row],[1000 PCS/WT.]]/1000</f>
        <v>2.2829999999999999</v>
      </c>
      <c r="F317" s="2" t="s">
        <v>778</v>
      </c>
      <c r="G317" s="6" t="s">
        <v>1755</v>
      </c>
      <c r="H317" s="70">
        <v>50</v>
      </c>
      <c r="I317" s="72">
        <f>FastenersPriceList34[[#This Row],[Quantity (kg)]]/FastenersPriceList34[[#This Row],[SINGLE PC. WT.]]</f>
        <v>21.901007446342533</v>
      </c>
      <c r="J317" s="3">
        <v>138</v>
      </c>
      <c r="K317" s="3">
        <f>FastenersPriceList34[[#This Row],[1000 PCS/WT.]]*FastenersPriceList34[[#This Row],[Rate / PER kg (₹)]]</f>
        <v>315054</v>
      </c>
      <c r="L317" s="4">
        <f>FastenersPriceList34[[#This Row],[Rate / PER kg (₹)]]*FastenersPriceList34[[#This Row],[Quantity (kg)]]</f>
        <v>6900</v>
      </c>
      <c r="M317" s="4">
        <f>FastenersPriceList34[[#This Row],[SINGLE PC. WT.]]*FastenersPriceList34[[#This Row],[Rate / PER kg (₹)]]</f>
        <v>315.05399999999997</v>
      </c>
    </row>
    <row r="318" spans="1:13" ht="22.05" customHeight="1" x14ac:dyDescent="0.3">
      <c r="A318" s="2" t="s">
        <v>2066</v>
      </c>
      <c r="B318" s="12" t="s">
        <v>8</v>
      </c>
      <c r="C318" s="12">
        <v>10.9</v>
      </c>
      <c r="D318" s="2">
        <v>2353</v>
      </c>
      <c r="E318" s="2">
        <f>FastenersPriceList34[[#This Row],[1000 PCS/WT.]]/1000</f>
        <v>2.3530000000000002</v>
      </c>
      <c r="F318" s="2" t="s">
        <v>779</v>
      </c>
      <c r="G318" s="6" t="s">
        <v>1755</v>
      </c>
      <c r="H318" s="70">
        <v>50</v>
      </c>
      <c r="I318" s="72">
        <f>FastenersPriceList34[[#This Row],[Quantity (kg)]]/FastenersPriceList34[[#This Row],[SINGLE PC. WT.]]</f>
        <v>21.249468763280916</v>
      </c>
      <c r="J318" s="3">
        <v>138</v>
      </c>
      <c r="K318" s="3">
        <f>FastenersPriceList34[[#This Row],[1000 PCS/WT.]]*FastenersPriceList34[[#This Row],[Rate / PER kg (₹)]]</f>
        <v>324714</v>
      </c>
      <c r="L318" s="4">
        <f>FastenersPriceList34[[#This Row],[Rate / PER kg (₹)]]*FastenersPriceList34[[#This Row],[Quantity (kg)]]</f>
        <v>6900</v>
      </c>
      <c r="M318" s="4">
        <f>FastenersPriceList34[[#This Row],[SINGLE PC. WT.]]*FastenersPriceList34[[#This Row],[Rate / PER kg (₹)]]</f>
        <v>324.71400000000006</v>
      </c>
    </row>
    <row r="319" spans="1:13" ht="22.05" customHeight="1" x14ac:dyDescent="0.3">
      <c r="A319" s="2" t="s">
        <v>2067</v>
      </c>
      <c r="B319" s="12" t="s">
        <v>8</v>
      </c>
      <c r="C319" s="12">
        <v>10.9</v>
      </c>
      <c r="D319" s="2">
        <v>795</v>
      </c>
      <c r="E319" s="2">
        <f>FastenersPriceList34[[#This Row],[1000 PCS/WT.]]/1000</f>
        <v>0.79500000000000004</v>
      </c>
      <c r="F319" s="2" t="s">
        <v>780</v>
      </c>
      <c r="G319" s="6" t="s">
        <v>1755</v>
      </c>
      <c r="H319" s="70">
        <v>50</v>
      </c>
      <c r="I319" s="72">
        <f>FastenersPriceList34[[#This Row],[Quantity (kg)]]/FastenersPriceList34[[#This Row],[SINGLE PC. WT.]]</f>
        <v>62.893081761006286</v>
      </c>
      <c r="J319" s="3">
        <v>130</v>
      </c>
      <c r="K319" s="3">
        <f>FastenersPriceList34[[#This Row],[1000 PCS/WT.]]*FastenersPriceList34[[#This Row],[Rate / PER kg (₹)]]</f>
        <v>103350</v>
      </c>
      <c r="L319" s="4">
        <f>FastenersPriceList34[[#This Row],[Rate / PER kg (₹)]]*FastenersPriceList34[[#This Row],[Quantity (kg)]]</f>
        <v>6500</v>
      </c>
      <c r="M319" s="4">
        <f>FastenersPriceList34[[#This Row],[SINGLE PC. WT.]]*FastenersPriceList34[[#This Row],[Rate / PER kg (₹)]]</f>
        <v>103.35000000000001</v>
      </c>
    </row>
    <row r="320" spans="1:13" ht="22.05" customHeight="1" x14ac:dyDescent="0.3">
      <c r="A320" s="2" t="s">
        <v>2068</v>
      </c>
      <c r="B320" s="12" t="s">
        <v>8</v>
      </c>
      <c r="C320" s="12">
        <v>10.9</v>
      </c>
      <c r="D320" s="2">
        <v>835</v>
      </c>
      <c r="E320" s="2">
        <f>FastenersPriceList34[[#This Row],[1000 PCS/WT.]]/1000</f>
        <v>0.83499999999999996</v>
      </c>
      <c r="F320" s="2" t="s">
        <v>781</v>
      </c>
      <c r="G320" s="6" t="s">
        <v>1755</v>
      </c>
      <c r="H320" s="70">
        <v>50</v>
      </c>
      <c r="I320" s="72">
        <f>FastenersPriceList34[[#This Row],[Quantity (kg)]]/FastenersPriceList34[[#This Row],[SINGLE PC. WT.]]</f>
        <v>59.880239520958085</v>
      </c>
      <c r="J320" s="3">
        <v>130</v>
      </c>
      <c r="K320" s="3">
        <f>FastenersPriceList34[[#This Row],[1000 PCS/WT.]]*FastenersPriceList34[[#This Row],[Rate / PER kg (₹)]]</f>
        <v>108550</v>
      </c>
      <c r="L320" s="4">
        <f>FastenersPriceList34[[#This Row],[Rate / PER kg (₹)]]*FastenersPriceList34[[#This Row],[Quantity (kg)]]</f>
        <v>6500</v>
      </c>
      <c r="M320" s="4">
        <f>FastenersPriceList34[[#This Row],[SINGLE PC. WT.]]*FastenersPriceList34[[#This Row],[Rate / PER kg (₹)]]</f>
        <v>108.55</v>
      </c>
    </row>
    <row r="321" spans="1:13" ht="22.05" customHeight="1" x14ac:dyDescent="0.3">
      <c r="A321" s="2" t="s">
        <v>2069</v>
      </c>
      <c r="B321" s="12" t="s">
        <v>8</v>
      </c>
      <c r="C321" s="12">
        <v>10.9</v>
      </c>
      <c r="D321" s="2">
        <v>875</v>
      </c>
      <c r="E321" s="2">
        <f>FastenersPriceList34[[#This Row],[1000 PCS/WT.]]/1000</f>
        <v>0.875</v>
      </c>
      <c r="F321" s="2" t="s">
        <v>782</v>
      </c>
      <c r="G321" s="6" t="s">
        <v>1755</v>
      </c>
      <c r="H321" s="70">
        <v>50</v>
      </c>
      <c r="I321" s="72">
        <f>FastenersPriceList34[[#This Row],[Quantity (kg)]]/FastenersPriceList34[[#This Row],[SINGLE PC. WT.]]</f>
        <v>57.142857142857146</v>
      </c>
      <c r="J321" s="3">
        <v>130</v>
      </c>
      <c r="K321" s="3">
        <f>FastenersPriceList34[[#This Row],[1000 PCS/WT.]]*FastenersPriceList34[[#This Row],[Rate / PER kg (₹)]]</f>
        <v>113750</v>
      </c>
      <c r="L321" s="4">
        <f>FastenersPriceList34[[#This Row],[Rate / PER kg (₹)]]*FastenersPriceList34[[#This Row],[Quantity (kg)]]</f>
        <v>6500</v>
      </c>
      <c r="M321" s="4">
        <f>FastenersPriceList34[[#This Row],[SINGLE PC. WT.]]*FastenersPriceList34[[#This Row],[Rate / PER kg (₹)]]</f>
        <v>113.75</v>
      </c>
    </row>
    <row r="322" spans="1:13" ht="22.05" customHeight="1" x14ac:dyDescent="0.3">
      <c r="A322" s="2" t="s">
        <v>2070</v>
      </c>
      <c r="B322" s="12" t="s">
        <v>8</v>
      </c>
      <c r="C322" s="12">
        <v>10.9</v>
      </c>
      <c r="D322" s="2">
        <v>915</v>
      </c>
      <c r="E322" s="2">
        <f>FastenersPriceList34[[#This Row],[1000 PCS/WT.]]/1000</f>
        <v>0.91500000000000004</v>
      </c>
      <c r="F322" s="2" t="s">
        <v>783</v>
      </c>
      <c r="G322" s="6" t="s">
        <v>1755</v>
      </c>
      <c r="H322" s="70">
        <v>50</v>
      </c>
      <c r="I322" s="72">
        <f>FastenersPriceList34[[#This Row],[Quantity (kg)]]/FastenersPriceList34[[#This Row],[SINGLE PC. WT.]]</f>
        <v>54.644808743169399</v>
      </c>
      <c r="J322" s="3">
        <v>130</v>
      </c>
      <c r="K322" s="3">
        <f>FastenersPriceList34[[#This Row],[1000 PCS/WT.]]*FastenersPriceList34[[#This Row],[Rate / PER kg (₹)]]</f>
        <v>118950</v>
      </c>
      <c r="L322" s="4">
        <f>FastenersPriceList34[[#This Row],[Rate / PER kg (₹)]]*FastenersPriceList34[[#This Row],[Quantity (kg)]]</f>
        <v>6500</v>
      </c>
      <c r="M322" s="4">
        <f>FastenersPriceList34[[#This Row],[SINGLE PC. WT.]]*FastenersPriceList34[[#This Row],[Rate / PER kg (₹)]]</f>
        <v>118.95</v>
      </c>
    </row>
    <row r="323" spans="1:13" ht="22.05" customHeight="1" x14ac:dyDescent="0.3">
      <c r="A323" s="2" t="s">
        <v>2071</v>
      </c>
      <c r="B323" s="12" t="s">
        <v>8</v>
      </c>
      <c r="C323" s="12">
        <v>10.9</v>
      </c>
      <c r="D323" s="2">
        <v>955</v>
      </c>
      <c r="E323" s="2">
        <f>FastenersPriceList34[[#This Row],[1000 PCS/WT.]]/1000</f>
        <v>0.95499999999999996</v>
      </c>
      <c r="F323" s="2" t="s">
        <v>784</v>
      </c>
      <c r="G323" s="6" t="s">
        <v>1755</v>
      </c>
      <c r="H323" s="70">
        <v>50</v>
      </c>
      <c r="I323" s="72">
        <f>FastenersPriceList34[[#This Row],[Quantity (kg)]]/FastenersPriceList34[[#This Row],[SINGLE PC. WT.]]</f>
        <v>52.356020942408378</v>
      </c>
      <c r="J323" s="3">
        <v>130</v>
      </c>
      <c r="K323" s="3">
        <f>FastenersPriceList34[[#This Row],[1000 PCS/WT.]]*FastenersPriceList34[[#This Row],[Rate / PER kg (₹)]]</f>
        <v>124150</v>
      </c>
      <c r="L323" s="4">
        <f>FastenersPriceList34[[#This Row],[Rate / PER kg (₹)]]*FastenersPriceList34[[#This Row],[Quantity (kg)]]</f>
        <v>6500</v>
      </c>
      <c r="M323" s="4">
        <f>FastenersPriceList34[[#This Row],[SINGLE PC. WT.]]*FastenersPriceList34[[#This Row],[Rate / PER kg (₹)]]</f>
        <v>124.14999999999999</v>
      </c>
    </row>
    <row r="324" spans="1:13" ht="22.05" customHeight="1" x14ac:dyDescent="0.3">
      <c r="A324" s="2" t="s">
        <v>2072</v>
      </c>
      <c r="B324" s="12" t="s">
        <v>8</v>
      </c>
      <c r="C324" s="12">
        <v>10.9</v>
      </c>
      <c r="D324" s="2">
        <v>995</v>
      </c>
      <c r="E324" s="2">
        <f>FastenersPriceList34[[#This Row],[1000 PCS/WT.]]/1000</f>
        <v>0.995</v>
      </c>
      <c r="F324" s="2" t="s">
        <v>785</v>
      </c>
      <c r="G324" s="6" t="s">
        <v>1755</v>
      </c>
      <c r="H324" s="70">
        <v>50</v>
      </c>
      <c r="I324" s="72">
        <f>FastenersPriceList34[[#This Row],[Quantity (kg)]]/FastenersPriceList34[[#This Row],[SINGLE PC. WT.]]</f>
        <v>50.251256281407038</v>
      </c>
      <c r="J324" s="3">
        <v>130</v>
      </c>
      <c r="K324" s="3">
        <f>FastenersPriceList34[[#This Row],[1000 PCS/WT.]]*FastenersPriceList34[[#This Row],[Rate / PER kg (₹)]]</f>
        <v>129350</v>
      </c>
      <c r="L324" s="4">
        <f>FastenersPriceList34[[#This Row],[Rate / PER kg (₹)]]*FastenersPriceList34[[#This Row],[Quantity (kg)]]</f>
        <v>6500</v>
      </c>
      <c r="M324" s="4">
        <f>FastenersPriceList34[[#This Row],[SINGLE PC. WT.]]*FastenersPriceList34[[#This Row],[Rate / PER kg (₹)]]</f>
        <v>129.35</v>
      </c>
    </row>
    <row r="325" spans="1:13" ht="22.05" customHeight="1" x14ac:dyDescent="0.3">
      <c r="A325" s="2" t="s">
        <v>2073</v>
      </c>
      <c r="B325" s="12" t="s">
        <v>8</v>
      </c>
      <c r="C325" s="12">
        <v>10.9</v>
      </c>
      <c r="D325" s="2">
        <v>1035</v>
      </c>
      <c r="E325" s="2">
        <f>FastenersPriceList34[[#This Row],[1000 PCS/WT.]]/1000</f>
        <v>1.0349999999999999</v>
      </c>
      <c r="F325" s="2" t="s">
        <v>786</v>
      </c>
      <c r="G325" s="6" t="s">
        <v>1755</v>
      </c>
      <c r="H325" s="70">
        <v>50</v>
      </c>
      <c r="I325" s="72">
        <f>FastenersPriceList34[[#This Row],[Quantity (kg)]]/FastenersPriceList34[[#This Row],[SINGLE PC. WT.]]</f>
        <v>48.309178743961354</v>
      </c>
      <c r="J325" s="3">
        <v>130</v>
      </c>
      <c r="K325" s="3">
        <f>FastenersPriceList34[[#This Row],[1000 PCS/WT.]]*FastenersPriceList34[[#This Row],[Rate / PER kg (₹)]]</f>
        <v>134550</v>
      </c>
      <c r="L325" s="4">
        <f>FastenersPriceList34[[#This Row],[Rate / PER kg (₹)]]*FastenersPriceList34[[#This Row],[Quantity (kg)]]</f>
        <v>6500</v>
      </c>
      <c r="M325" s="4">
        <f>FastenersPriceList34[[#This Row],[SINGLE PC. WT.]]*FastenersPriceList34[[#This Row],[Rate / PER kg (₹)]]</f>
        <v>134.54999999999998</v>
      </c>
    </row>
    <row r="326" spans="1:13" ht="22.05" customHeight="1" x14ac:dyDescent="0.3">
      <c r="A326" s="2" t="s">
        <v>2074</v>
      </c>
      <c r="B326" s="12" t="s">
        <v>8</v>
      </c>
      <c r="C326" s="12">
        <v>10.9</v>
      </c>
      <c r="D326" s="2">
        <v>1075</v>
      </c>
      <c r="E326" s="2">
        <f>FastenersPriceList34[[#This Row],[1000 PCS/WT.]]/1000</f>
        <v>1.075</v>
      </c>
      <c r="F326" s="2" t="s">
        <v>787</v>
      </c>
      <c r="G326" s="6" t="s">
        <v>1755</v>
      </c>
      <c r="H326" s="70">
        <v>50</v>
      </c>
      <c r="I326" s="72">
        <f>FastenersPriceList34[[#This Row],[Quantity (kg)]]/FastenersPriceList34[[#This Row],[SINGLE PC. WT.]]</f>
        <v>46.511627906976749</v>
      </c>
      <c r="J326" s="3">
        <v>130</v>
      </c>
      <c r="K326" s="3">
        <f>FastenersPriceList34[[#This Row],[1000 PCS/WT.]]*FastenersPriceList34[[#This Row],[Rate / PER kg (₹)]]</f>
        <v>139750</v>
      </c>
      <c r="L326" s="4">
        <f>FastenersPriceList34[[#This Row],[Rate / PER kg (₹)]]*FastenersPriceList34[[#This Row],[Quantity (kg)]]</f>
        <v>6500</v>
      </c>
      <c r="M326" s="4">
        <f>FastenersPriceList34[[#This Row],[SINGLE PC. WT.]]*FastenersPriceList34[[#This Row],[Rate / PER kg (₹)]]</f>
        <v>139.75</v>
      </c>
    </row>
    <row r="327" spans="1:13" ht="22.05" customHeight="1" x14ac:dyDescent="0.3">
      <c r="A327" s="2" t="s">
        <v>2075</v>
      </c>
      <c r="B327" s="12" t="s">
        <v>8</v>
      </c>
      <c r="C327" s="12">
        <v>10.9</v>
      </c>
      <c r="D327" s="2">
        <v>1115</v>
      </c>
      <c r="E327" s="2">
        <f>FastenersPriceList34[[#This Row],[1000 PCS/WT.]]/1000</f>
        <v>1.115</v>
      </c>
      <c r="F327" s="2" t="s">
        <v>788</v>
      </c>
      <c r="G327" s="6" t="s">
        <v>1755</v>
      </c>
      <c r="H327" s="70">
        <v>50</v>
      </c>
      <c r="I327" s="72">
        <f>FastenersPriceList34[[#This Row],[Quantity (kg)]]/FastenersPriceList34[[#This Row],[SINGLE PC. WT.]]</f>
        <v>44.843049327354258</v>
      </c>
      <c r="J327" s="3">
        <v>130</v>
      </c>
      <c r="K327" s="3">
        <f>FastenersPriceList34[[#This Row],[1000 PCS/WT.]]*FastenersPriceList34[[#This Row],[Rate / PER kg (₹)]]</f>
        <v>144950</v>
      </c>
      <c r="L327" s="4">
        <f>FastenersPriceList34[[#This Row],[Rate / PER kg (₹)]]*FastenersPriceList34[[#This Row],[Quantity (kg)]]</f>
        <v>6500</v>
      </c>
      <c r="M327" s="4">
        <f>FastenersPriceList34[[#This Row],[SINGLE PC. WT.]]*FastenersPriceList34[[#This Row],[Rate / PER kg (₹)]]</f>
        <v>144.94999999999999</v>
      </c>
    </row>
    <row r="328" spans="1:13" ht="22.05" customHeight="1" x14ac:dyDescent="0.3">
      <c r="A328" s="2" t="s">
        <v>2076</v>
      </c>
      <c r="B328" s="12" t="s">
        <v>8</v>
      </c>
      <c r="C328" s="12">
        <v>10.9</v>
      </c>
      <c r="D328" s="2">
        <v>1155</v>
      </c>
      <c r="E328" s="2">
        <f>FastenersPriceList34[[#This Row],[1000 PCS/WT.]]/1000</f>
        <v>1.155</v>
      </c>
      <c r="F328" s="2" t="s">
        <v>789</v>
      </c>
      <c r="G328" s="6" t="s">
        <v>1755</v>
      </c>
      <c r="H328" s="70">
        <v>50</v>
      </c>
      <c r="I328" s="72">
        <f>FastenersPriceList34[[#This Row],[Quantity (kg)]]/FastenersPriceList34[[#This Row],[SINGLE PC. WT.]]</f>
        <v>43.290043290043286</v>
      </c>
      <c r="J328" s="3">
        <v>130</v>
      </c>
      <c r="K328" s="3">
        <f>FastenersPriceList34[[#This Row],[1000 PCS/WT.]]*FastenersPriceList34[[#This Row],[Rate / PER kg (₹)]]</f>
        <v>150150</v>
      </c>
      <c r="L328" s="4">
        <f>FastenersPriceList34[[#This Row],[Rate / PER kg (₹)]]*FastenersPriceList34[[#This Row],[Quantity (kg)]]</f>
        <v>6500</v>
      </c>
      <c r="M328" s="4">
        <f>FastenersPriceList34[[#This Row],[SINGLE PC. WT.]]*FastenersPriceList34[[#This Row],[Rate / PER kg (₹)]]</f>
        <v>150.15</v>
      </c>
    </row>
    <row r="329" spans="1:13" ht="22.05" customHeight="1" x14ac:dyDescent="0.3">
      <c r="A329" s="2" t="s">
        <v>2077</v>
      </c>
      <c r="B329" s="12" t="s">
        <v>8</v>
      </c>
      <c r="C329" s="12">
        <v>10.9</v>
      </c>
      <c r="D329" s="2">
        <v>1195</v>
      </c>
      <c r="E329" s="2">
        <f>FastenersPriceList34[[#This Row],[1000 PCS/WT.]]/1000</f>
        <v>1.1950000000000001</v>
      </c>
      <c r="F329" s="2" t="s">
        <v>790</v>
      </c>
      <c r="G329" s="6" t="s">
        <v>1755</v>
      </c>
      <c r="H329" s="70">
        <v>50</v>
      </c>
      <c r="I329" s="72">
        <f>FastenersPriceList34[[#This Row],[Quantity (kg)]]/FastenersPriceList34[[#This Row],[SINGLE PC. WT.]]</f>
        <v>41.841004184100413</v>
      </c>
      <c r="J329" s="3">
        <v>130</v>
      </c>
      <c r="K329" s="3">
        <f>FastenersPriceList34[[#This Row],[1000 PCS/WT.]]*FastenersPriceList34[[#This Row],[Rate / PER kg (₹)]]</f>
        <v>155350</v>
      </c>
      <c r="L329" s="4">
        <f>FastenersPriceList34[[#This Row],[Rate / PER kg (₹)]]*FastenersPriceList34[[#This Row],[Quantity (kg)]]</f>
        <v>6500</v>
      </c>
      <c r="M329" s="4">
        <f>FastenersPriceList34[[#This Row],[SINGLE PC. WT.]]*FastenersPriceList34[[#This Row],[Rate / PER kg (₹)]]</f>
        <v>155.35</v>
      </c>
    </row>
    <row r="330" spans="1:13" ht="22.05" customHeight="1" x14ac:dyDescent="0.3">
      <c r="A330" s="2" t="s">
        <v>2078</v>
      </c>
      <c r="B330" s="12" t="s">
        <v>8</v>
      </c>
      <c r="C330" s="12">
        <v>10.9</v>
      </c>
      <c r="D330" s="2">
        <v>1250</v>
      </c>
      <c r="E330" s="2">
        <f>FastenersPriceList34[[#This Row],[1000 PCS/WT.]]/1000</f>
        <v>1.25</v>
      </c>
      <c r="F330" s="2" t="s">
        <v>791</v>
      </c>
      <c r="G330" s="6" t="s">
        <v>1755</v>
      </c>
      <c r="H330" s="70">
        <v>50</v>
      </c>
      <c r="I330" s="72">
        <f>FastenersPriceList34[[#This Row],[Quantity (kg)]]/FastenersPriceList34[[#This Row],[SINGLE PC. WT.]]</f>
        <v>40</v>
      </c>
      <c r="J330" s="3">
        <v>135</v>
      </c>
      <c r="K330" s="3">
        <f>FastenersPriceList34[[#This Row],[1000 PCS/WT.]]*FastenersPriceList34[[#This Row],[Rate / PER kg (₹)]]</f>
        <v>168750</v>
      </c>
      <c r="L330" s="4">
        <f>FastenersPriceList34[[#This Row],[Rate / PER kg (₹)]]*FastenersPriceList34[[#This Row],[Quantity (kg)]]</f>
        <v>6750</v>
      </c>
      <c r="M330" s="4">
        <f>FastenersPriceList34[[#This Row],[SINGLE PC. WT.]]*FastenersPriceList34[[#This Row],[Rate / PER kg (₹)]]</f>
        <v>168.75</v>
      </c>
    </row>
    <row r="331" spans="1:13" ht="22.05" customHeight="1" x14ac:dyDescent="0.3">
      <c r="A331" s="2" t="s">
        <v>2079</v>
      </c>
      <c r="B331" s="12" t="s">
        <v>8</v>
      </c>
      <c r="C331" s="12">
        <v>10.9</v>
      </c>
      <c r="D331" s="2">
        <v>1330</v>
      </c>
      <c r="E331" s="2">
        <f>FastenersPriceList34[[#This Row],[1000 PCS/WT.]]/1000</f>
        <v>1.33</v>
      </c>
      <c r="F331" s="2" t="s">
        <v>792</v>
      </c>
      <c r="G331" s="6" t="s">
        <v>1755</v>
      </c>
      <c r="H331" s="70">
        <v>50</v>
      </c>
      <c r="I331" s="72">
        <f>FastenersPriceList34[[#This Row],[Quantity (kg)]]/FastenersPriceList34[[#This Row],[SINGLE PC. WT.]]</f>
        <v>37.593984962406012</v>
      </c>
      <c r="J331" s="3">
        <v>135</v>
      </c>
      <c r="K331" s="3">
        <f>FastenersPriceList34[[#This Row],[1000 PCS/WT.]]*FastenersPriceList34[[#This Row],[Rate / PER kg (₹)]]</f>
        <v>179550</v>
      </c>
      <c r="L331" s="4">
        <f>FastenersPriceList34[[#This Row],[Rate / PER kg (₹)]]*FastenersPriceList34[[#This Row],[Quantity (kg)]]</f>
        <v>6750</v>
      </c>
      <c r="M331" s="4">
        <f>FastenersPriceList34[[#This Row],[SINGLE PC. WT.]]*FastenersPriceList34[[#This Row],[Rate / PER kg (₹)]]</f>
        <v>179.55</v>
      </c>
    </row>
    <row r="332" spans="1:13" ht="22.05" customHeight="1" x14ac:dyDescent="0.3">
      <c r="A332" s="2" t="s">
        <v>2080</v>
      </c>
      <c r="B332" s="12" t="s">
        <v>8</v>
      </c>
      <c r="C332" s="12">
        <v>10.9</v>
      </c>
      <c r="D332" s="2">
        <v>1410</v>
      </c>
      <c r="E332" s="2">
        <f>FastenersPriceList34[[#This Row],[1000 PCS/WT.]]/1000</f>
        <v>1.41</v>
      </c>
      <c r="F332" s="2" t="s">
        <v>793</v>
      </c>
      <c r="G332" s="6" t="s">
        <v>1755</v>
      </c>
      <c r="H332" s="70">
        <v>50</v>
      </c>
      <c r="I332" s="72">
        <f>FastenersPriceList34[[#This Row],[Quantity (kg)]]/FastenersPriceList34[[#This Row],[SINGLE PC. WT.]]</f>
        <v>35.460992907801419</v>
      </c>
      <c r="J332" s="3">
        <v>135</v>
      </c>
      <c r="K332" s="3">
        <f>FastenersPriceList34[[#This Row],[1000 PCS/WT.]]*FastenersPriceList34[[#This Row],[Rate / PER kg (₹)]]</f>
        <v>190350</v>
      </c>
      <c r="L332" s="4">
        <f>FastenersPriceList34[[#This Row],[Rate / PER kg (₹)]]*FastenersPriceList34[[#This Row],[Quantity (kg)]]</f>
        <v>6750</v>
      </c>
      <c r="M332" s="4">
        <f>FastenersPriceList34[[#This Row],[SINGLE PC. WT.]]*FastenersPriceList34[[#This Row],[Rate / PER kg (₹)]]</f>
        <v>190.35</v>
      </c>
    </row>
    <row r="333" spans="1:13" ht="22.05" customHeight="1" x14ac:dyDescent="0.3">
      <c r="A333" s="2" t="s">
        <v>2081</v>
      </c>
      <c r="B333" s="12" t="s">
        <v>8</v>
      </c>
      <c r="C333" s="12">
        <v>10.9</v>
      </c>
      <c r="D333" s="2">
        <v>1490</v>
      </c>
      <c r="E333" s="2">
        <f>FastenersPriceList34[[#This Row],[1000 PCS/WT.]]/1000</f>
        <v>1.49</v>
      </c>
      <c r="F333" s="2" t="s">
        <v>794</v>
      </c>
      <c r="G333" s="6" t="s">
        <v>1755</v>
      </c>
      <c r="H333" s="70">
        <v>50</v>
      </c>
      <c r="I333" s="72">
        <f>FastenersPriceList34[[#This Row],[Quantity (kg)]]/FastenersPriceList34[[#This Row],[SINGLE PC. WT.]]</f>
        <v>33.557046979865774</v>
      </c>
      <c r="J333" s="3">
        <v>135</v>
      </c>
      <c r="K333" s="3">
        <f>FastenersPriceList34[[#This Row],[1000 PCS/WT.]]*FastenersPriceList34[[#This Row],[Rate / PER kg (₹)]]</f>
        <v>201150</v>
      </c>
      <c r="L333" s="4">
        <f>FastenersPriceList34[[#This Row],[Rate / PER kg (₹)]]*FastenersPriceList34[[#This Row],[Quantity (kg)]]</f>
        <v>6750</v>
      </c>
      <c r="M333" s="4">
        <f>FastenersPriceList34[[#This Row],[SINGLE PC. WT.]]*FastenersPriceList34[[#This Row],[Rate / PER kg (₹)]]</f>
        <v>201.15</v>
      </c>
    </row>
    <row r="334" spans="1:13" ht="22.05" customHeight="1" x14ac:dyDescent="0.3">
      <c r="A334" s="2" t="s">
        <v>2082</v>
      </c>
      <c r="B334" s="12" t="s">
        <v>8</v>
      </c>
      <c r="C334" s="12">
        <v>10.9</v>
      </c>
      <c r="D334" s="2">
        <v>1570</v>
      </c>
      <c r="E334" s="2">
        <f>FastenersPriceList34[[#This Row],[1000 PCS/WT.]]/1000</f>
        <v>1.57</v>
      </c>
      <c r="F334" s="2" t="s">
        <v>795</v>
      </c>
      <c r="G334" s="6" t="s">
        <v>1755</v>
      </c>
      <c r="H334" s="70">
        <v>50</v>
      </c>
      <c r="I334" s="72">
        <f>FastenersPriceList34[[#This Row],[Quantity (kg)]]/FastenersPriceList34[[#This Row],[SINGLE PC. WT.]]</f>
        <v>31.847133757961782</v>
      </c>
      <c r="J334" s="3">
        <v>135</v>
      </c>
      <c r="K334" s="3">
        <f>FastenersPriceList34[[#This Row],[1000 PCS/WT.]]*FastenersPriceList34[[#This Row],[Rate / PER kg (₹)]]</f>
        <v>211950</v>
      </c>
      <c r="L334" s="4">
        <f>FastenersPriceList34[[#This Row],[Rate / PER kg (₹)]]*FastenersPriceList34[[#This Row],[Quantity (kg)]]</f>
        <v>6750</v>
      </c>
      <c r="M334" s="4">
        <f>FastenersPriceList34[[#This Row],[SINGLE PC. WT.]]*FastenersPriceList34[[#This Row],[Rate / PER kg (₹)]]</f>
        <v>211.95000000000002</v>
      </c>
    </row>
    <row r="335" spans="1:13" ht="22.05" customHeight="1" x14ac:dyDescent="0.3">
      <c r="A335" s="2" t="s">
        <v>2083</v>
      </c>
      <c r="B335" s="12" t="s">
        <v>8</v>
      </c>
      <c r="C335" s="12">
        <v>10.9</v>
      </c>
      <c r="D335" s="2">
        <v>1650</v>
      </c>
      <c r="E335" s="2">
        <f>FastenersPriceList34[[#This Row],[1000 PCS/WT.]]/1000</f>
        <v>1.65</v>
      </c>
      <c r="F335" s="2" t="s">
        <v>796</v>
      </c>
      <c r="G335" s="6" t="s">
        <v>1755</v>
      </c>
      <c r="H335" s="70">
        <v>50</v>
      </c>
      <c r="I335" s="72">
        <f>FastenersPriceList34[[#This Row],[Quantity (kg)]]/FastenersPriceList34[[#This Row],[SINGLE PC. WT.]]</f>
        <v>30.303030303030305</v>
      </c>
      <c r="J335" s="3">
        <v>135</v>
      </c>
      <c r="K335" s="3">
        <f>FastenersPriceList34[[#This Row],[1000 PCS/WT.]]*FastenersPriceList34[[#This Row],[Rate / PER kg (₹)]]</f>
        <v>222750</v>
      </c>
      <c r="L335" s="4">
        <f>FastenersPriceList34[[#This Row],[Rate / PER kg (₹)]]*FastenersPriceList34[[#This Row],[Quantity (kg)]]</f>
        <v>6750</v>
      </c>
      <c r="M335" s="4">
        <f>FastenersPriceList34[[#This Row],[SINGLE PC. WT.]]*FastenersPriceList34[[#This Row],[Rate / PER kg (₹)]]</f>
        <v>222.75</v>
      </c>
    </row>
    <row r="336" spans="1:13" ht="22.05" customHeight="1" x14ac:dyDescent="0.3">
      <c r="A336" s="2" t="s">
        <v>2084</v>
      </c>
      <c r="B336" s="12" t="s">
        <v>8</v>
      </c>
      <c r="C336" s="12">
        <v>10.9</v>
      </c>
      <c r="D336" s="2">
        <v>1730</v>
      </c>
      <c r="E336" s="2">
        <f>FastenersPriceList34[[#This Row],[1000 PCS/WT.]]/1000</f>
        <v>1.73</v>
      </c>
      <c r="F336" s="2" t="s">
        <v>797</v>
      </c>
      <c r="G336" s="6" t="s">
        <v>1755</v>
      </c>
      <c r="H336" s="70">
        <v>50</v>
      </c>
      <c r="I336" s="72">
        <f>FastenersPriceList34[[#This Row],[Quantity (kg)]]/FastenersPriceList34[[#This Row],[SINGLE PC. WT.]]</f>
        <v>28.901734104046245</v>
      </c>
      <c r="J336" s="3">
        <v>135</v>
      </c>
      <c r="K336" s="3">
        <f>FastenersPriceList34[[#This Row],[1000 PCS/WT.]]*FastenersPriceList34[[#This Row],[Rate / PER kg (₹)]]</f>
        <v>233550</v>
      </c>
      <c r="L336" s="4">
        <f>FastenersPriceList34[[#This Row],[Rate / PER kg (₹)]]*FastenersPriceList34[[#This Row],[Quantity (kg)]]</f>
        <v>6750</v>
      </c>
      <c r="M336" s="4">
        <f>FastenersPriceList34[[#This Row],[SINGLE PC. WT.]]*FastenersPriceList34[[#This Row],[Rate / PER kg (₹)]]</f>
        <v>233.55</v>
      </c>
    </row>
    <row r="337" spans="1:13" ht="22.05" customHeight="1" x14ac:dyDescent="0.3">
      <c r="A337" s="2" t="s">
        <v>2085</v>
      </c>
      <c r="B337" s="12" t="s">
        <v>8</v>
      </c>
      <c r="C337" s="12">
        <v>10.9</v>
      </c>
      <c r="D337" s="2">
        <v>1810</v>
      </c>
      <c r="E337" s="2">
        <f>FastenersPriceList34[[#This Row],[1000 PCS/WT.]]/1000</f>
        <v>1.81</v>
      </c>
      <c r="F337" s="2" t="s">
        <v>798</v>
      </c>
      <c r="G337" s="6" t="s">
        <v>1755</v>
      </c>
      <c r="H337" s="70">
        <v>50</v>
      </c>
      <c r="I337" s="72">
        <f>FastenersPriceList34[[#This Row],[Quantity (kg)]]/FastenersPriceList34[[#This Row],[SINGLE PC. WT.]]</f>
        <v>27.624309392265193</v>
      </c>
      <c r="J337" s="3">
        <v>135</v>
      </c>
      <c r="K337" s="3">
        <f>FastenersPriceList34[[#This Row],[1000 PCS/WT.]]*FastenersPriceList34[[#This Row],[Rate / PER kg (₹)]]</f>
        <v>244350</v>
      </c>
      <c r="L337" s="4">
        <f>FastenersPriceList34[[#This Row],[Rate / PER kg (₹)]]*FastenersPriceList34[[#This Row],[Quantity (kg)]]</f>
        <v>6750</v>
      </c>
      <c r="M337" s="4">
        <f>FastenersPriceList34[[#This Row],[SINGLE PC. WT.]]*FastenersPriceList34[[#This Row],[Rate / PER kg (₹)]]</f>
        <v>244.35</v>
      </c>
    </row>
    <row r="338" spans="1:13" ht="22.05" customHeight="1" x14ac:dyDescent="0.3">
      <c r="A338" s="2" t="s">
        <v>2086</v>
      </c>
      <c r="B338" s="12" t="s">
        <v>8</v>
      </c>
      <c r="C338" s="12">
        <v>10.9</v>
      </c>
      <c r="D338" s="2">
        <v>1890</v>
      </c>
      <c r="E338" s="2">
        <f>FastenersPriceList34[[#This Row],[1000 PCS/WT.]]/1000</f>
        <v>1.89</v>
      </c>
      <c r="F338" s="2" t="s">
        <v>799</v>
      </c>
      <c r="G338" s="6" t="s">
        <v>1755</v>
      </c>
      <c r="H338" s="70">
        <v>50</v>
      </c>
      <c r="I338" s="72">
        <f>FastenersPriceList34[[#This Row],[Quantity (kg)]]/FastenersPriceList34[[#This Row],[SINGLE PC. WT.]]</f>
        <v>26.455026455026456</v>
      </c>
      <c r="J338" s="3">
        <v>135</v>
      </c>
      <c r="K338" s="3">
        <f>FastenersPriceList34[[#This Row],[1000 PCS/WT.]]*FastenersPriceList34[[#This Row],[Rate / PER kg (₹)]]</f>
        <v>255150</v>
      </c>
      <c r="L338" s="4">
        <f>FastenersPriceList34[[#This Row],[Rate / PER kg (₹)]]*FastenersPriceList34[[#This Row],[Quantity (kg)]]</f>
        <v>6750</v>
      </c>
      <c r="M338" s="4">
        <f>FastenersPriceList34[[#This Row],[SINGLE PC. WT.]]*FastenersPriceList34[[#This Row],[Rate / PER kg (₹)]]</f>
        <v>255.14999999999998</v>
      </c>
    </row>
    <row r="339" spans="1:13" ht="22.05" customHeight="1" x14ac:dyDescent="0.3">
      <c r="A339" s="2" t="s">
        <v>2087</v>
      </c>
      <c r="B339" s="12" t="s">
        <v>8</v>
      </c>
      <c r="C339" s="12">
        <v>10.9</v>
      </c>
      <c r="D339" s="2">
        <v>1970</v>
      </c>
      <c r="E339" s="2">
        <f>FastenersPriceList34[[#This Row],[1000 PCS/WT.]]/1000</f>
        <v>1.97</v>
      </c>
      <c r="F339" s="2" t="s">
        <v>800</v>
      </c>
      <c r="G339" s="6" t="s">
        <v>1755</v>
      </c>
      <c r="H339" s="70">
        <v>50</v>
      </c>
      <c r="I339" s="72">
        <f>FastenersPriceList34[[#This Row],[Quantity (kg)]]/FastenersPriceList34[[#This Row],[SINGLE PC. WT.]]</f>
        <v>25.380710659898476</v>
      </c>
      <c r="J339" s="3">
        <v>135</v>
      </c>
      <c r="K339" s="3">
        <f>FastenersPriceList34[[#This Row],[1000 PCS/WT.]]*FastenersPriceList34[[#This Row],[Rate / PER kg (₹)]]</f>
        <v>265950</v>
      </c>
      <c r="L339" s="4">
        <f>FastenersPriceList34[[#This Row],[Rate / PER kg (₹)]]*FastenersPriceList34[[#This Row],[Quantity (kg)]]</f>
        <v>6750</v>
      </c>
      <c r="M339" s="4">
        <f>FastenersPriceList34[[#This Row],[SINGLE PC. WT.]]*FastenersPriceList34[[#This Row],[Rate / PER kg (₹)]]</f>
        <v>265.95</v>
      </c>
    </row>
    <row r="340" spans="1:13" ht="22.05" customHeight="1" x14ac:dyDescent="0.3">
      <c r="A340" s="2" t="s">
        <v>2088</v>
      </c>
      <c r="B340" s="12" t="s">
        <v>8</v>
      </c>
      <c r="C340" s="12">
        <v>10.9</v>
      </c>
      <c r="D340" s="2">
        <v>2050</v>
      </c>
      <c r="E340" s="2">
        <f>FastenersPriceList34[[#This Row],[1000 PCS/WT.]]/1000</f>
        <v>2.0499999999999998</v>
      </c>
      <c r="F340" s="2" t="s">
        <v>801</v>
      </c>
      <c r="G340" s="6" t="s">
        <v>1755</v>
      </c>
      <c r="H340" s="70">
        <v>50</v>
      </c>
      <c r="I340" s="72">
        <f>FastenersPriceList34[[#This Row],[Quantity (kg)]]/FastenersPriceList34[[#This Row],[SINGLE PC. WT.]]</f>
        <v>24.390243902439025</v>
      </c>
      <c r="J340" s="3">
        <v>138</v>
      </c>
      <c r="K340" s="3">
        <f>FastenersPriceList34[[#This Row],[1000 PCS/WT.]]*FastenersPriceList34[[#This Row],[Rate / PER kg (₹)]]</f>
        <v>282900</v>
      </c>
      <c r="L340" s="4">
        <f>FastenersPriceList34[[#This Row],[Rate / PER kg (₹)]]*FastenersPriceList34[[#This Row],[Quantity (kg)]]</f>
        <v>6900</v>
      </c>
      <c r="M340" s="4">
        <f>FastenersPriceList34[[#This Row],[SINGLE PC. WT.]]*FastenersPriceList34[[#This Row],[Rate / PER kg (₹)]]</f>
        <v>282.89999999999998</v>
      </c>
    </row>
    <row r="341" spans="1:13" ht="22.05" customHeight="1" x14ac:dyDescent="0.3">
      <c r="A341" s="2" t="s">
        <v>2089</v>
      </c>
      <c r="B341" s="12" t="s">
        <v>8</v>
      </c>
      <c r="C341" s="12">
        <v>10.9</v>
      </c>
      <c r="D341" s="2">
        <v>2130</v>
      </c>
      <c r="E341" s="2">
        <f>FastenersPriceList34[[#This Row],[1000 PCS/WT.]]/1000</f>
        <v>2.13</v>
      </c>
      <c r="F341" s="2" t="s">
        <v>802</v>
      </c>
      <c r="G341" s="6" t="s">
        <v>1755</v>
      </c>
      <c r="H341" s="70">
        <v>50</v>
      </c>
      <c r="I341" s="72">
        <f>FastenersPriceList34[[#This Row],[Quantity (kg)]]/FastenersPriceList34[[#This Row],[SINGLE PC. WT.]]</f>
        <v>23.474178403755868</v>
      </c>
      <c r="J341" s="3">
        <v>138</v>
      </c>
      <c r="K341" s="3">
        <f>FastenersPriceList34[[#This Row],[1000 PCS/WT.]]*FastenersPriceList34[[#This Row],[Rate / PER kg (₹)]]</f>
        <v>293940</v>
      </c>
      <c r="L341" s="4">
        <f>FastenersPriceList34[[#This Row],[Rate / PER kg (₹)]]*FastenersPriceList34[[#This Row],[Quantity (kg)]]</f>
        <v>6900</v>
      </c>
      <c r="M341" s="4">
        <f>FastenersPriceList34[[#This Row],[SINGLE PC. WT.]]*FastenersPriceList34[[#This Row],[Rate / PER kg (₹)]]</f>
        <v>293.94</v>
      </c>
    </row>
    <row r="342" spans="1:13" ht="22.05" customHeight="1" x14ac:dyDescent="0.3">
      <c r="A342" s="2" t="s">
        <v>2090</v>
      </c>
      <c r="B342" s="12" t="s">
        <v>8</v>
      </c>
      <c r="C342" s="12">
        <v>10.9</v>
      </c>
      <c r="D342" s="2">
        <v>2210</v>
      </c>
      <c r="E342" s="2">
        <f>FastenersPriceList34[[#This Row],[1000 PCS/WT.]]/1000</f>
        <v>2.21</v>
      </c>
      <c r="F342" s="2" t="s">
        <v>803</v>
      </c>
      <c r="G342" s="6" t="s">
        <v>1755</v>
      </c>
      <c r="H342" s="70">
        <v>50</v>
      </c>
      <c r="I342" s="72">
        <f>FastenersPriceList34[[#This Row],[Quantity (kg)]]/FastenersPriceList34[[#This Row],[SINGLE PC. WT.]]</f>
        <v>22.624434389140273</v>
      </c>
      <c r="J342" s="3">
        <v>138</v>
      </c>
      <c r="K342" s="3">
        <f>FastenersPriceList34[[#This Row],[1000 PCS/WT.]]*FastenersPriceList34[[#This Row],[Rate / PER kg (₹)]]</f>
        <v>304980</v>
      </c>
      <c r="L342" s="4">
        <f>FastenersPriceList34[[#This Row],[Rate / PER kg (₹)]]*FastenersPriceList34[[#This Row],[Quantity (kg)]]</f>
        <v>6900</v>
      </c>
      <c r="M342" s="4">
        <f>FastenersPriceList34[[#This Row],[SINGLE PC. WT.]]*FastenersPriceList34[[#This Row],[Rate / PER kg (₹)]]</f>
        <v>304.98</v>
      </c>
    </row>
    <row r="343" spans="1:13" ht="22.05" customHeight="1" x14ac:dyDescent="0.3">
      <c r="A343" s="2" t="s">
        <v>2091</v>
      </c>
      <c r="B343" s="12" t="s">
        <v>8</v>
      </c>
      <c r="C343" s="12">
        <v>10.9</v>
      </c>
      <c r="D343" s="2">
        <v>2290</v>
      </c>
      <c r="E343" s="2">
        <f>FastenersPriceList34[[#This Row],[1000 PCS/WT.]]/1000</f>
        <v>2.29</v>
      </c>
      <c r="F343" s="2" t="s">
        <v>804</v>
      </c>
      <c r="G343" s="6" t="s">
        <v>1755</v>
      </c>
      <c r="H343" s="70">
        <v>50</v>
      </c>
      <c r="I343" s="72">
        <f>FastenersPriceList34[[#This Row],[Quantity (kg)]]/FastenersPriceList34[[#This Row],[SINGLE PC. WT.]]</f>
        <v>21.834061135371179</v>
      </c>
      <c r="J343" s="3">
        <v>138</v>
      </c>
      <c r="K343" s="3">
        <f>FastenersPriceList34[[#This Row],[1000 PCS/WT.]]*FastenersPriceList34[[#This Row],[Rate / PER kg (₹)]]</f>
        <v>316020</v>
      </c>
      <c r="L343" s="4">
        <f>FastenersPriceList34[[#This Row],[Rate / PER kg (₹)]]*FastenersPriceList34[[#This Row],[Quantity (kg)]]</f>
        <v>6900</v>
      </c>
      <c r="M343" s="4">
        <f>FastenersPriceList34[[#This Row],[SINGLE PC. WT.]]*FastenersPriceList34[[#This Row],[Rate / PER kg (₹)]]</f>
        <v>316.02</v>
      </c>
    </row>
    <row r="344" spans="1:13" ht="22.05" customHeight="1" x14ac:dyDescent="0.3">
      <c r="A344" s="2" t="s">
        <v>2092</v>
      </c>
      <c r="B344" s="12" t="s">
        <v>8</v>
      </c>
      <c r="C344" s="12">
        <v>10.9</v>
      </c>
      <c r="D344" s="2">
        <v>2370</v>
      </c>
      <c r="E344" s="2">
        <f>FastenersPriceList34[[#This Row],[1000 PCS/WT.]]/1000</f>
        <v>2.37</v>
      </c>
      <c r="F344" s="2" t="s">
        <v>805</v>
      </c>
      <c r="G344" s="6" t="s">
        <v>1755</v>
      </c>
      <c r="H344" s="70">
        <v>50</v>
      </c>
      <c r="I344" s="72">
        <f>FastenersPriceList34[[#This Row],[Quantity (kg)]]/FastenersPriceList34[[#This Row],[SINGLE PC. WT.]]</f>
        <v>21.09704641350211</v>
      </c>
      <c r="J344" s="3">
        <v>138</v>
      </c>
      <c r="K344" s="3">
        <f>FastenersPriceList34[[#This Row],[1000 PCS/WT.]]*FastenersPriceList34[[#This Row],[Rate / PER kg (₹)]]</f>
        <v>327060</v>
      </c>
      <c r="L344" s="4">
        <f>FastenersPriceList34[[#This Row],[Rate / PER kg (₹)]]*FastenersPriceList34[[#This Row],[Quantity (kg)]]</f>
        <v>6900</v>
      </c>
      <c r="M344" s="4">
        <f>FastenersPriceList34[[#This Row],[SINGLE PC. WT.]]*FastenersPriceList34[[#This Row],[Rate / PER kg (₹)]]</f>
        <v>327.06</v>
      </c>
    </row>
    <row r="345" spans="1:13" ht="22.05" customHeight="1" x14ac:dyDescent="0.3">
      <c r="A345" s="2" t="s">
        <v>2093</v>
      </c>
      <c r="B345" s="12" t="s">
        <v>8</v>
      </c>
      <c r="C345" s="12">
        <v>10.9</v>
      </c>
      <c r="D345" s="2">
        <v>2450</v>
      </c>
      <c r="E345" s="2">
        <f>FastenersPriceList34[[#This Row],[1000 PCS/WT.]]/1000</f>
        <v>2.4500000000000002</v>
      </c>
      <c r="F345" s="2" t="s">
        <v>806</v>
      </c>
      <c r="G345" s="6" t="s">
        <v>1755</v>
      </c>
      <c r="H345" s="70">
        <v>50</v>
      </c>
      <c r="I345" s="72">
        <f>FastenersPriceList34[[#This Row],[Quantity (kg)]]/FastenersPriceList34[[#This Row],[SINGLE PC. WT.]]</f>
        <v>20.408163265306122</v>
      </c>
      <c r="J345" s="3">
        <v>138</v>
      </c>
      <c r="K345" s="3">
        <f>FastenersPriceList34[[#This Row],[1000 PCS/WT.]]*FastenersPriceList34[[#This Row],[Rate / PER kg (₹)]]</f>
        <v>338100</v>
      </c>
      <c r="L345" s="4">
        <f>FastenersPriceList34[[#This Row],[Rate / PER kg (₹)]]*FastenersPriceList34[[#This Row],[Quantity (kg)]]</f>
        <v>6900</v>
      </c>
      <c r="M345" s="4">
        <f>FastenersPriceList34[[#This Row],[SINGLE PC. WT.]]*FastenersPriceList34[[#This Row],[Rate / PER kg (₹)]]</f>
        <v>338.1</v>
      </c>
    </row>
    <row r="346" spans="1:13" ht="22.05" customHeight="1" x14ac:dyDescent="0.3">
      <c r="A346" s="2" t="s">
        <v>2094</v>
      </c>
      <c r="B346" s="12" t="s">
        <v>8</v>
      </c>
      <c r="C346" s="12">
        <v>10.9</v>
      </c>
      <c r="D346" s="2">
        <v>2530</v>
      </c>
      <c r="E346" s="2">
        <f>FastenersPriceList34[[#This Row],[1000 PCS/WT.]]/1000</f>
        <v>2.5299999999999998</v>
      </c>
      <c r="F346" s="2" t="s">
        <v>807</v>
      </c>
      <c r="G346" s="6" t="s">
        <v>1755</v>
      </c>
      <c r="H346" s="70">
        <v>50</v>
      </c>
      <c r="I346" s="72">
        <f>FastenersPriceList34[[#This Row],[Quantity (kg)]]/FastenersPriceList34[[#This Row],[SINGLE PC. WT.]]</f>
        <v>19.762845849802375</v>
      </c>
      <c r="J346" s="3">
        <v>138</v>
      </c>
      <c r="K346" s="3">
        <f>FastenersPriceList34[[#This Row],[1000 PCS/WT.]]*FastenersPriceList34[[#This Row],[Rate / PER kg (₹)]]</f>
        <v>349140</v>
      </c>
      <c r="L346" s="4">
        <f>FastenersPriceList34[[#This Row],[Rate / PER kg (₹)]]*FastenersPriceList34[[#This Row],[Quantity (kg)]]</f>
        <v>6900</v>
      </c>
      <c r="M346" s="4">
        <f>FastenersPriceList34[[#This Row],[SINGLE PC. WT.]]*FastenersPriceList34[[#This Row],[Rate / PER kg (₹)]]</f>
        <v>349.14</v>
      </c>
    </row>
    <row r="347" spans="1:13" ht="22.05" customHeight="1" x14ac:dyDescent="0.3">
      <c r="A347" s="2" t="s">
        <v>2095</v>
      </c>
      <c r="B347" s="12" t="s">
        <v>8</v>
      </c>
      <c r="C347" s="12">
        <v>10.9</v>
      </c>
      <c r="D347" s="2">
        <v>2610</v>
      </c>
      <c r="E347" s="2">
        <f>FastenersPriceList34[[#This Row],[1000 PCS/WT.]]/1000</f>
        <v>2.61</v>
      </c>
      <c r="F347" s="2" t="s">
        <v>808</v>
      </c>
      <c r="G347" s="6" t="s">
        <v>1755</v>
      </c>
      <c r="H347" s="70">
        <v>50</v>
      </c>
      <c r="I347" s="72">
        <f>FastenersPriceList34[[#This Row],[Quantity (kg)]]/FastenersPriceList34[[#This Row],[SINGLE PC. WT.]]</f>
        <v>19.157088122605366</v>
      </c>
      <c r="J347" s="3">
        <v>138</v>
      </c>
      <c r="K347" s="3">
        <f>FastenersPriceList34[[#This Row],[1000 PCS/WT.]]*FastenersPriceList34[[#This Row],[Rate / PER kg (₹)]]</f>
        <v>360180</v>
      </c>
      <c r="L347" s="4">
        <f>FastenersPriceList34[[#This Row],[Rate / PER kg (₹)]]*FastenersPriceList34[[#This Row],[Quantity (kg)]]</f>
        <v>6900</v>
      </c>
      <c r="M347" s="4">
        <f>FastenersPriceList34[[#This Row],[SINGLE PC. WT.]]*FastenersPriceList34[[#This Row],[Rate / PER kg (₹)]]</f>
        <v>360.18</v>
      </c>
    </row>
    <row r="348" spans="1:13" ht="22.05" customHeight="1" x14ac:dyDescent="0.3">
      <c r="A348" s="2" t="s">
        <v>2096</v>
      </c>
      <c r="B348" s="12" t="s">
        <v>8</v>
      </c>
      <c r="C348" s="12">
        <v>10.9</v>
      </c>
      <c r="D348" s="2">
        <v>2690</v>
      </c>
      <c r="E348" s="2">
        <f>FastenersPriceList34[[#This Row],[1000 PCS/WT.]]/1000</f>
        <v>2.69</v>
      </c>
      <c r="F348" s="2" t="s">
        <v>809</v>
      </c>
      <c r="G348" s="6" t="s">
        <v>1755</v>
      </c>
      <c r="H348" s="70">
        <v>50</v>
      </c>
      <c r="I348" s="72">
        <f>FastenersPriceList34[[#This Row],[Quantity (kg)]]/FastenersPriceList34[[#This Row],[SINGLE PC. WT.]]</f>
        <v>18.587360594795541</v>
      </c>
      <c r="J348" s="3">
        <v>138</v>
      </c>
      <c r="K348" s="3">
        <f>FastenersPriceList34[[#This Row],[1000 PCS/WT.]]*FastenersPriceList34[[#This Row],[Rate / PER kg (₹)]]</f>
        <v>371220</v>
      </c>
      <c r="L348" s="4">
        <f>FastenersPriceList34[[#This Row],[Rate / PER kg (₹)]]*FastenersPriceList34[[#This Row],[Quantity (kg)]]</f>
        <v>6900</v>
      </c>
      <c r="M348" s="4">
        <f>FastenersPriceList34[[#This Row],[SINGLE PC. WT.]]*FastenersPriceList34[[#This Row],[Rate / PER kg (₹)]]</f>
        <v>371.21999999999997</v>
      </c>
    </row>
    <row r="349" spans="1:13" ht="22.05" customHeight="1" x14ac:dyDescent="0.3">
      <c r="A349" s="2" t="s">
        <v>2097</v>
      </c>
      <c r="B349" s="12" t="s">
        <v>8</v>
      </c>
      <c r="C349" s="12">
        <v>10.9</v>
      </c>
      <c r="D349" s="2">
        <v>2770</v>
      </c>
      <c r="E349" s="2">
        <f>FastenersPriceList34[[#This Row],[1000 PCS/WT.]]/1000</f>
        <v>2.77</v>
      </c>
      <c r="F349" s="2" t="s">
        <v>810</v>
      </c>
      <c r="G349" s="6" t="s">
        <v>1755</v>
      </c>
      <c r="H349" s="70">
        <v>50</v>
      </c>
      <c r="I349" s="72">
        <f>FastenersPriceList34[[#This Row],[Quantity (kg)]]/FastenersPriceList34[[#This Row],[SINGLE PC. WT.]]</f>
        <v>18.050541516245488</v>
      </c>
      <c r="J349" s="3">
        <v>138</v>
      </c>
      <c r="K349" s="3">
        <f>FastenersPriceList34[[#This Row],[1000 PCS/WT.]]*FastenersPriceList34[[#This Row],[Rate / PER kg (₹)]]</f>
        <v>382260</v>
      </c>
      <c r="L349" s="4">
        <f>FastenersPriceList34[[#This Row],[Rate / PER kg (₹)]]*FastenersPriceList34[[#This Row],[Quantity (kg)]]</f>
        <v>6900</v>
      </c>
      <c r="M349" s="4">
        <f>FastenersPriceList34[[#This Row],[SINGLE PC. WT.]]*FastenersPriceList34[[#This Row],[Rate / PER kg (₹)]]</f>
        <v>382.26</v>
      </c>
    </row>
    <row r="350" spans="1:13" ht="22.05" customHeight="1" x14ac:dyDescent="0.3">
      <c r="A350" s="2" t="s">
        <v>2098</v>
      </c>
      <c r="B350" s="12" t="s">
        <v>8</v>
      </c>
      <c r="C350" s="12">
        <v>10.9</v>
      </c>
      <c r="D350" s="2">
        <v>1087</v>
      </c>
      <c r="E350" s="2">
        <f>FastenersPriceList34[[#This Row],[1000 PCS/WT.]]/1000</f>
        <v>1.087</v>
      </c>
      <c r="F350" s="2" t="s">
        <v>811</v>
      </c>
      <c r="G350" s="6" t="s">
        <v>1755</v>
      </c>
      <c r="H350" s="70">
        <v>50</v>
      </c>
      <c r="I350" s="72">
        <f>FastenersPriceList34[[#This Row],[Quantity (kg)]]/FastenersPriceList34[[#This Row],[SINGLE PC. WT.]]</f>
        <v>45.998160073597056</v>
      </c>
      <c r="J350" s="3">
        <v>130</v>
      </c>
      <c r="K350" s="3">
        <f>FastenersPriceList34[[#This Row],[1000 PCS/WT.]]*FastenersPriceList34[[#This Row],[Rate / PER kg (₹)]]</f>
        <v>141310</v>
      </c>
      <c r="L350" s="4">
        <f>FastenersPriceList34[[#This Row],[Rate / PER kg (₹)]]*FastenersPriceList34[[#This Row],[Quantity (kg)]]</f>
        <v>6500</v>
      </c>
      <c r="M350" s="4">
        <f>FastenersPriceList34[[#This Row],[SINGLE PC. WT.]]*FastenersPriceList34[[#This Row],[Rate / PER kg (₹)]]</f>
        <v>141.31</v>
      </c>
    </row>
    <row r="351" spans="1:13" ht="22.05" customHeight="1" x14ac:dyDescent="0.3">
      <c r="A351" s="2" t="s">
        <v>2099</v>
      </c>
      <c r="B351" s="12" t="s">
        <v>8</v>
      </c>
      <c r="C351" s="12">
        <v>10.9</v>
      </c>
      <c r="D351" s="2">
        <v>1134</v>
      </c>
      <c r="E351" s="2">
        <f>FastenersPriceList34[[#This Row],[1000 PCS/WT.]]/1000</f>
        <v>1.1339999999999999</v>
      </c>
      <c r="F351" s="2" t="s">
        <v>812</v>
      </c>
      <c r="G351" s="6" t="s">
        <v>1755</v>
      </c>
      <c r="H351" s="70">
        <v>50</v>
      </c>
      <c r="I351" s="72">
        <f>FastenersPriceList34[[#This Row],[Quantity (kg)]]/FastenersPriceList34[[#This Row],[SINGLE PC. WT.]]</f>
        <v>44.091710758377431</v>
      </c>
      <c r="J351" s="3">
        <v>130</v>
      </c>
      <c r="K351" s="3">
        <f>FastenersPriceList34[[#This Row],[1000 PCS/WT.]]*FastenersPriceList34[[#This Row],[Rate / PER kg (₹)]]</f>
        <v>147420</v>
      </c>
      <c r="L351" s="4">
        <f>FastenersPriceList34[[#This Row],[Rate / PER kg (₹)]]*FastenersPriceList34[[#This Row],[Quantity (kg)]]</f>
        <v>6500</v>
      </c>
      <c r="M351" s="4">
        <f>FastenersPriceList34[[#This Row],[SINGLE PC. WT.]]*FastenersPriceList34[[#This Row],[Rate / PER kg (₹)]]</f>
        <v>147.41999999999999</v>
      </c>
    </row>
    <row r="352" spans="1:13" ht="22.05" customHeight="1" x14ac:dyDescent="0.3">
      <c r="A352" s="2" t="s">
        <v>2100</v>
      </c>
      <c r="B352" s="12" t="s">
        <v>8</v>
      </c>
      <c r="C352" s="12">
        <v>10.9</v>
      </c>
      <c r="D352" s="2">
        <v>1181</v>
      </c>
      <c r="E352" s="2">
        <f>FastenersPriceList34[[#This Row],[1000 PCS/WT.]]/1000</f>
        <v>1.181</v>
      </c>
      <c r="F352" s="2" t="s">
        <v>813</v>
      </c>
      <c r="G352" s="6" t="s">
        <v>1755</v>
      </c>
      <c r="H352" s="70">
        <v>50</v>
      </c>
      <c r="I352" s="72">
        <f>FastenersPriceList34[[#This Row],[Quantity (kg)]]/FastenersPriceList34[[#This Row],[SINGLE PC. WT.]]</f>
        <v>42.337002540220148</v>
      </c>
      <c r="J352" s="3">
        <v>130</v>
      </c>
      <c r="K352" s="3">
        <f>FastenersPriceList34[[#This Row],[1000 PCS/WT.]]*FastenersPriceList34[[#This Row],[Rate / PER kg (₹)]]</f>
        <v>153530</v>
      </c>
      <c r="L352" s="4">
        <f>FastenersPriceList34[[#This Row],[Rate / PER kg (₹)]]*FastenersPriceList34[[#This Row],[Quantity (kg)]]</f>
        <v>6500</v>
      </c>
      <c r="M352" s="4">
        <f>FastenersPriceList34[[#This Row],[SINGLE PC. WT.]]*FastenersPriceList34[[#This Row],[Rate / PER kg (₹)]]</f>
        <v>153.53</v>
      </c>
    </row>
    <row r="353" spans="1:13" ht="22.05" customHeight="1" x14ac:dyDescent="0.3">
      <c r="A353" s="2" t="s">
        <v>2101</v>
      </c>
      <c r="B353" s="12" t="s">
        <v>8</v>
      </c>
      <c r="C353" s="12">
        <v>10.9</v>
      </c>
      <c r="D353" s="2">
        <v>1228</v>
      </c>
      <c r="E353" s="2">
        <f>FastenersPriceList34[[#This Row],[1000 PCS/WT.]]/1000</f>
        <v>1.228</v>
      </c>
      <c r="F353" s="2" t="s">
        <v>814</v>
      </c>
      <c r="G353" s="6" t="s">
        <v>1755</v>
      </c>
      <c r="H353" s="70">
        <v>50</v>
      </c>
      <c r="I353" s="72">
        <f>FastenersPriceList34[[#This Row],[Quantity (kg)]]/FastenersPriceList34[[#This Row],[SINGLE PC. WT.]]</f>
        <v>40.716612377850161</v>
      </c>
      <c r="J353" s="3">
        <v>130</v>
      </c>
      <c r="K353" s="3">
        <f>FastenersPriceList34[[#This Row],[1000 PCS/WT.]]*FastenersPriceList34[[#This Row],[Rate / PER kg (₹)]]</f>
        <v>159640</v>
      </c>
      <c r="L353" s="4">
        <f>FastenersPriceList34[[#This Row],[Rate / PER kg (₹)]]*FastenersPriceList34[[#This Row],[Quantity (kg)]]</f>
        <v>6500</v>
      </c>
      <c r="M353" s="4">
        <f>FastenersPriceList34[[#This Row],[SINGLE PC. WT.]]*FastenersPriceList34[[#This Row],[Rate / PER kg (₹)]]</f>
        <v>159.63999999999999</v>
      </c>
    </row>
    <row r="354" spans="1:13" ht="22.05" customHeight="1" x14ac:dyDescent="0.3">
      <c r="A354" s="2" t="s">
        <v>2102</v>
      </c>
      <c r="B354" s="12" t="s">
        <v>8</v>
      </c>
      <c r="C354" s="12">
        <v>10.9</v>
      </c>
      <c r="D354" s="2">
        <v>1275</v>
      </c>
      <c r="E354" s="2">
        <f>FastenersPriceList34[[#This Row],[1000 PCS/WT.]]/1000</f>
        <v>1.2749999999999999</v>
      </c>
      <c r="F354" s="2" t="s">
        <v>815</v>
      </c>
      <c r="G354" s="6" t="s">
        <v>1755</v>
      </c>
      <c r="H354" s="70">
        <v>50</v>
      </c>
      <c r="I354" s="72">
        <f>FastenersPriceList34[[#This Row],[Quantity (kg)]]/FastenersPriceList34[[#This Row],[SINGLE PC. WT.]]</f>
        <v>39.215686274509807</v>
      </c>
      <c r="J354" s="3">
        <v>130</v>
      </c>
      <c r="K354" s="3">
        <f>FastenersPriceList34[[#This Row],[1000 PCS/WT.]]*FastenersPriceList34[[#This Row],[Rate / PER kg (₹)]]</f>
        <v>165750</v>
      </c>
      <c r="L354" s="4">
        <f>FastenersPriceList34[[#This Row],[Rate / PER kg (₹)]]*FastenersPriceList34[[#This Row],[Quantity (kg)]]</f>
        <v>6500</v>
      </c>
      <c r="M354" s="4">
        <f>FastenersPriceList34[[#This Row],[SINGLE PC. WT.]]*FastenersPriceList34[[#This Row],[Rate / PER kg (₹)]]</f>
        <v>165.75</v>
      </c>
    </row>
    <row r="355" spans="1:13" ht="22.05" customHeight="1" x14ac:dyDescent="0.3">
      <c r="A355" s="2" t="s">
        <v>2103</v>
      </c>
      <c r="B355" s="12" t="s">
        <v>8</v>
      </c>
      <c r="C355" s="12">
        <v>10.9</v>
      </c>
      <c r="D355" s="2">
        <v>1322</v>
      </c>
      <c r="E355" s="2">
        <f>FastenersPriceList34[[#This Row],[1000 PCS/WT.]]/1000</f>
        <v>1.3220000000000001</v>
      </c>
      <c r="F355" s="2" t="s">
        <v>816</v>
      </c>
      <c r="G355" s="6" t="s">
        <v>1755</v>
      </c>
      <c r="H355" s="70">
        <v>50</v>
      </c>
      <c r="I355" s="72">
        <f>FastenersPriceList34[[#This Row],[Quantity (kg)]]/FastenersPriceList34[[#This Row],[SINGLE PC. WT.]]</f>
        <v>37.821482602118003</v>
      </c>
      <c r="J355" s="3">
        <v>130</v>
      </c>
      <c r="K355" s="3">
        <f>FastenersPriceList34[[#This Row],[1000 PCS/WT.]]*FastenersPriceList34[[#This Row],[Rate / PER kg (₹)]]</f>
        <v>171860</v>
      </c>
      <c r="L355" s="4">
        <f>FastenersPriceList34[[#This Row],[Rate / PER kg (₹)]]*FastenersPriceList34[[#This Row],[Quantity (kg)]]</f>
        <v>6500</v>
      </c>
      <c r="M355" s="4">
        <f>FastenersPriceList34[[#This Row],[SINGLE PC. WT.]]*FastenersPriceList34[[#This Row],[Rate / PER kg (₹)]]</f>
        <v>171.86</v>
      </c>
    </row>
    <row r="356" spans="1:13" ht="22.05" customHeight="1" x14ac:dyDescent="0.3">
      <c r="A356" s="2" t="s">
        <v>2104</v>
      </c>
      <c r="B356" s="12" t="s">
        <v>8</v>
      </c>
      <c r="C356" s="12">
        <v>10.9</v>
      </c>
      <c r="D356" s="2">
        <v>1369</v>
      </c>
      <c r="E356" s="2">
        <f>FastenersPriceList34[[#This Row],[1000 PCS/WT.]]/1000</f>
        <v>1.369</v>
      </c>
      <c r="F356" s="2" t="s">
        <v>817</v>
      </c>
      <c r="G356" s="6" t="s">
        <v>1755</v>
      </c>
      <c r="H356" s="70">
        <v>50</v>
      </c>
      <c r="I356" s="72">
        <f>FastenersPriceList34[[#This Row],[Quantity (kg)]]/FastenersPriceList34[[#This Row],[SINGLE PC. WT.]]</f>
        <v>36.523009495982471</v>
      </c>
      <c r="J356" s="3">
        <v>130</v>
      </c>
      <c r="K356" s="3">
        <f>FastenersPriceList34[[#This Row],[1000 PCS/WT.]]*FastenersPriceList34[[#This Row],[Rate / PER kg (₹)]]</f>
        <v>177970</v>
      </c>
      <c r="L356" s="4">
        <f>FastenersPriceList34[[#This Row],[Rate / PER kg (₹)]]*FastenersPriceList34[[#This Row],[Quantity (kg)]]</f>
        <v>6500</v>
      </c>
      <c r="M356" s="4">
        <f>FastenersPriceList34[[#This Row],[SINGLE PC. WT.]]*FastenersPriceList34[[#This Row],[Rate / PER kg (₹)]]</f>
        <v>177.97</v>
      </c>
    </row>
    <row r="357" spans="1:13" ht="22.05" customHeight="1" x14ac:dyDescent="0.3">
      <c r="A357" s="2" t="s">
        <v>2105</v>
      </c>
      <c r="B357" s="12" t="s">
        <v>8</v>
      </c>
      <c r="C357" s="12">
        <v>10.9</v>
      </c>
      <c r="D357" s="2">
        <v>1416</v>
      </c>
      <c r="E357" s="2">
        <f>FastenersPriceList34[[#This Row],[1000 PCS/WT.]]/1000</f>
        <v>1.4159999999999999</v>
      </c>
      <c r="F357" s="2" t="s">
        <v>818</v>
      </c>
      <c r="G357" s="6" t="s">
        <v>1755</v>
      </c>
      <c r="H357" s="70">
        <v>50</v>
      </c>
      <c r="I357" s="72">
        <f>FastenersPriceList34[[#This Row],[Quantity (kg)]]/FastenersPriceList34[[#This Row],[SINGLE PC. WT.]]</f>
        <v>35.310734463276837</v>
      </c>
      <c r="J357" s="3">
        <v>130</v>
      </c>
      <c r="K357" s="3">
        <f>FastenersPriceList34[[#This Row],[1000 PCS/WT.]]*FastenersPriceList34[[#This Row],[Rate / PER kg (₹)]]</f>
        <v>184080</v>
      </c>
      <c r="L357" s="4">
        <f>FastenersPriceList34[[#This Row],[Rate / PER kg (₹)]]*FastenersPriceList34[[#This Row],[Quantity (kg)]]</f>
        <v>6500</v>
      </c>
      <c r="M357" s="4">
        <f>FastenersPriceList34[[#This Row],[SINGLE PC. WT.]]*FastenersPriceList34[[#This Row],[Rate / PER kg (₹)]]</f>
        <v>184.07999999999998</v>
      </c>
    </row>
    <row r="358" spans="1:13" ht="22.05" customHeight="1" x14ac:dyDescent="0.3">
      <c r="A358" s="2" t="s">
        <v>2106</v>
      </c>
      <c r="B358" s="12" t="s">
        <v>8</v>
      </c>
      <c r="C358" s="12">
        <v>10.9</v>
      </c>
      <c r="D358" s="2">
        <v>1463</v>
      </c>
      <c r="E358" s="2">
        <f>FastenersPriceList34[[#This Row],[1000 PCS/WT.]]/1000</f>
        <v>1.4630000000000001</v>
      </c>
      <c r="F358" s="2" t="s">
        <v>819</v>
      </c>
      <c r="G358" s="6" t="s">
        <v>1755</v>
      </c>
      <c r="H358" s="70">
        <v>50</v>
      </c>
      <c r="I358" s="72">
        <f>FastenersPriceList34[[#This Row],[Quantity (kg)]]/FastenersPriceList34[[#This Row],[SINGLE PC. WT.]]</f>
        <v>34.176349965823647</v>
      </c>
      <c r="J358" s="3">
        <v>130</v>
      </c>
      <c r="K358" s="3">
        <f>FastenersPriceList34[[#This Row],[1000 PCS/WT.]]*FastenersPriceList34[[#This Row],[Rate / PER kg (₹)]]</f>
        <v>190190</v>
      </c>
      <c r="L358" s="4">
        <f>FastenersPriceList34[[#This Row],[Rate / PER kg (₹)]]*FastenersPriceList34[[#This Row],[Quantity (kg)]]</f>
        <v>6500</v>
      </c>
      <c r="M358" s="4">
        <f>FastenersPriceList34[[#This Row],[SINGLE PC. WT.]]*FastenersPriceList34[[#This Row],[Rate / PER kg (₹)]]</f>
        <v>190.19</v>
      </c>
    </row>
    <row r="359" spans="1:13" ht="22.05" customHeight="1" x14ac:dyDescent="0.3">
      <c r="A359" s="2" t="s">
        <v>2107</v>
      </c>
      <c r="B359" s="12" t="s">
        <v>8</v>
      </c>
      <c r="C359" s="12">
        <v>10.9</v>
      </c>
      <c r="D359" s="2">
        <v>1530</v>
      </c>
      <c r="E359" s="2">
        <f>FastenersPriceList34[[#This Row],[1000 PCS/WT.]]/1000</f>
        <v>1.53</v>
      </c>
      <c r="F359" s="2" t="s">
        <v>820</v>
      </c>
      <c r="G359" s="6" t="s">
        <v>1755</v>
      </c>
      <c r="H359" s="70">
        <v>50</v>
      </c>
      <c r="I359" s="72">
        <f>FastenersPriceList34[[#This Row],[Quantity (kg)]]/FastenersPriceList34[[#This Row],[SINGLE PC. WT.]]</f>
        <v>32.679738562091501</v>
      </c>
      <c r="J359" s="3">
        <v>135</v>
      </c>
      <c r="K359" s="3">
        <f>FastenersPriceList34[[#This Row],[1000 PCS/WT.]]*FastenersPriceList34[[#This Row],[Rate / PER kg (₹)]]</f>
        <v>206550</v>
      </c>
      <c r="L359" s="4">
        <f>FastenersPriceList34[[#This Row],[Rate / PER kg (₹)]]*FastenersPriceList34[[#This Row],[Quantity (kg)]]</f>
        <v>6750</v>
      </c>
      <c r="M359" s="4">
        <f>FastenersPriceList34[[#This Row],[SINGLE PC. WT.]]*FastenersPriceList34[[#This Row],[Rate / PER kg (₹)]]</f>
        <v>206.55</v>
      </c>
    </row>
    <row r="360" spans="1:13" ht="22.05" customHeight="1" x14ac:dyDescent="0.3">
      <c r="A360" s="2" t="s">
        <v>2108</v>
      </c>
      <c r="B360" s="12" t="s">
        <v>8</v>
      </c>
      <c r="C360" s="12">
        <v>10.9</v>
      </c>
      <c r="D360" s="2">
        <v>1620</v>
      </c>
      <c r="E360" s="2">
        <f>FastenersPriceList34[[#This Row],[1000 PCS/WT.]]/1000</f>
        <v>1.62</v>
      </c>
      <c r="F360" s="2" t="s">
        <v>821</v>
      </c>
      <c r="G360" s="6" t="s">
        <v>1755</v>
      </c>
      <c r="H360" s="70">
        <v>50</v>
      </c>
      <c r="I360" s="72">
        <f>FastenersPriceList34[[#This Row],[Quantity (kg)]]/FastenersPriceList34[[#This Row],[SINGLE PC. WT.]]</f>
        <v>30.864197530864196</v>
      </c>
      <c r="J360" s="3">
        <v>135</v>
      </c>
      <c r="K360" s="3">
        <f>FastenersPriceList34[[#This Row],[1000 PCS/WT.]]*FastenersPriceList34[[#This Row],[Rate / PER kg (₹)]]</f>
        <v>218700</v>
      </c>
      <c r="L360" s="4">
        <f>FastenersPriceList34[[#This Row],[Rate / PER kg (₹)]]*FastenersPriceList34[[#This Row],[Quantity (kg)]]</f>
        <v>6750</v>
      </c>
      <c r="M360" s="4">
        <f>FastenersPriceList34[[#This Row],[SINGLE PC. WT.]]*FastenersPriceList34[[#This Row],[Rate / PER kg (₹)]]</f>
        <v>218.70000000000002</v>
      </c>
    </row>
    <row r="361" spans="1:13" ht="22.05" customHeight="1" x14ac:dyDescent="0.3">
      <c r="A361" s="2" t="s">
        <v>2109</v>
      </c>
      <c r="B361" s="12" t="s">
        <v>8</v>
      </c>
      <c r="C361" s="12">
        <v>10.9</v>
      </c>
      <c r="D361" s="2">
        <v>1710</v>
      </c>
      <c r="E361" s="2">
        <f>FastenersPriceList34[[#This Row],[1000 PCS/WT.]]/1000</f>
        <v>1.71</v>
      </c>
      <c r="F361" s="2" t="s">
        <v>822</v>
      </c>
      <c r="G361" s="6" t="s">
        <v>1755</v>
      </c>
      <c r="H361" s="70">
        <v>50</v>
      </c>
      <c r="I361" s="72">
        <f>FastenersPriceList34[[#This Row],[Quantity (kg)]]/FastenersPriceList34[[#This Row],[SINGLE PC. WT.]]</f>
        <v>29.239766081871345</v>
      </c>
      <c r="J361" s="3">
        <v>135</v>
      </c>
      <c r="K361" s="3">
        <f>FastenersPriceList34[[#This Row],[1000 PCS/WT.]]*FastenersPriceList34[[#This Row],[Rate / PER kg (₹)]]</f>
        <v>230850</v>
      </c>
      <c r="L361" s="4">
        <f>FastenersPriceList34[[#This Row],[Rate / PER kg (₹)]]*FastenersPriceList34[[#This Row],[Quantity (kg)]]</f>
        <v>6750</v>
      </c>
      <c r="M361" s="4">
        <f>FastenersPriceList34[[#This Row],[SINGLE PC. WT.]]*FastenersPriceList34[[#This Row],[Rate / PER kg (₹)]]</f>
        <v>230.85</v>
      </c>
    </row>
    <row r="362" spans="1:13" ht="22.05" customHeight="1" x14ac:dyDescent="0.3">
      <c r="A362" s="2" t="s">
        <v>2110</v>
      </c>
      <c r="B362" s="12" t="s">
        <v>8</v>
      </c>
      <c r="C362" s="12">
        <v>10.9</v>
      </c>
      <c r="D362" s="2">
        <v>1800</v>
      </c>
      <c r="E362" s="2">
        <f>FastenersPriceList34[[#This Row],[1000 PCS/WT.]]/1000</f>
        <v>1.8</v>
      </c>
      <c r="F362" s="2" t="s">
        <v>823</v>
      </c>
      <c r="G362" s="6" t="s">
        <v>1755</v>
      </c>
      <c r="H362" s="70">
        <v>50</v>
      </c>
      <c r="I362" s="72">
        <f>FastenersPriceList34[[#This Row],[Quantity (kg)]]/FastenersPriceList34[[#This Row],[SINGLE PC. WT.]]</f>
        <v>27.777777777777779</v>
      </c>
      <c r="J362" s="3">
        <v>135</v>
      </c>
      <c r="K362" s="3">
        <f>FastenersPriceList34[[#This Row],[1000 PCS/WT.]]*FastenersPriceList34[[#This Row],[Rate / PER kg (₹)]]</f>
        <v>243000</v>
      </c>
      <c r="L362" s="4">
        <f>FastenersPriceList34[[#This Row],[Rate / PER kg (₹)]]*FastenersPriceList34[[#This Row],[Quantity (kg)]]</f>
        <v>6750</v>
      </c>
      <c r="M362" s="4">
        <f>FastenersPriceList34[[#This Row],[SINGLE PC. WT.]]*FastenersPriceList34[[#This Row],[Rate / PER kg (₹)]]</f>
        <v>243</v>
      </c>
    </row>
    <row r="363" spans="1:13" ht="22.05" customHeight="1" x14ac:dyDescent="0.3">
      <c r="A363" s="2" t="s">
        <v>2111</v>
      </c>
      <c r="B363" s="12" t="s">
        <v>8</v>
      </c>
      <c r="C363" s="12">
        <v>10.9</v>
      </c>
      <c r="D363" s="2">
        <v>1890</v>
      </c>
      <c r="E363" s="2">
        <f>FastenersPriceList34[[#This Row],[1000 PCS/WT.]]/1000</f>
        <v>1.89</v>
      </c>
      <c r="F363" s="2" t="s">
        <v>824</v>
      </c>
      <c r="G363" s="6" t="s">
        <v>1755</v>
      </c>
      <c r="H363" s="70">
        <v>50</v>
      </c>
      <c r="I363" s="72">
        <f>FastenersPriceList34[[#This Row],[Quantity (kg)]]/FastenersPriceList34[[#This Row],[SINGLE PC. WT.]]</f>
        <v>26.455026455026456</v>
      </c>
      <c r="J363" s="3">
        <v>135</v>
      </c>
      <c r="K363" s="3">
        <f>FastenersPriceList34[[#This Row],[1000 PCS/WT.]]*FastenersPriceList34[[#This Row],[Rate / PER kg (₹)]]</f>
        <v>255150</v>
      </c>
      <c r="L363" s="4">
        <f>FastenersPriceList34[[#This Row],[Rate / PER kg (₹)]]*FastenersPriceList34[[#This Row],[Quantity (kg)]]</f>
        <v>6750</v>
      </c>
      <c r="M363" s="4">
        <f>FastenersPriceList34[[#This Row],[SINGLE PC. WT.]]*FastenersPriceList34[[#This Row],[Rate / PER kg (₹)]]</f>
        <v>255.14999999999998</v>
      </c>
    </row>
    <row r="364" spans="1:13" ht="22.05" customHeight="1" x14ac:dyDescent="0.3">
      <c r="A364" s="2" t="s">
        <v>2112</v>
      </c>
      <c r="B364" s="12" t="s">
        <v>8</v>
      </c>
      <c r="C364" s="12">
        <v>10.9</v>
      </c>
      <c r="D364" s="2">
        <v>1980</v>
      </c>
      <c r="E364" s="2">
        <f>FastenersPriceList34[[#This Row],[1000 PCS/WT.]]/1000</f>
        <v>1.98</v>
      </c>
      <c r="F364" s="2" t="s">
        <v>825</v>
      </c>
      <c r="G364" s="6" t="s">
        <v>1755</v>
      </c>
      <c r="H364" s="70">
        <v>50</v>
      </c>
      <c r="I364" s="72">
        <f>FastenersPriceList34[[#This Row],[Quantity (kg)]]/FastenersPriceList34[[#This Row],[SINGLE PC. WT.]]</f>
        <v>25.252525252525253</v>
      </c>
      <c r="J364" s="3">
        <v>135</v>
      </c>
      <c r="K364" s="3">
        <f>FastenersPriceList34[[#This Row],[1000 PCS/WT.]]*FastenersPriceList34[[#This Row],[Rate / PER kg (₹)]]</f>
        <v>267300</v>
      </c>
      <c r="L364" s="4">
        <f>FastenersPriceList34[[#This Row],[Rate / PER kg (₹)]]*FastenersPriceList34[[#This Row],[Quantity (kg)]]</f>
        <v>6750</v>
      </c>
      <c r="M364" s="4">
        <f>FastenersPriceList34[[#This Row],[SINGLE PC. WT.]]*FastenersPriceList34[[#This Row],[Rate / PER kg (₹)]]</f>
        <v>267.3</v>
      </c>
    </row>
    <row r="365" spans="1:13" ht="22.05" customHeight="1" x14ac:dyDescent="0.3">
      <c r="A365" s="2" t="s">
        <v>2113</v>
      </c>
      <c r="B365" s="12" t="s">
        <v>8</v>
      </c>
      <c r="C365" s="12">
        <v>10.9</v>
      </c>
      <c r="D365" s="2">
        <v>2070</v>
      </c>
      <c r="E365" s="2">
        <f>FastenersPriceList34[[#This Row],[1000 PCS/WT.]]/1000</f>
        <v>2.0699999999999998</v>
      </c>
      <c r="F365" s="2" t="s">
        <v>826</v>
      </c>
      <c r="G365" s="6" t="s">
        <v>1755</v>
      </c>
      <c r="H365" s="70">
        <v>50</v>
      </c>
      <c r="I365" s="72">
        <f>FastenersPriceList34[[#This Row],[Quantity (kg)]]/FastenersPriceList34[[#This Row],[SINGLE PC. WT.]]</f>
        <v>24.154589371980677</v>
      </c>
      <c r="J365" s="3">
        <v>135</v>
      </c>
      <c r="K365" s="3">
        <f>FastenersPriceList34[[#This Row],[1000 PCS/WT.]]*FastenersPriceList34[[#This Row],[Rate / PER kg (₹)]]</f>
        <v>279450</v>
      </c>
      <c r="L365" s="4">
        <f>FastenersPriceList34[[#This Row],[Rate / PER kg (₹)]]*FastenersPriceList34[[#This Row],[Quantity (kg)]]</f>
        <v>6750</v>
      </c>
      <c r="M365" s="4">
        <f>FastenersPriceList34[[#This Row],[SINGLE PC. WT.]]*FastenersPriceList34[[#This Row],[Rate / PER kg (₹)]]</f>
        <v>279.45</v>
      </c>
    </row>
    <row r="366" spans="1:13" ht="22.05" customHeight="1" x14ac:dyDescent="0.3">
      <c r="A366" s="2" t="s">
        <v>2114</v>
      </c>
      <c r="B366" s="12" t="s">
        <v>8</v>
      </c>
      <c r="C366" s="12">
        <v>10.9</v>
      </c>
      <c r="D366" s="2">
        <v>2160</v>
      </c>
      <c r="E366" s="2">
        <f>FastenersPriceList34[[#This Row],[1000 PCS/WT.]]/1000</f>
        <v>2.16</v>
      </c>
      <c r="F366" s="2" t="s">
        <v>827</v>
      </c>
      <c r="G366" s="6" t="s">
        <v>1755</v>
      </c>
      <c r="H366" s="70">
        <v>50</v>
      </c>
      <c r="I366" s="72">
        <f>FastenersPriceList34[[#This Row],[Quantity (kg)]]/FastenersPriceList34[[#This Row],[SINGLE PC. WT.]]</f>
        <v>23.148148148148145</v>
      </c>
      <c r="J366" s="3">
        <v>135</v>
      </c>
      <c r="K366" s="3">
        <f>FastenersPriceList34[[#This Row],[1000 PCS/WT.]]*FastenersPriceList34[[#This Row],[Rate / PER kg (₹)]]</f>
        <v>291600</v>
      </c>
      <c r="L366" s="4">
        <f>FastenersPriceList34[[#This Row],[Rate / PER kg (₹)]]*FastenersPriceList34[[#This Row],[Quantity (kg)]]</f>
        <v>6750</v>
      </c>
      <c r="M366" s="4">
        <f>FastenersPriceList34[[#This Row],[SINGLE PC. WT.]]*FastenersPriceList34[[#This Row],[Rate / PER kg (₹)]]</f>
        <v>291.60000000000002</v>
      </c>
    </row>
    <row r="367" spans="1:13" ht="22.05" customHeight="1" x14ac:dyDescent="0.3">
      <c r="A367" s="2" t="s">
        <v>2115</v>
      </c>
      <c r="B367" s="12" t="s">
        <v>8</v>
      </c>
      <c r="C367" s="12">
        <v>10.9</v>
      </c>
      <c r="D367" s="2">
        <v>2250</v>
      </c>
      <c r="E367" s="2">
        <f>FastenersPriceList34[[#This Row],[1000 PCS/WT.]]/1000</f>
        <v>2.25</v>
      </c>
      <c r="F367" s="2" t="s">
        <v>828</v>
      </c>
      <c r="G367" s="6" t="s">
        <v>1755</v>
      </c>
      <c r="H367" s="70">
        <v>50</v>
      </c>
      <c r="I367" s="72">
        <f>FastenersPriceList34[[#This Row],[Quantity (kg)]]/FastenersPriceList34[[#This Row],[SINGLE PC. WT.]]</f>
        <v>22.222222222222221</v>
      </c>
      <c r="J367" s="3">
        <v>135</v>
      </c>
      <c r="K367" s="3">
        <f>FastenersPriceList34[[#This Row],[1000 PCS/WT.]]*FastenersPriceList34[[#This Row],[Rate / PER kg (₹)]]</f>
        <v>303750</v>
      </c>
      <c r="L367" s="4">
        <f>FastenersPriceList34[[#This Row],[Rate / PER kg (₹)]]*FastenersPriceList34[[#This Row],[Quantity (kg)]]</f>
        <v>6750</v>
      </c>
      <c r="M367" s="4">
        <f>FastenersPriceList34[[#This Row],[SINGLE PC. WT.]]*FastenersPriceList34[[#This Row],[Rate / PER kg (₹)]]</f>
        <v>303.75</v>
      </c>
    </row>
    <row r="368" spans="1:13" ht="22.05" customHeight="1" x14ac:dyDescent="0.3">
      <c r="A368" s="2" t="s">
        <v>2116</v>
      </c>
      <c r="B368" s="12" t="s">
        <v>8</v>
      </c>
      <c r="C368" s="12">
        <v>10.9</v>
      </c>
      <c r="D368" s="2">
        <v>2340</v>
      </c>
      <c r="E368" s="2">
        <f>FastenersPriceList34[[#This Row],[1000 PCS/WT.]]/1000</f>
        <v>2.34</v>
      </c>
      <c r="F368" s="2" t="s">
        <v>829</v>
      </c>
      <c r="G368" s="6" t="s">
        <v>1755</v>
      </c>
      <c r="H368" s="70">
        <v>50</v>
      </c>
      <c r="I368" s="72">
        <f>FastenersPriceList34[[#This Row],[Quantity (kg)]]/FastenersPriceList34[[#This Row],[SINGLE PC. WT.]]</f>
        <v>21.36752136752137</v>
      </c>
      <c r="J368" s="3">
        <v>135</v>
      </c>
      <c r="K368" s="3">
        <f>FastenersPriceList34[[#This Row],[1000 PCS/WT.]]*FastenersPriceList34[[#This Row],[Rate / PER kg (₹)]]</f>
        <v>315900</v>
      </c>
      <c r="L368" s="4">
        <f>FastenersPriceList34[[#This Row],[Rate / PER kg (₹)]]*FastenersPriceList34[[#This Row],[Quantity (kg)]]</f>
        <v>6750</v>
      </c>
      <c r="M368" s="4">
        <f>FastenersPriceList34[[#This Row],[SINGLE PC. WT.]]*FastenersPriceList34[[#This Row],[Rate / PER kg (₹)]]</f>
        <v>315.89999999999998</v>
      </c>
    </row>
    <row r="369" spans="1:13" ht="22.05" customHeight="1" x14ac:dyDescent="0.3">
      <c r="A369" s="2" t="s">
        <v>2117</v>
      </c>
      <c r="B369" s="12" t="s">
        <v>8</v>
      </c>
      <c r="C369" s="12">
        <v>10.9</v>
      </c>
      <c r="D369" s="2">
        <v>2430</v>
      </c>
      <c r="E369" s="2">
        <f>FastenersPriceList34[[#This Row],[1000 PCS/WT.]]/1000</f>
        <v>2.4300000000000002</v>
      </c>
      <c r="F369" s="2" t="s">
        <v>830</v>
      </c>
      <c r="G369" s="6" t="s">
        <v>1755</v>
      </c>
      <c r="H369" s="70">
        <v>50</v>
      </c>
      <c r="I369" s="72">
        <f>FastenersPriceList34[[#This Row],[Quantity (kg)]]/FastenersPriceList34[[#This Row],[SINGLE PC. WT.]]</f>
        <v>20.576131687242796</v>
      </c>
      <c r="J369" s="3">
        <v>138</v>
      </c>
      <c r="K369" s="3">
        <f>FastenersPriceList34[[#This Row],[1000 PCS/WT.]]*FastenersPriceList34[[#This Row],[Rate / PER kg (₹)]]</f>
        <v>335340</v>
      </c>
      <c r="L369" s="4">
        <f>FastenersPriceList34[[#This Row],[Rate / PER kg (₹)]]*FastenersPriceList34[[#This Row],[Quantity (kg)]]</f>
        <v>6900</v>
      </c>
      <c r="M369" s="4">
        <f>FastenersPriceList34[[#This Row],[SINGLE PC. WT.]]*FastenersPriceList34[[#This Row],[Rate / PER kg (₹)]]</f>
        <v>335.34000000000003</v>
      </c>
    </row>
    <row r="370" spans="1:13" ht="22.05" customHeight="1" x14ac:dyDescent="0.3">
      <c r="A370" s="2" t="s">
        <v>2118</v>
      </c>
      <c r="B370" s="12" t="s">
        <v>8</v>
      </c>
      <c r="C370" s="12">
        <v>10.9</v>
      </c>
      <c r="D370" s="2">
        <v>2520</v>
      </c>
      <c r="E370" s="2">
        <f>FastenersPriceList34[[#This Row],[1000 PCS/WT.]]/1000</f>
        <v>2.52</v>
      </c>
      <c r="F370" s="2" t="s">
        <v>831</v>
      </c>
      <c r="G370" s="6" t="s">
        <v>1755</v>
      </c>
      <c r="H370" s="70">
        <v>50</v>
      </c>
      <c r="I370" s="72">
        <f>FastenersPriceList34[[#This Row],[Quantity (kg)]]/FastenersPriceList34[[#This Row],[SINGLE PC. WT.]]</f>
        <v>19.841269841269842</v>
      </c>
      <c r="J370" s="3">
        <v>138</v>
      </c>
      <c r="K370" s="3">
        <f>FastenersPriceList34[[#This Row],[1000 PCS/WT.]]*FastenersPriceList34[[#This Row],[Rate / PER kg (₹)]]</f>
        <v>347760</v>
      </c>
      <c r="L370" s="4">
        <f>FastenersPriceList34[[#This Row],[Rate / PER kg (₹)]]*FastenersPriceList34[[#This Row],[Quantity (kg)]]</f>
        <v>6900</v>
      </c>
      <c r="M370" s="4">
        <f>FastenersPriceList34[[#This Row],[SINGLE PC. WT.]]*FastenersPriceList34[[#This Row],[Rate / PER kg (₹)]]</f>
        <v>347.76</v>
      </c>
    </row>
    <row r="371" spans="1:13" ht="22.05" customHeight="1" x14ac:dyDescent="0.3">
      <c r="A371" s="2" t="s">
        <v>2119</v>
      </c>
      <c r="B371" s="12" t="s">
        <v>8</v>
      </c>
      <c r="C371" s="12">
        <v>10.9</v>
      </c>
      <c r="D371" s="2">
        <v>2610</v>
      </c>
      <c r="E371" s="2">
        <f>FastenersPriceList34[[#This Row],[1000 PCS/WT.]]/1000</f>
        <v>2.61</v>
      </c>
      <c r="F371" s="2" t="s">
        <v>832</v>
      </c>
      <c r="G371" s="6" t="s">
        <v>1755</v>
      </c>
      <c r="H371" s="70">
        <v>50</v>
      </c>
      <c r="I371" s="72">
        <f>FastenersPriceList34[[#This Row],[Quantity (kg)]]/FastenersPriceList34[[#This Row],[SINGLE PC. WT.]]</f>
        <v>19.157088122605366</v>
      </c>
      <c r="J371" s="3">
        <v>138</v>
      </c>
      <c r="K371" s="3">
        <f>FastenersPriceList34[[#This Row],[1000 PCS/WT.]]*FastenersPriceList34[[#This Row],[Rate / PER kg (₹)]]</f>
        <v>360180</v>
      </c>
      <c r="L371" s="4">
        <f>FastenersPriceList34[[#This Row],[Rate / PER kg (₹)]]*FastenersPriceList34[[#This Row],[Quantity (kg)]]</f>
        <v>6900</v>
      </c>
      <c r="M371" s="4">
        <f>FastenersPriceList34[[#This Row],[SINGLE PC. WT.]]*FastenersPriceList34[[#This Row],[Rate / PER kg (₹)]]</f>
        <v>360.18</v>
      </c>
    </row>
    <row r="372" spans="1:13" ht="22.05" customHeight="1" x14ac:dyDescent="0.3">
      <c r="A372" s="2" t="s">
        <v>2120</v>
      </c>
      <c r="B372" s="12" t="s">
        <v>8</v>
      </c>
      <c r="C372" s="12">
        <v>10.9</v>
      </c>
      <c r="D372" s="2">
        <v>2700</v>
      </c>
      <c r="E372" s="2">
        <f>FastenersPriceList34[[#This Row],[1000 PCS/WT.]]/1000</f>
        <v>2.7</v>
      </c>
      <c r="F372" s="2" t="s">
        <v>833</v>
      </c>
      <c r="G372" s="6" t="s">
        <v>1755</v>
      </c>
      <c r="H372" s="70">
        <v>50</v>
      </c>
      <c r="I372" s="72">
        <f>FastenersPriceList34[[#This Row],[Quantity (kg)]]/FastenersPriceList34[[#This Row],[SINGLE PC. WT.]]</f>
        <v>18.518518518518519</v>
      </c>
      <c r="J372" s="3">
        <v>138</v>
      </c>
      <c r="K372" s="3">
        <f>FastenersPriceList34[[#This Row],[1000 PCS/WT.]]*FastenersPriceList34[[#This Row],[Rate / PER kg (₹)]]</f>
        <v>372600</v>
      </c>
      <c r="L372" s="4">
        <f>FastenersPriceList34[[#This Row],[Rate / PER kg (₹)]]*FastenersPriceList34[[#This Row],[Quantity (kg)]]</f>
        <v>6900</v>
      </c>
      <c r="M372" s="4">
        <f>FastenersPriceList34[[#This Row],[SINGLE PC. WT.]]*FastenersPriceList34[[#This Row],[Rate / PER kg (₹)]]</f>
        <v>372.6</v>
      </c>
    </row>
    <row r="373" spans="1:13" ht="22.05" customHeight="1" x14ac:dyDescent="0.3">
      <c r="A373" s="2" t="s">
        <v>2121</v>
      </c>
      <c r="B373" s="12" t="s">
        <v>8</v>
      </c>
      <c r="C373" s="12">
        <v>10.9</v>
      </c>
      <c r="D373" s="2">
        <v>2790</v>
      </c>
      <c r="E373" s="2">
        <f>FastenersPriceList34[[#This Row],[1000 PCS/WT.]]/1000</f>
        <v>2.79</v>
      </c>
      <c r="F373" s="2" t="s">
        <v>834</v>
      </c>
      <c r="G373" s="6" t="s">
        <v>1755</v>
      </c>
      <c r="H373" s="70">
        <v>50</v>
      </c>
      <c r="I373" s="72">
        <f>FastenersPriceList34[[#This Row],[Quantity (kg)]]/FastenersPriceList34[[#This Row],[SINGLE PC. WT.]]</f>
        <v>17.921146953405017</v>
      </c>
      <c r="J373" s="3">
        <v>138</v>
      </c>
      <c r="K373" s="3">
        <f>FastenersPriceList34[[#This Row],[1000 PCS/WT.]]*FastenersPriceList34[[#This Row],[Rate / PER kg (₹)]]</f>
        <v>385020</v>
      </c>
      <c r="L373" s="4">
        <f>FastenersPriceList34[[#This Row],[Rate / PER kg (₹)]]*FastenersPriceList34[[#This Row],[Quantity (kg)]]</f>
        <v>6900</v>
      </c>
      <c r="M373" s="4">
        <f>FastenersPriceList34[[#This Row],[SINGLE PC. WT.]]*FastenersPriceList34[[#This Row],[Rate / PER kg (₹)]]</f>
        <v>385.02</v>
      </c>
    </row>
    <row r="374" spans="1:13" ht="22.05" customHeight="1" x14ac:dyDescent="0.3">
      <c r="A374" s="2" t="s">
        <v>2122</v>
      </c>
      <c r="B374" s="12" t="s">
        <v>8</v>
      </c>
      <c r="C374" s="12">
        <v>10.9</v>
      </c>
      <c r="D374" s="2">
        <v>2880</v>
      </c>
      <c r="E374" s="2">
        <f>FastenersPriceList34[[#This Row],[1000 PCS/WT.]]/1000</f>
        <v>2.88</v>
      </c>
      <c r="F374" s="2" t="s">
        <v>835</v>
      </c>
      <c r="G374" s="6" t="s">
        <v>1755</v>
      </c>
      <c r="H374" s="70">
        <v>50</v>
      </c>
      <c r="I374" s="72">
        <f>FastenersPriceList34[[#This Row],[Quantity (kg)]]/FastenersPriceList34[[#This Row],[SINGLE PC. WT.]]</f>
        <v>17.361111111111111</v>
      </c>
      <c r="J374" s="3">
        <v>138</v>
      </c>
      <c r="K374" s="3">
        <f>FastenersPriceList34[[#This Row],[1000 PCS/WT.]]*FastenersPriceList34[[#This Row],[Rate / PER kg (₹)]]</f>
        <v>397440</v>
      </c>
      <c r="L374" s="4">
        <f>FastenersPriceList34[[#This Row],[Rate / PER kg (₹)]]*FastenersPriceList34[[#This Row],[Quantity (kg)]]</f>
        <v>6900</v>
      </c>
      <c r="M374" s="4">
        <f>FastenersPriceList34[[#This Row],[SINGLE PC. WT.]]*FastenersPriceList34[[#This Row],[Rate / PER kg (₹)]]</f>
        <v>397.44</v>
      </c>
    </row>
    <row r="375" spans="1:13" ht="22.05" customHeight="1" x14ac:dyDescent="0.3">
      <c r="A375" s="2" t="s">
        <v>2123</v>
      </c>
      <c r="B375" s="12" t="s">
        <v>8</v>
      </c>
      <c r="C375" s="12">
        <v>10.9</v>
      </c>
      <c r="D375" s="2">
        <v>2970</v>
      </c>
      <c r="E375" s="2">
        <f>FastenersPriceList34[[#This Row],[1000 PCS/WT.]]/1000</f>
        <v>2.97</v>
      </c>
      <c r="F375" s="2" t="s">
        <v>836</v>
      </c>
      <c r="G375" s="6" t="s">
        <v>1755</v>
      </c>
      <c r="H375" s="70">
        <v>50</v>
      </c>
      <c r="I375" s="72">
        <f>FastenersPriceList34[[#This Row],[Quantity (kg)]]/FastenersPriceList34[[#This Row],[SINGLE PC. WT.]]</f>
        <v>16.835016835016834</v>
      </c>
      <c r="J375" s="3">
        <v>138</v>
      </c>
      <c r="K375" s="3">
        <f>FastenersPriceList34[[#This Row],[1000 PCS/WT.]]*FastenersPriceList34[[#This Row],[Rate / PER kg (₹)]]</f>
        <v>409860</v>
      </c>
      <c r="L375" s="4">
        <f>FastenersPriceList34[[#This Row],[Rate / PER kg (₹)]]*FastenersPriceList34[[#This Row],[Quantity (kg)]]</f>
        <v>6900</v>
      </c>
      <c r="M375" s="4">
        <f>FastenersPriceList34[[#This Row],[SINGLE PC. WT.]]*FastenersPriceList34[[#This Row],[Rate / PER kg (₹)]]</f>
        <v>409.86</v>
      </c>
    </row>
    <row r="376" spans="1:13" ht="22.05" customHeight="1" x14ac:dyDescent="0.3">
      <c r="A376" s="2" t="s">
        <v>2124</v>
      </c>
      <c r="B376" s="12" t="s">
        <v>8</v>
      </c>
      <c r="C376" s="12">
        <v>10.9</v>
      </c>
      <c r="D376" s="2">
        <v>3060</v>
      </c>
      <c r="E376" s="2">
        <f>FastenersPriceList34[[#This Row],[1000 PCS/WT.]]/1000</f>
        <v>3.06</v>
      </c>
      <c r="F376" s="2" t="s">
        <v>837</v>
      </c>
      <c r="G376" s="6" t="s">
        <v>1755</v>
      </c>
      <c r="H376" s="70">
        <v>50</v>
      </c>
      <c r="I376" s="72">
        <f>FastenersPriceList34[[#This Row],[Quantity (kg)]]/FastenersPriceList34[[#This Row],[SINGLE PC. WT.]]</f>
        <v>16.33986928104575</v>
      </c>
      <c r="J376" s="3">
        <v>138</v>
      </c>
      <c r="K376" s="3">
        <f>FastenersPriceList34[[#This Row],[1000 PCS/WT.]]*FastenersPriceList34[[#This Row],[Rate / PER kg (₹)]]</f>
        <v>422280</v>
      </c>
      <c r="L376" s="4">
        <f>FastenersPriceList34[[#This Row],[Rate / PER kg (₹)]]*FastenersPriceList34[[#This Row],[Quantity (kg)]]</f>
        <v>6900</v>
      </c>
      <c r="M376" s="4">
        <f>FastenersPriceList34[[#This Row],[SINGLE PC. WT.]]*FastenersPriceList34[[#This Row],[Rate / PER kg (₹)]]</f>
        <v>422.28000000000003</v>
      </c>
    </row>
    <row r="377" spans="1:13" ht="22.05" customHeight="1" x14ac:dyDescent="0.3">
      <c r="A377" s="2" t="s">
        <v>2125</v>
      </c>
      <c r="B377" s="12" t="s">
        <v>8</v>
      </c>
      <c r="C377" s="12">
        <v>10.9</v>
      </c>
      <c r="D377" s="2">
        <v>3150</v>
      </c>
      <c r="E377" s="2">
        <f>FastenersPriceList34[[#This Row],[1000 PCS/WT.]]/1000</f>
        <v>3.15</v>
      </c>
      <c r="F377" s="2" t="s">
        <v>838</v>
      </c>
      <c r="G377" s="6" t="s">
        <v>1755</v>
      </c>
      <c r="H377" s="70">
        <v>50</v>
      </c>
      <c r="I377" s="72">
        <f>FastenersPriceList34[[#This Row],[Quantity (kg)]]/FastenersPriceList34[[#This Row],[SINGLE PC. WT.]]</f>
        <v>15.873015873015873</v>
      </c>
      <c r="J377" s="3">
        <v>138</v>
      </c>
      <c r="K377" s="3">
        <f>FastenersPriceList34[[#This Row],[1000 PCS/WT.]]*FastenersPriceList34[[#This Row],[Rate / PER kg (₹)]]</f>
        <v>434700</v>
      </c>
      <c r="L377" s="4">
        <f>FastenersPriceList34[[#This Row],[Rate / PER kg (₹)]]*FastenersPriceList34[[#This Row],[Quantity (kg)]]</f>
        <v>6900</v>
      </c>
      <c r="M377" s="4">
        <f>FastenersPriceList34[[#This Row],[SINGLE PC. WT.]]*FastenersPriceList34[[#This Row],[Rate / PER kg (₹)]]</f>
        <v>434.7</v>
      </c>
    </row>
    <row r="378" spans="1:13" ht="22.05" customHeight="1" x14ac:dyDescent="0.3">
      <c r="A378" s="2" t="s">
        <v>2126</v>
      </c>
      <c r="B378" s="12" t="s">
        <v>8</v>
      </c>
      <c r="C378" s="12">
        <v>10.9</v>
      </c>
      <c r="D378" s="2">
        <v>3240</v>
      </c>
      <c r="E378" s="2">
        <f>FastenersPriceList34[[#This Row],[1000 PCS/WT.]]/1000</f>
        <v>3.24</v>
      </c>
      <c r="F378" s="2" t="s">
        <v>839</v>
      </c>
      <c r="G378" s="6" t="s">
        <v>1755</v>
      </c>
      <c r="H378" s="70">
        <v>50</v>
      </c>
      <c r="I378" s="72">
        <f>FastenersPriceList34[[#This Row],[Quantity (kg)]]/FastenersPriceList34[[#This Row],[SINGLE PC. WT.]]</f>
        <v>15.432098765432098</v>
      </c>
      <c r="J378" s="3">
        <v>138</v>
      </c>
      <c r="K378" s="3">
        <f>FastenersPriceList34[[#This Row],[1000 PCS/WT.]]*FastenersPriceList34[[#This Row],[Rate / PER kg (₹)]]</f>
        <v>447120</v>
      </c>
      <c r="L378" s="4">
        <f>FastenersPriceList34[[#This Row],[Rate / PER kg (₹)]]*FastenersPriceList34[[#This Row],[Quantity (kg)]]</f>
        <v>6900</v>
      </c>
      <c r="M378" s="4">
        <f>FastenersPriceList34[[#This Row],[SINGLE PC. WT.]]*FastenersPriceList34[[#This Row],[Rate / PER kg (₹)]]</f>
        <v>447.12</v>
      </c>
    </row>
    <row r="379" spans="1:13" ht="22.05" customHeight="1" x14ac:dyDescent="0.3">
      <c r="A379" s="2" t="s">
        <v>2127</v>
      </c>
      <c r="B379" s="12" t="s">
        <v>8</v>
      </c>
      <c r="C379" s="12">
        <v>10.9</v>
      </c>
      <c r="D379" s="2">
        <v>1390</v>
      </c>
      <c r="E379" s="2">
        <f>FastenersPriceList34[[#This Row],[1000 PCS/WT.]]/1000</f>
        <v>1.39</v>
      </c>
      <c r="F379" s="2" t="s">
        <v>840</v>
      </c>
      <c r="G379" s="6" t="s">
        <v>1755</v>
      </c>
      <c r="H379" s="70">
        <v>50</v>
      </c>
      <c r="I379" s="72">
        <f>FastenersPriceList34[[#This Row],[Quantity (kg)]]/FastenersPriceList34[[#This Row],[SINGLE PC. WT.]]</f>
        <v>35.971223021582738</v>
      </c>
      <c r="J379" s="3">
        <v>135</v>
      </c>
      <c r="K379" s="3">
        <f>FastenersPriceList34[[#This Row],[1000 PCS/WT.]]*FastenersPriceList34[[#This Row],[Rate / PER kg (₹)]]</f>
        <v>187650</v>
      </c>
      <c r="L379" s="4">
        <f>FastenersPriceList34[[#This Row],[Rate / PER kg (₹)]]*FastenersPriceList34[[#This Row],[Quantity (kg)]]</f>
        <v>6750</v>
      </c>
      <c r="M379" s="4">
        <f>FastenersPriceList34[[#This Row],[SINGLE PC. WT.]]*FastenersPriceList34[[#This Row],[Rate / PER kg (₹)]]</f>
        <v>187.64999999999998</v>
      </c>
    </row>
    <row r="380" spans="1:13" ht="22.05" customHeight="1" x14ac:dyDescent="0.3">
      <c r="A380" s="2" t="s">
        <v>2128</v>
      </c>
      <c r="B380" s="12" t="s">
        <v>8</v>
      </c>
      <c r="C380" s="12">
        <v>10.9</v>
      </c>
      <c r="D380" s="2">
        <v>1445</v>
      </c>
      <c r="E380" s="2">
        <f>FastenersPriceList34[[#This Row],[1000 PCS/WT.]]/1000</f>
        <v>1.4450000000000001</v>
      </c>
      <c r="F380" s="2" t="s">
        <v>841</v>
      </c>
      <c r="G380" s="6" t="s">
        <v>1755</v>
      </c>
      <c r="H380" s="70">
        <v>50</v>
      </c>
      <c r="I380" s="72">
        <f>FastenersPriceList34[[#This Row],[Quantity (kg)]]/FastenersPriceList34[[#This Row],[SINGLE PC. WT.]]</f>
        <v>34.602076124567475</v>
      </c>
      <c r="J380" s="3">
        <v>135</v>
      </c>
      <c r="K380" s="3">
        <f>FastenersPriceList34[[#This Row],[1000 PCS/WT.]]*FastenersPriceList34[[#This Row],[Rate / PER kg (₹)]]</f>
        <v>195075</v>
      </c>
      <c r="L380" s="4">
        <f>FastenersPriceList34[[#This Row],[Rate / PER kg (₹)]]*FastenersPriceList34[[#This Row],[Quantity (kg)]]</f>
        <v>6750</v>
      </c>
      <c r="M380" s="4">
        <f>FastenersPriceList34[[#This Row],[SINGLE PC. WT.]]*FastenersPriceList34[[#This Row],[Rate / PER kg (₹)]]</f>
        <v>195.07500000000002</v>
      </c>
    </row>
    <row r="381" spans="1:13" ht="22.05" customHeight="1" x14ac:dyDescent="0.3">
      <c r="A381" s="2" t="s">
        <v>2129</v>
      </c>
      <c r="B381" s="12" t="s">
        <v>8</v>
      </c>
      <c r="C381" s="12">
        <v>10.9</v>
      </c>
      <c r="D381" s="2">
        <v>1500</v>
      </c>
      <c r="E381" s="2">
        <f>FastenersPriceList34[[#This Row],[1000 PCS/WT.]]/1000</f>
        <v>1.5</v>
      </c>
      <c r="F381" s="2" t="s">
        <v>842</v>
      </c>
      <c r="G381" s="6" t="s">
        <v>1755</v>
      </c>
      <c r="H381" s="70">
        <v>50</v>
      </c>
      <c r="I381" s="72">
        <f>FastenersPriceList34[[#This Row],[Quantity (kg)]]/FastenersPriceList34[[#This Row],[SINGLE PC. WT.]]</f>
        <v>33.333333333333336</v>
      </c>
      <c r="J381" s="3">
        <v>135</v>
      </c>
      <c r="K381" s="3">
        <f>FastenersPriceList34[[#This Row],[1000 PCS/WT.]]*FastenersPriceList34[[#This Row],[Rate / PER kg (₹)]]</f>
        <v>202500</v>
      </c>
      <c r="L381" s="4">
        <f>FastenersPriceList34[[#This Row],[Rate / PER kg (₹)]]*FastenersPriceList34[[#This Row],[Quantity (kg)]]</f>
        <v>6750</v>
      </c>
      <c r="M381" s="4">
        <f>FastenersPriceList34[[#This Row],[SINGLE PC. WT.]]*FastenersPriceList34[[#This Row],[Rate / PER kg (₹)]]</f>
        <v>202.5</v>
      </c>
    </row>
    <row r="382" spans="1:13" ht="22.05" customHeight="1" x14ac:dyDescent="0.3">
      <c r="A382" s="2" t="s">
        <v>2130</v>
      </c>
      <c r="B382" s="12" t="s">
        <v>8</v>
      </c>
      <c r="C382" s="12">
        <v>10.9</v>
      </c>
      <c r="D382" s="2">
        <v>1555</v>
      </c>
      <c r="E382" s="2">
        <f>FastenersPriceList34[[#This Row],[1000 PCS/WT.]]/1000</f>
        <v>1.5549999999999999</v>
      </c>
      <c r="F382" s="2" t="s">
        <v>843</v>
      </c>
      <c r="G382" s="6" t="s">
        <v>1755</v>
      </c>
      <c r="H382" s="70">
        <v>50</v>
      </c>
      <c r="I382" s="72">
        <f>FastenersPriceList34[[#This Row],[Quantity (kg)]]/FastenersPriceList34[[#This Row],[SINGLE PC. WT.]]</f>
        <v>32.154340836012864</v>
      </c>
      <c r="J382" s="3">
        <v>135</v>
      </c>
      <c r="K382" s="3">
        <f>FastenersPriceList34[[#This Row],[1000 PCS/WT.]]*FastenersPriceList34[[#This Row],[Rate / PER kg (₹)]]</f>
        <v>209925</v>
      </c>
      <c r="L382" s="4">
        <f>FastenersPriceList34[[#This Row],[Rate / PER kg (₹)]]*FastenersPriceList34[[#This Row],[Quantity (kg)]]</f>
        <v>6750</v>
      </c>
      <c r="M382" s="4">
        <f>FastenersPriceList34[[#This Row],[SINGLE PC. WT.]]*FastenersPriceList34[[#This Row],[Rate / PER kg (₹)]]</f>
        <v>209.92499999999998</v>
      </c>
    </row>
    <row r="383" spans="1:13" ht="22.05" customHeight="1" x14ac:dyDescent="0.3">
      <c r="A383" s="2" t="s">
        <v>2131</v>
      </c>
      <c r="B383" s="12" t="s">
        <v>8</v>
      </c>
      <c r="C383" s="12">
        <v>10.9</v>
      </c>
      <c r="D383" s="2">
        <v>1610</v>
      </c>
      <c r="E383" s="2">
        <f>FastenersPriceList34[[#This Row],[1000 PCS/WT.]]/1000</f>
        <v>1.61</v>
      </c>
      <c r="F383" s="2" t="s">
        <v>844</v>
      </c>
      <c r="G383" s="6" t="s">
        <v>1755</v>
      </c>
      <c r="H383" s="70">
        <v>50</v>
      </c>
      <c r="I383" s="72">
        <f>FastenersPriceList34[[#This Row],[Quantity (kg)]]/FastenersPriceList34[[#This Row],[SINGLE PC. WT.]]</f>
        <v>31.05590062111801</v>
      </c>
      <c r="J383" s="3">
        <v>135</v>
      </c>
      <c r="K383" s="3">
        <f>FastenersPriceList34[[#This Row],[1000 PCS/WT.]]*FastenersPriceList34[[#This Row],[Rate / PER kg (₹)]]</f>
        <v>217350</v>
      </c>
      <c r="L383" s="4">
        <f>FastenersPriceList34[[#This Row],[Rate / PER kg (₹)]]*FastenersPriceList34[[#This Row],[Quantity (kg)]]</f>
        <v>6750</v>
      </c>
      <c r="M383" s="4">
        <f>FastenersPriceList34[[#This Row],[SINGLE PC. WT.]]*FastenersPriceList34[[#This Row],[Rate / PER kg (₹)]]</f>
        <v>217.35000000000002</v>
      </c>
    </row>
    <row r="384" spans="1:13" ht="22.05" customHeight="1" x14ac:dyDescent="0.3">
      <c r="A384" s="2" t="s">
        <v>2132</v>
      </c>
      <c r="B384" s="12" t="s">
        <v>8</v>
      </c>
      <c r="C384" s="12">
        <v>10.9</v>
      </c>
      <c r="D384" s="2">
        <v>1665</v>
      </c>
      <c r="E384" s="2">
        <f>FastenersPriceList34[[#This Row],[1000 PCS/WT.]]/1000</f>
        <v>1.665</v>
      </c>
      <c r="F384" s="2" t="s">
        <v>845</v>
      </c>
      <c r="G384" s="6" t="s">
        <v>1755</v>
      </c>
      <c r="H384" s="70">
        <v>50</v>
      </c>
      <c r="I384" s="72">
        <f>FastenersPriceList34[[#This Row],[Quantity (kg)]]/FastenersPriceList34[[#This Row],[SINGLE PC. WT.]]</f>
        <v>30.03003003003003</v>
      </c>
      <c r="J384" s="3">
        <v>135</v>
      </c>
      <c r="K384" s="3">
        <f>FastenersPriceList34[[#This Row],[1000 PCS/WT.]]*FastenersPriceList34[[#This Row],[Rate / PER kg (₹)]]</f>
        <v>224775</v>
      </c>
      <c r="L384" s="4">
        <f>FastenersPriceList34[[#This Row],[Rate / PER kg (₹)]]*FastenersPriceList34[[#This Row],[Quantity (kg)]]</f>
        <v>6750</v>
      </c>
      <c r="M384" s="4">
        <f>FastenersPriceList34[[#This Row],[SINGLE PC. WT.]]*FastenersPriceList34[[#This Row],[Rate / PER kg (₹)]]</f>
        <v>224.77500000000001</v>
      </c>
    </row>
    <row r="385" spans="1:13" ht="22.05" customHeight="1" x14ac:dyDescent="0.3">
      <c r="A385" s="2" t="s">
        <v>2133</v>
      </c>
      <c r="B385" s="12" t="s">
        <v>8</v>
      </c>
      <c r="C385" s="12">
        <v>10.9</v>
      </c>
      <c r="D385" s="2">
        <v>1720</v>
      </c>
      <c r="E385" s="2">
        <f>FastenersPriceList34[[#This Row],[1000 PCS/WT.]]/1000</f>
        <v>1.72</v>
      </c>
      <c r="F385" s="2" t="s">
        <v>846</v>
      </c>
      <c r="G385" s="6" t="s">
        <v>1755</v>
      </c>
      <c r="H385" s="70">
        <v>50</v>
      </c>
      <c r="I385" s="72">
        <f>FastenersPriceList34[[#This Row],[Quantity (kg)]]/FastenersPriceList34[[#This Row],[SINGLE PC. WT.]]</f>
        <v>29.069767441860467</v>
      </c>
      <c r="J385" s="3">
        <v>135</v>
      </c>
      <c r="K385" s="3">
        <f>FastenersPriceList34[[#This Row],[1000 PCS/WT.]]*FastenersPriceList34[[#This Row],[Rate / PER kg (₹)]]</f>
        <v>232200</v>
      </c>
      <c r="L385" s="4">
        <f>FastenersPriceList34[[#This Row],[Rate / PER kg (₹)]]*FastenersPriceList34[[#This Row],[Quantity (kg)]]</f>
        <v>6750</v>
      </c>
      <c r="M385" s="4">
        <f>FastenersPriceList34[[#This Row],[SINGLE PC. WT.]]*FastenersPriceList34[[#This Row],[Rate / PER kg (₹)]]</f>
        <v>232.2</v>
      </c>
    </row>
    <row r="386" spans="1:13" ht="22.05" customHeight="1" x14ac:dyDescent="0.3">
      <c r="A386" s="2" t="s">
        <v>2134</v>
      </c>
      <c r="B386" s="12" t="s">
        <v>8</v>
      </c>
      <c r="C386" s="12">
        <v>10.9</v>
      </c>
      <c r="D386" s="2">
        <v>1824</v>
      </c>
      <c r="E386" s="2">
        <f>FastenersPriceList34[[#This Row],[1000 PCS/WT.]]/1000</f>
        <v>1.8240000000000001</v>
      </c>
      <c r="F386" s="2" t="s">
        <v>847</v>
      </c>
      <c r="G386" s="6" t="s">
        <v>1755</v>
      </c>
      <c r="H386" s="70">
        <v>50</v>
      </c>
      <c r="I386" s="72">
        <f>FastenersPriceList34[[#This Row],[Quantity (kg)]]/FastenersPriceList34[[#This Row],[SINGLE PC. WT.]]</f>
        <v>27.412280701754383</v>
      </c>
      <c r="J386" s="3">
        <v>138</v>
      </c>
      <c r="K386" s="3">
        <f>FastenersPriceList34[[#This Row],[1000 PCS/WT.]]*FastenersPriceList34[[#This Row],[Rate / PER kg (₹)]]</f>
        <v>251712</v>
      </c>
      <c r="L386" s="4">
        <f>FastenersPriceList34[[#This Row],[Rate / PER kg (₹)]]*FastenersPriceList34[[#This Row],[Quantity (kg)]]</f>
        <v>6900</v>
      </c>
      <c r="M386" s="4">
        <f>FastenersPriceList34[[#This Row],[SINGLE PC. WT.]]*FastenersPriceList34[[#This Row],[Rate / PER kg (₹)]]</f>
        <v>251.71200000000002</v>
      </c>
    </row>
    <row r="387" spans="1:13" ht="22.05" customHeight="1" x14ac:dyDescent="0.3">
      <c r="A387" s="2" t="s">
        <v>2135</v>
      </c>
      <c r="B387" s="12" t="s">
        <v>8</v>
      </c>
      <c r="C387" s="12">
        <v>10.9</v>
      </c>
      <c r="D387" s="2">
        <v>1928</v>
      </c>
      <c r="E387" s="2">
        <f>FastenersPriceList34[[#This Row],[1000 PCS/WT.]]/1000</f>
        <v>1.9279999999999999</v>
      </c>
      <c r="F387" s="2" t="s">
        <v>848</v>
      </c>
      <c r="G387" s="6" t="s">
        <v>1755</v>
      </c>
      <c r="H387" s="70">
        <v>50</v>
      </c>
      <c r="I387" s="72">
        <f>FastenersPriceList34[[#This Row],[Quantity (kg)]]/FastenersPriceList34[[#This Row],[SINGLE PC. WT.]]</f>
        <v>25.933609958506224</v>
      </c>
      <c r="J387" s="3">
        <v>138</v>
      </c>
      <c r="K387" s="3">
        <f>FastenersPriceList34[[#This Row],[1000 PCS/WT.]]*FastenersPriceList34[[#This Row],[Rate / PER kg (₹)]]</f>
        <v>266064</v>
      </c>
      <c r="L387" s="4">
        <f>FastenersPriceList34[[#This Row],[Rate / PER kg (₹)]]*FastenersPriceList34[[#This Row],[Quantity (kg)]]</f>
        <v>6900</v>
      </c>
      <c r="M387" s="4">
        <f>FastenersPriceList34[[#This Row],[SINGLE PC. WT.]]*FastenersPriceList34[[#This Row],[Rate / PER kg (₹)]]</f>
        <v>266.06399999999996</v>
      </c>
    </row>
    <row r="388" spans="1:13" ht="22.05" customHeight="1" x14ac:dyDescent="0.3">
      <c r="A388" s="2" t="s">
        <v>2136</v>
      </c>
      <c r="B388" s="12" t="s">
        <v>8</v>
      </c>
      <c r="C388" s="12">
        <v>10.9</v>
      </c>
      <c r="D388" s="2">
        <v>2032</v>
      </c>
      <c r="E388" s="2">
        <f>FastenersPriceList34[[#This Row],[1000 PCS/WT.]]/1000</f>
        <v>2.032</v>
      </c>
      <c r="F388" s="2" t="s">
        <v>849</v>
      </c>
      <c r="G388" s="6" t="s">
        <v>1755</v>
      </c>
      <c r="H388" s="70">
        <v>50</v>
      </c>
      <c r="I388" s="72">
        <f>FastenersPriceList34[[#This Row],[Quantity (kg)]]/FastenersPriceList34[[#This Row],[SINGLE PC. WT.]]</f>
        <v>24.606299212598426</v>
      </c>
      <c r="J388" s="3">
        <v>138</v>
      </c>
      <c r="K388" s="3">
        <f>FastenersPriceList34[[#This Row],[1000 PCS/WT.]]*FastenersPriceList34[[#This Row],[Rate / PER kg (₹)]]</f>
        <v>280416</v>
      </c>
      <c r="L388" s="4">
        <f>FastenersPriceList34[[#This Row],[Rate / PER kg (₹)]]*FastenersPriceList34[[#This Row],[Quantity (kg)]]</f>
        <v>6900</v>
      </c>
      <c r="M388" s="4">
        <f>FastenersPriceList34[[#This Row],[SINGLE PC. WT.]]*FastenersPriceList34[[#This Row],[Rate / PER kg (₹)]]</f>
        <v>280.416</v>
      </c>
    </row>
    <row r="389" spans="1:13" ht="22.05" customHeight="1" x14ac:dyDescent="0.3">
      <c r="A389" s="2" t="s">
        <v>2137</v>
      </c>
      <c r="B389" s="12" t="s">
        <v>8</v>
      </c>
      <c r="C389" s="12">
        <v>10.9</v>
      </c>
      <c r="D389" s="2">
        <v>2136</v>
      </c>
      <c r="E389" s="2">
        <f>FastenersPriceList34[[#This Row],[1000 PCS/WT.]]/1000</f>
        <v>2.1360000000000001</v>
      </c>
      <c r="F389" s="2" t="s">
        <v>850</v>
      </c>
      <c r="G389" s="6" t="s">
        <v>1755</v>
      </c>
      <c r="H389" s="70">
        <v>50</v>
      </c>
      <c r="I389" s="72">
        <f>FastenersPriceList34[[#This Row],[Quantity (kg)]]/FastenersPriceList34[[#This Row],[SINGLE PC. WT.]]</f>
        <v>23.40823970037453</v>
      </c>
      <c r="J389" s="3">
        <v>138</v>
      </c>
      <c r="K389" s="3">
        <f>FastenersPriceList34[[#This Row],[1000 PCS/WT.]]*FastenersPriceList34[[#This Row],[Rate / PER kg (₹)]]</f>
        <v>294768</v>
      </c>
      <c r="L389" s="4">
        <f>FastenersPriceList34[[#This Row],[Rate / PER kg (₹)]]*FastenersPriceList34[[#This Row],[Quantity (kg)]]</f>
        <v>6900</v>
      </c>
      <c r="M389" s="4">
        <f>FastenersPriceList34[[#This Row],[SINGLE PC. WT.]]*FastenersPriceList34[[#This Row],[Rate / PER kg (₹)]]</f>
        <v>294.76800000000003</v>
      </c>
    </row>
    <row r="390" spans="1:13" ht="22.05" customHeight="1" x14ac:dyDescent="0.3">
      <c r="A390" s="2" t="s">
        <v>2138</v>
      </c>
      <c r="B390" s="12" t="s">
        <v>8</v>
      </c>
      <c r="C390" s="12">
        <v>10.9</v>
      </c>
      <c r="D390" s="2">
        <v>2240</v>
      </c>
      <c r="E390" s="2">
        <f>FastenersPriceList34[[#This Row],[1000 PCS/WT.]]/1000</f>
        <v>2.2400000000000002</v>
      </c>
      <c r="F390" s="2" t="s">
        <v>851</v>
      </c>
      <c r="G390" s="6" t="s">
        <v>1755</v>
      </c>
      <c r="H390" s="70">
        <v>50</v>
      </c>
      <c r="I390" s="72">
        <f>FastenersPriceList34[[#This Row],[Quantity (kg)]]/FastenersPriceList34[[#This Row],[SINGLE PC. WT.]]</f>
        <v>22.321428571428569</v>
      </c>
      <c r="J390" s="3">
        <v>138</v>
      </c>
      <c r="K390" s="3">
        <f>FastenersPriceList34[[#This Row],[1000 PCS/WT.]]*FastenersPriceList34[[#This Row],[Rate / PER kg (₹)]]</f>
        <v>309120</v>
      </c>
      <c r="L390" s="4">
        <f>FastenersPriceList34[[#This Row],[Rate / PER kg (₹)]]*FastenersPriceList34[[#This Row],[Quantity (kg)]]</f>
        <v>6900</v>
      </c>
      <c r="M390" s="4">
        <f>FastenersPriceList34[[#This Row],[SINGLE PC. WT.]]*FastenersPriceList34[[#This Row],[Rate / PER kg (₹)]]</f>
        <v>309.12</v>
      </c>
    </row>
    <row r="391" spans="1:13" ht="22.05" customHeight="1" x14ac:dyDescent="0.3">
      <c r="A391" s="2" t="s">
        <v>2139</v>
      </c>
      <c r="B391" s="12" t="s">
        <v>8</v>
      </c>
      <c r="C391" s="12">
        <v>10.9</v>
      </c>
      <c r="D391" s="2">
        <v>2344</v>
      </c>
      <c r="E391" s="2">
        <f>FastenersPriceList34[[#This Row],[1000 PCS/WT.]]/1000</f>
        <v>2.3439999999999999</v>
      </c>
      <c r="F391" s="2" t="s">
        <v>852</v>
      </c>
      <c r="G391" s="6" t="s">
        <v>1755</v>
      </c>
      <c r="H391" s="70">
        <v>50</v>
      </c>
      <c r="I391" s="72">
        <f>FastenersPriceList34[[#This Row],[Quantity (kg)]]/FastenersPriceList34[[#This Row],[SINGLE PC. WT.]]</f>
        <v>21.331058020477816</v>
      </c>
      <c r="J391" s="3">
        <v>138</v>
      </c>
      <c r="K391" s="3">
        <f>FastenersPriceList34[[#This Row],[1000 PCS/WT.]]*FastenersPriceList34[[#This Row],[Rate / PER kg (₹)]]</f>
        <v>323472</v>
      </c>
      <c r="L391" s="4">
        <f>FastenersPriceList34[[#This Row],[Rate / PER kg (₹)]]*FastenersPriceList34[[#This Row],[Quantity (kg)]]</f>
        <v>6900</v>
      </c>
      <c r="M391" s="4">
        <f>FastenersPriceList34[[#This Row],[SINGLE PC. WT.]]*FastenersPriceList34[[#This Row],[Rate / PER kg (₹)]]</f>
        <v>323.47199999999998</v>
      </c>
    </row>
    <row r="392" spans="1:13" ht="22.05" customHeight="1" x14ac:dyDescent="0.3">
      <c r="A392" s="2" t="s">
        <v>2140</v>
      </c>
      <c r="B392" s="12" t="s">
        <v>8</v>
      </c>
      <c r="C392" s="12">
        <v>10.9</v>
      </c>
      <c r="D392" s="2">
        <v>2448</v>
      </c>
      <c r="E392" s="2">
        <f>FastenersPriceList34[[#This Row],[1000 PCS/WT.]]/1000</f>
        <v>2.448</v>
      </c>
      <c r="F392" s="2" t="s">
        <v>853</v>
      </c>
      <c r="G392" s="6" t="s">
        <v>1755</v>
      </c>
      <c r="H392" s="70">
        <v>50</v>
      </c>
      <c r="I392" s="72">
        <f>FastenersPriceList34[[#This Row],[Quantity (kg)]]/FastenersPriceList34[[#This Row],[SINGLE PC. WT.]]</f>
        <v>20.424836601307192</v>
      </c>
      <c r="J392" s="3">
        <v>138</v>
      </c>
      <c r="K392" s="3">
        <f>FastenersPriceList34[[#This Row],[1000 PCS/WT.]]*FastenersPriceList34[[#This Row],[Rate / PER kg (₹)]]</f>
        <v>337824</v>
      </c>
      <c r="L392" s="4">
        <f>FastenersPriceList34[[#This Row],[Rate / PER kg (₹)]]*FastenersPriceList34[[#This Row],[Quantity (kg)]]</f>
        <v>6900</v>
      </c>
      <c r="M392" s="4">
        <f>FastenersPriceList34[[#This Row],[SINGLE PC. WT.]]*FastenersPriceList34[[#This Row],[Rate / PER kg (₹)]]</f>
        <v>337.82400000000001</v>
      </c>
    </row>
    <row r="393" spans="1:13" ht="22.05" customHeight="1" x14ac:dyDescent="0.3">
      <c r="A393" s="2" t="s">
        <v>2141</v>
      </c>
      <c r="B393" s="12" t="s">
        <v>8</v>
      </c>
      <c r="C393" s="12">
        <v>10.9</v>
      </c>
      <c r="D393" s="2">
        <v>2552</v>
      </c>
      <c r="E393" s="2">
        <f>FastenersPriceList34[[#This Row],[1000 PCS/WT.]]/1000</f>
        <v>2.552</v>
      </c>
      <c r="F393" s="2" t="s">
        <v>854</v>
      </c>
      <c r="G393" s="6" t="s">
        <v>1755</v>
      </c>
      <c r="H393" s="70">
        <v>50</v>
      </c>
      <c r="I393" s="72">
        <f>FastenersPriceList34[[#This Row],[Quantity (kg)]]/FastenersPriceList34[[#This Row],[SINGLE PC. WT.]]</f>
        <v>19.592476489028211</v>
      </c>
      <c r="J393" s="3">
        <v>138</v>
      </c>
      <c r="K393" s="3">
        <f>FastenersPriceList34[[#This Row],[1000 PCS/WT.]]*FastenersPriceList34[[#This Row],[Rate / PER kg (₹)]]</f>
        <v>352176</v>
      </c>
      <c r="L393" s="4">
        <f>FastenersPriceList34[[#This Row],[Rate / PER kg (₹)]]*FastenersPriceList34[[#This Row],[Quantity (kg)]]</f>
        <v>6900</v>
      </c>
      <c r="M393" s="4">
        <f>FastenersPriceList34[[#This Row],[SINGLE PC. WT.]]*FastenersPriceList34[[#This Row],[Rate / PER kg (₹)]]</f>
        <v>352.17599999999999</v>
      </c>
    </row>
    <row r="394" spans="1:13" ht="22.05" customHeight="1" x14ac:dyDescent="0.3">
      <c r="A394" s="2" t="s">
        <v>2142</v>
      </c>
      <c r="B394" s="12" t="s">
        <v>8</v>
      </c>
      <c r="C394" s="12">
        <v>10.9</v>
      </c>
      <c r="D394" s="2">
        <v>2656</v>
      </c>
      <c r="E394" s="2">
        <f>FastenersPriceList34[[#This Row],[1000 PCS/WT.]]/1000</f>
        <v>2.6560000000000001</v>
      </c>
      <c r="F394" s="2" t="s">
        <v>855</v>
      </c>
      <c r="G394" s="6" t="s">
        <v>1755</v>
      </c>
      <c r="H394" s="70">
        <v>50</v>
      </c>
      <c r="I394" s="72">
        <f>FastenersPriceList34[[#This Row],[Quantity (kg)]]/FastenersPriceList34[[#This Row],[SINGLE PC. WT.]]</f>
        <v>18.825301204819276</v>
      </c>
      <c r="J394" s="3">
        <v>138</v>
      </c>
      <c r="K394" s="3">
        <f>FastenersPriceList34[[#This Row],[1000 PCS/WT.]]*FastenersPriceList34[[#This Row],[Rate / PER kg (₹)]]</f>
        <v>366528</v>
      </c>
      <c r="L394" s="4">
        <f>FastenersPriceList34[[#This Row],[Rate / PER kg (₹)]]*FastenersPriceList34[[#This Row],[Quantity (kg)]]</f>
        <v>6900</v>
      </c>
      <c r="M394" s="4">
        <f>FastenersPriceList34[[#This Row],[SINGLE PC. WT.]]*FastenersPriceList34[[#This Row],[Rate / PER kg (₹)]]</f>
        <v>366.52800000000002</v>
      </c>
    </row>
    <row r="395" spans="1:13" ht="22.05" customHeight="1" x14ac:dyDescent="0.3">
      <c r="A395" s="2" t="s">
        <v>2143</v>
      </c>
      <c r="B395" s="12" t="s">
        <v>8</v>
      </c>
      <c r="C395" s="12">
        <v>10.9</v>
      </c>
      <c r="D395" s="2">
        <v>2760</v>
      </c>
      <c r="E395" s="2">
        <f>FastenersPriceList34[[#This Row],[1000 PCS/WT.]]/1000</f>
        <v>2.76</v>
      </c>
      <c r="F395" s="2" t="s">
        <v>856</v>
      </c>
      <c r="G395" s="6" t="s">
        <v>1755</v>
      </c>
      <c r="H395" s="70">
        <v>50</v>
      </c>
      <c r="I395" s="72">
        <f>FastenersPriceList34[[#This Row],[Quantity (kg)]]/FastenersPriceList34[[#This Row],[SINGLE PC. WT.]]</f>
        <v>18.115942028985508</v>
      </c>
      <c r="J395" s="3">
        <v>138</v>
      </c>
      <c r="K395" s="3">
        <f>FastenersPriceList34[[#This Row],[1000 PCS/WT.]]*FastenersPriceList34[[#This Row],[Rate / PER kg (₹)]]</f>
        <v>380880</v>
      </c>
      <c r="L395" s="4">
        <f>FastenersPriceList34[[#This Row],[Rate / PER kg (₹)]]*FastenersPriceList34[[#This Row],[Quantity (kg)]]</f>
        <v>6900</v>
      </c>
      <c r="M395" s="4">
        <f>FastenersPriceList34[[#This Row],[SINGLE PC. WT.]]*FastenersPriceList34[[#This Row],[Rate / PER kg (₹)]]</f>
        <v>380.88</v>
      </c>
    </row>
    <row r="396" spans="1:13" ht="22.05" customHeight="1" x14ac:dyDescent="0.3">
      <c r="A396" s="2" t="s">
        <v>2144</v>
      </c>
      <c r="B396" s="12" t="s">
        <v>8</v>
      </c>
      <c r="C396" s="12">
        <v>10.9</v>
      </c>
      <c r="D396" s="2">
        <v>2864</v>
      </c>
      <c r="E396" s="2">
        <f>FastenersPriceList34[[#This Row],[1000 PCS/WT.]]/1000</f>
        <v>2.8639999999999999</v>
      </c>
      <c r="F396" s="2" t="s">
        <v>857</v>
      </c>
      <c r="G396" s="6" t="s">
        <v>1755</v>
      </c>
      <c r="H396" s="70">
        <v>50</v>
      </c>
      <c r="I396" s="72">
        <f>FastenersPriceList34[[#This Row],[Quantity (kg)]]/FastenersPriceList34[[#This Row],[SINGLE PC. WT.]]</f>
        <v>17.458100558659218</v>
      </c>
      <c r="J396" s="3">
        <v>140</v>
      </c>
      <c r="K396" s="3">
        <f>FastenersPriceList34[[#This Row],[1000 PCS/WT.]]*FastenersPriceList34[[#This Row],[Rate / PER kg (₹)]]</f>
        <v>400960</v>
      </c>
      <c r="L396" s="4">
        <f>FastenersPriceList34[[#This Row],[Rate / PER kg (₹)]]*FastenersPriceList34[[#This Row],[Quantity (kg)]]</f>
        <v>7000</v>
      </c>
      <c r="M396" s="4">
        <f>FastenersPriceList34[[#This Row],[SINGLE PC. WT.]]*FastenersPriceList34[[#This Row],[Rate / PER kg (₹)]]</f>
        <v>400.96</v>
      </c>
    </row>
    <row r="397" spans="1:13" ht="22.05" customHeight="1" x14ac:dyDescent="0.3">
      <c r="A397" s="2" t="s">
        <v>2145</v>
      </c>
      <c r="B397" s="12" t="s">
        <v>8</v>
      </c>
      <c r="C397" s="12">
        <v>10.9</v>
      </c>
      <c r="D397" s="2">
        <v>2968</v>
      </c>
      <c r="E397" s="2">
        <f>FastenersPriceList34[[#This Row],[1000 PCS/WT.]]/1000</f>
        <v>2.968</v>
      </c>
      <c r="F397" s="2" t="s">
        <v>858</v>
      </c>
      <c r="G397" s="6" t="s">
        <v>1755</v>
      </c>
      <c r="H397" s="70">
        <v>50</v>
      </c>
      <c r="I397" s="72">
        <f>FastenersPriceList34[[#This Row],[Quantity (kg)]]/FastenersPriceList34[[#This Row],[SINGLE PC. WT.]]</f>
        <v>16.846361185983827</v>
      </c>
      <c r="J397" s="3">
        <v>140</v>
      </c>
      <c r="K397" s="3">
        <f>FastenersPriceList34[[#This Row],[1000 PCS/WT.]]*FastenersPriceList34[[#This Row],[Rate / PER kg (₹)]]</f>
        <v>415520</v>
      </c>
      <c r="L397" s="4">
        <f>FastenersPriceList34[[#This Row],[Rate / PER kg (₹)]]*FastenersPriceList34[[#This Row],[Quantity (kg)]]</f>
        <v>7000</v>
      </c>
      <c r="M397" s="4">
        <f>FastenersPriceList34[[#This Row],[SINGLE PC. WT.]]*FastenersPriceList34[[#This Row],[Rate / PER kg (₹)]]</f>
        <v>415.52</v>
      </c>
    </row>
    <row r="398" spans="1:13" ht="22.05" customHeight="1" x14ac:dyDescent="0.3">
      <c r="A398" s="2" t="s">
        <v>2146</v>
      </c>
      <c r="B398" s="12" t="s">
        <v>8</v>
      </c>
      <c r="C398" s="12">
        <v>10.9</v>
      </c>
      <c r="D398" s="2">
        <v>3072</v>
      </c>
      <c r="E398" s="2">
        <f>FastenersPriceList34[[#This Row],[1000 PCS/WT.]]/1000</f>
        <v>3.0720000000000001</v>
      </c>
      <c r="F398" s="2" t="s">
        <v>859</v>
      </c>
      <c r="G398" s="6" t="s">
        <v>1755</v>
      </c>
      <c r="H398" s="70">
        <v>50</v>
      </c>
      <c r="I398" s="72">
        <f>FastenersPriceList34[[#This Row],[Quantity (kg)]]/FastenersPriceList34[[#This Row],[SINGLE PC. WT.]]</f>
        <v>16.276041666666668</v>
      </c>
      <c r="J398" s="3">
        <v>140</v>
      </c>
      <c r="K398" s="3">
        <f>FastenersPriceList34[[#This Row],[1000 PCS/WT.]]*FastenersPriceList34[[#This Row],[Rate / PER kg (₹)]]</f>
        <v>430080</v>
      </c>
      <c r="L398" s="4">
        <f>FastenersPriceList34[[#This Row],[Rate / PER kg (₹)]]*FastenersPriceList34[[#This Row],[Quantity (kg)]]</f>
        <v>7000</v>
      </c>
      <c r="M398" s="4">
        <f>FastenersPriceList34[[#This Row],[SINGLE PC. WT.]]*FastenersPriceList34[[#This Row],[Rate / PER kg (₹)]]</f>
        <v>430.08</v>
      </c>
    </row>
    <row r="399" spans="1:13" ht="22.05" customHeight="1" x14ac:dyDescent="0.3">
      <c r="A399" s="2" t="s">
        <v>2147</v>
      </c>
      <c r="B399" s="12" t="s">
        <v>8</v>
      </c>
      <c r="C399" s="12">
        <v>10.9</v>
      </c>
      <c r="D399" s="2">
        <v>3176</v>
      </c>
      <c r="E399" s="2">
        <f>FastenersPriceList34[[#This Row],[1000 PCS/WT.]]/1000</f>
        <v>3.1760000000000002</v>
      </c>
      <c r="F399" s="2" t="s">
        <v>860</v>
      </c>
      <c r="G399" s="6" t="s">
        <v>1755</v>
      </c>
      <c r="H399" s="70">
        <v>50</v>
      </c>
      <c r="I399" s="72">
        <f>FastenersPriceList34[[#This Row],[Quantity (kg)]]/FastenersPriceList34[[#This Row],[SINGLE PC. WT.]]</f>
        <v>15.743073047858941</v>
      </c>
      <c r="J399" s="3">
        <v>140</v>
      </c>
      <c r="K399" s="3">
        <f>FastenersPriceList34[[#This Row],[1000 PCS/WT.]]*FastenersPriceList34[[#This Row],[Rate / PER kg (₹)]]</f>
        <v>444640</v>
      </c>
      <c r="L399" s="4">
        <f>FastenersPriceList34[[#This Row],[Rate / PER kg (₹)]]*FastenersPriceList34[[#This Row],[Quantity (kg)]]</f>
        <v>7000</v>
      </c>
      <c r="M399" s="4">
        <f>FastenersPriceList34[[#This Row],[SINGLE PC. WT.]]*FastenersPriceList34[[#This Row],[Rate / PER kg (₹)]]</f>
        <v>444.64000000000004</v>
      </c>
    </row>
    <row r="400" spans="1:13" ht="22.05" customHeight="1" x14ac:dyDescent="0.3">
      <c r="A400" s="2" t="s">
        <v>2148</v>
      </c>
      <c r="B400" s="12" t="s">
        <v>8</v>
      </c>
      <c r="C400" s="12">
        <v>10.9</v>
      </c>
      <c r="D400" s="2">
        <v>3280</v>
      </c>
      <c r="E400" s="2">
        <f>FastenersPriceList34[[#This Row],[1000 PCS/WT.]]/1000</f>
        <v>3.28</v>
      </c>
      <c r="F400" s="2" t="s">
        <v>861</v>
      </c>
      <c r="G400" s="6" t="s">
        <v>1755</v>
      </c>
      <c r="H400" s="70">
        <v>50</v>
      </c>
      <c r="I400" s="72">
        <f>FastenersPriceList34[[#This Row],[Quantity (kg)]]/FastenersPriceList34[[#This Row],[SINGLE PC. WT.]]</f>
        <v>15.24390243902439</v>
      </c>
      <c r="J400" s="3">
        <v>140</v>
      </c>
      <c r="K400" s="3">
        <f>FastenersPriceList34[[#This Row],[1000 PCS/WT.]]*FastenersPriceList34[[#This Row],[Rate / PER kg (₹)]]</f>
        <v>459200</v>
      </c>
      <c r="L400" s="4">
        <f>FastenersPriceList34[[#This Row],[Rate / PER kg (₹)]]*FastenersPriceList34[[#This Row],[Quantity (kg)]]</f>
        <v>7000</v>
      </c>
      <c r="M400" s="4">
        <f>FastenersPriceList34[[#This Row],[SINGLE PC. WT.]]*FastenersPriceList34[[#This Row],[Rate / PER kg (₹)]]</f>
        <v>459.2</v>
      </c>
    </row>
    <row r="401" spans="1:13" ht="22.05" customHeight="1" x14ac:dyDescent="0.3">
      <c r="A401" s="2" t="s">
        <v>2149</v>
      </c>
      <c r="B401" s="12" t="s">
        <v>8</v>
      </c>
      <c r="C401" s="12">
        <v>10.9</v>
      </c>
      <c r="D401" s="2">
        <v>3384</v>
      </c>
      <c r="E401" s="2">
        <f>FastenersPriceList34[[#This Row],[1000 PCS/WT.]]/1000</f>
        <v>3.3839999999999999</v>
      </c>
      <c r="F401" s="2" t="s">
        <v>862</v>
      </c>
      <c r="G401" s="6" t="s">
        <v>1755</v>
      </c>
      <c r="H401" s="70">
        <v>50</v>
      </c>
      <c r="I401" s="72">
        <f>FastenersPriceList34[[#This Row],[Quantity (kg)]]/FastenersPriceList34[[#This Row],[SINGLE PC. WT.]]</f>
        <v>14.775413711583925</v>
      </c>
      <c r="J401" s="3">
        <v>140</v>
      </c>
      <c r="K401" s="3">
        <f>FastenersPriceList34[[#This Row],[1000 PCS/WT.]]*FastenersPriceList34[[#This Row],[Rate / PER kg (₹)]]</f>
        <v>473760</v>
      </c>
      <c r="L401" s="4">
        <f>FastenersPriceList34[[#This Row],[Rate / PER kg (₹)]]*FastenersPriceList34[[#This Row],[Quantity (kg)]]</f>
        <v>7000</v>
      </c>
      <c r="M401" s="4">
        <f>FastenersPriceList34[[#This Row],[SINGLE PC. WT.]]*FastenersPriceList34[[#This Row],[Rate / PER kg (₹)]]</f>
        <v>473.76</v>
      </c>
    </row>
    <row r="402" spans="1:13" ht="22.05" customHeight="1" x14ac:dyDescent="0.3">
      <c r="A402" s="2" t="s">
        <v>2150</v>
      </c>
      <c r="B402" s="12" t="s">
        <v>8</v>
      </c>
      <c r="C402" s="12">
        <v>10.9</v>
      </c>
      <c r="D402" s="2">
        <v>3488</v>
      </c>
      <c r="E402" s="2">
        <f>FastenersPriceList34[[#This Row],[1000 PCS/WT.]]/1000</f>
        <v>3.488</v>
      </c>
      <c r="F402" s="2" t="s">
        <v>863</v>
      </c>
      <c r="G402" s="6" t="s">
        <v>1755</v>
      </c>
      <c r="H402" s="70">
        <v>50</v>
      </c>
      <c r="I402" s="72">
        <f>FastenersPriceList34[[#This Row],[Quantity (kg)]]/FastenersPriceList34[[#This Row],[SINGLE PC. WT.]]</f>
        <v>14.334862385321101</v>
      </c>
      <c r="J402" s="3">
        <v>140</v>
      </c>
      <c r="K402" s="3">
        <f>FastenersPriceList34[[#This Row],[1000 PCS/WT.]]*FastenersPriceList34[[#This Row],[Rate / PER kg (₹)]]</f>
        <v>488320</v>
      </c>
      <c r="L402" s="4">
        <f>FastenersPriceList34[[#This Row],[Rate / PER kg (₹)]]*FastenersPriceList34[[#This Row],[Quantity (kg)]]</f>
        <v>7000</v>
      </c>
      <c r="M402" s="4">
        <f>FastenersPriceList34[[#This Row],[SINGLE PC. WT.]]*FastenersPriceList34[[#This Row],[Rate / PER kg (₹)]]</f>
        <v>488.32</v>
      </c>
    </row>
    <row r="403" spans="1:13" ht="22.05" customHeight="1" x14ac:dyDescent="0.3">
      <c r="A403" s="2" t="s">
        <v>2151</v>
      </c>
      <c r="B403" s="12" t="s">
        <v>8</v>
      </c>
      <c r="C403" s="12">
        <v>10.9</v>
      </c>
      <c r="D403" s="2">
        <v>3592</v>
      </c>
      <c r="E403" s="2">
        <f>FastenersPriceList34[[#This Row],[1000 PCS/WT.]]/1000</f>
        <v>3.5920000000000001</v>
      </c>
      <c r="F403" s="2" t="s">
        <v>864</v>
      </c>
      <c r="G403" s="6" t="s">
        <v>1755</v>
      </c>
      <c r="H403" s="70">
        <v>50</v>
      </c>
      <c r="I403" s="72">
        <f>FastenersPriceList34[[#This Row],[Quantity (kg)]]/FastenersPriceList34[[#This Row],[SINGLE PC. WT.]]</f>
        <v>13.919821826280623</v>
      </c>
      <c r="J403" s="3">
        <v>140</v>
      </c>
      <c r="K403" s="3">
        <f>FastenersPriceList34[[#This Row],[1000 PCS/WT.]]*FastenersPriceList34[[#This Row],[Rate / PER kg (₹)]]</f>
        <v>502880</v>
      </c>
      <c r="L403" s="4">
        <f>FastenersPriceList34[[#This Row],[Rate / PER kg (₹)]]*FastenersPriceList34[[#This Row],[Quantity (kg)]]</f>
        <v>7000</v>
      </c>
      <c r="M403" s="4">
        <f>FastenersPriceList34[[#This Row],[SINGLE PC. WT.]]*FastenersPriceList34[[#This Row],[Rate / PER kg (₹)]]</f>
        <v>502.88</v>
      </c>
    </row>
    <row r="404" spans="1:13" ht="22.05" customHeight="1" x14ac:dyDescent="0.3">
      <c r="A404" s="2" t="s">
        <v>2152</v>
      </c>
      <c r="B404" s="12" t="s">
        <v>8</v>
      </c>
      <c r="C404" s="12">
        <v>10.9</v>
      </c>
      <c r="D404" s="2">
        <v>3696</v>
      </c>
      <c r="E404" s="2">
        <f>FastenersPriceList34[[#This Row],[1000 PCS/WT.]]/1000</f>
        <v>3.6960000000000002</v>
      </c>
      <c r="F404" s="2" t="s">
        <v>865</v>
      </c>
      <c r="G404" s="6" t="s">
        <v>1755</v>
      </c>
      <c r="H404" s="70">
        <v>50</v>
      </c>
      <c r="I404" s="72">
        <f>FastenersPriceList34[[#This Row],[Quantity (kg)]]/FastenersPriceList34[[#This Row],[SINGLE PC. WT.]]</f>
        <v>13.528138528138527</v>
      </c>
      <c r="J404" s="3">
        <v>140</v>
      </c>
      <c r="K404" s="3">
        <f>FastenersPriceList34[[#This Row],[1000 PCS/WT.]]*FastenersPriceList34[[#This Row],[Rate / PER kg (₹)]]</f>
        <v>517440</v>
      </c>
      <c r="L404" s="4">
        <f>FastenersPriceList34[[#This Row],[Rate / PER kg (₹)]]*FastenersPriceList34[[#This Row],[Quantity (kg)]]</f>
        <v>7000</v>
      </c>
      <c r="M404" s="4">
        <f>FastenersPriceList34[[#This Row],[SINGLE PC. WT.]]*FastenersPriceList34[[#This Row],[Rate / PER kg (₹)]]</f>
        <v>517.44000000000005</v>
      </c>
    </row>
    <row r="405" spans="1:13" ht="22.05" customHeight="1" x14ac:dyDescent="0.3">
      <c r="A405" s="2" t="s">
        <v>2153</v>
      </c>
      <c r="B405" s="12" t="s">
        <v>8</v>
      </c>
      <c r="C405" s="12">
        <v>10.9</v>
      </c>
      <c r="D405" s="2">
        <v>3800</v>
      </c>
      <c r="E405" s="2">
        <f>FastenersPriceList34[[#This Row],[1000 PCS/WT.]]/1000</f>
        <v>3.8</v>
      </c>
      <c r="F405" s="2" t="s">
        <v>866</v>
      </c>
      <c r="G405" s="6" t="s">
        <v>1755</v>
      </c>
      <c r="H405" s="70">
        <v>50</v>
      </c>
      <c r="I405" s="72">
        <f>FastenersPriceList34[[#This Row],[Quantity (kg)]]/FastenersPriceList34[[#This Row],[SINGLE PC. WT.]]</f>
        <v>13.157894736842106</v>
      </c>
      <c r="J405" s="3">
        <v>140</v>
      </c>
      <c r="K405" s="3">
        <f>FastenersPriceList34[[#This Row],[1000 PCS/WT.]]*FastenersPriceList34[[#This Row],[Rate / PER kg (₹)]]</f>
        <v>532000</v>
      </c>
      <c r="L405" s="4">
        <f>FastenersPriceList34[[#This Row],[Rate / PER kg (₹)]]*FastenersPriceList34[[#This Row],[Quantity (kg)]]</f>
        <v>7000</v>
      </c>
      <c r="M405" s="4">
        <f>FastenersPriceList34[[#This Row],[SINGLE PC. WT.]]*FastenersPriceList34[[#This Row],[Rate / PER kg (₹)]]</f>
        <v>532</v>
      </c>
    </row>
    <row r="406" spans="1:13" ht="22.05" customHeight="1" x14ac:dyDescent="0.3">
      <c r="A406" s="2" t="s">
        <v>2154</v>
      </c>
      <c r="B406" s="12" t="s">
        <v>8</v>
      </c>
      <c r="C406" s="12">
        <v>10.9</v>
      </c>
      <c r="D406" s="2">
        <v>1900</v>
      </c>
      <c r="E406" s="2">
        <f>FastenersPriceList34[[#This Row],[1000 PCS/WT.]]/1000</f>
        <v>1.9</v>
      </c>
      <c r="F406" s="2" t="s">
        <v>867</v>
      </c>
      <c r="G406" s="6" t="s">
        <v>1755</v>
      </c>
      <c r="H406" s="70">
        <v>50</v>
      </c>
      <c r="I406" s="72">
        <f>FastenersPriceList34[[#This Row],[Quantity (kg)]]/FastenersPriceList34[[#This Row],[SINGLE PC. WT.]]</f>
        <v>26.315789473684212</v>
      </c>
      <c r="J406" s="3">
        <v>135</v>
      </c>
      <c r="K406" s="3">
        <f>FastenersPriceList34[[#This Row],[1000 PCS/WT.]]*FastenersPriceList34[[#This Row],[Rate / PER kg (₹)]]</f>
        <v>256500</v>
      </c>
      <c r="L406" s="4">
        <f>FastenersPriceList34[[#This Row],[Rate / PER kg (₹)]]*FastenersPriceList34[[#This Row],[Quantity (kg)]]</f>
        <v>6750</v>
      </c>
      <c r="M406" s="4">
        <f>FastenersPriceList34[[#This Row],[SINGLE PC. WT.]]*FastenersPriceList34[[#This Row],[Rate / PER kg (₹)]]</f>
        <v>256.5</v>
      </c>
    </row>
    <row r="407" spans="1:13" ht="22.05" customHeight="1" x14ac:dyDescent="0.3">
      <c r="A407" s="2" t="s">
        <v>2155</v>
      </c>
      <c r="B407" s="12" t="s">
        <v>8</v>
      </c>
      <c r="C407" s="12">
        <v>10.9</v>
      </c>
      <c r="D407" s="2">
        <v>1945</v>
      </c>
      <c r="E407" s="2">
        <f>FastenersPriceList34[[#This Row],[1000 PCS/WT.]]/1000</f>
        <v>1.9450000000000001</v>
      </c>
      <c r="F407" s="2" t="s">
        <v>868</v>
      </c>
      <c r="G407" s="6" t="s">
        <v>1755</v>
      </c>
      <c r="H407" s="70">
        <v>50</v>
      </c>
      <c r="I407" s="72">
        <f>FastenersPriceList34[[#This Row],[Quantity (kg)]]/FastenersPriceList34[[#This Row],[SINGLE PC. WT.]]</f>
        <v>25.70694087403599</v>
      </c>
      <c r="J407" s="3">
        <v>135</v>
      </c>
      <c r="K407" s="3">
        <f>FastenersPriceList34[[#This Row],[1000 PCS/WT.]]*FastenersPriceList34[[#This Row],[Rate / PER kg (₹)]]</f>
        <v>262575</v>
      </c>
      <c r="L407" s="4">
        <f>FastenersPriceList34[[#This Row],[Rate / PER kg (₹)]]*FastenersPriceList34[[#This Row],[Quantity (kg)]]</f>
        <v>6750</v>
      </c>
      <c r="M407" s="4">
        <f>FastenersPriceList34[[#This Row],[SINGLE PC. WT.]]*FastenersPriceList34[[#This Row],[Rate / PER kg (₹)]]</f>
        <v>262.57499999999999</v>
      </c>
    </row>
    <row r="408" spans="1:13" ht="22.05" customHeight="1" x14ac:dyDescent="0.3">
      <c r="A408" s="2" t="s">
        <v>2156</v>
      </c>
      <c r="B408" s="12" t="s">
        <v>8</v>
      </c>
      <c r="C408" s="12">
        <v>10.9</v>
      </c>
      <c r="D408" s="2">
        <v>1990</v>
      </c>
      <c r="E408" s="2">
        <f>FastenersPriceList34[[#This Row],[1000 PCS/WT.]]/1000</f>
        <v>1.99</v>
      </c>
      <c r="F408" s="2" t="s">
        <v>869</v>
      </c>
      <c r="G408" s="6" t="s">
        <v>1755</v>
      </c>
      <c r="H408" s="70">
        <v>50</v>
      </c>
      <c r="I408" s="72">
        <f>FastenersPriceList34[[#This Row],[Quantity (kg)]]/FastenersPriceList34[[#This Row],[SINGLE PC. WT.]]</f>
        <v>25.125628140703519</v>
      </c>
      <c r="J408" s="3">
        <v>135</v>
      </c>
      <c r="K408" s="3">
        <f>FastenersPriceList34[[#This Row],[1000 PCS/WT.]]*FastenersPriceList34[[#This Row],[Rate / PER kg (₹)]]</f>
        <v>268650</v>
      </c>
      <c r="L408" s="4">
        <f>FastenersPriceList34[[#This Row],[Rate / PER kg (₹)]]*FastenersPriceList34[[#This Row],[Quantity (kg)]]</f>
        <v>6750</v>
      </c>
      <c r="M408" s="4">
        <f>FastenersPriceList34[[#This Row],[SINGLE PC. WT.]]*FastenersPriceList34[[#This Row],[Rate / PER kg (₹)]]</f>
        <v>268.64999999999998</v>
      </c>
    </row>
    <row r="409" spans="1:13" ht="22.05" customHeight="1" x14ac:dyDescent="0.3">
      <c r="A409" s="2" t="s">
        <v>2157</v>
      </c>
      <c r="B409" s="12" t="s">
        <v>8</v>
      </c>
      <c r="C409" s="12">
        <v>10.9</v>
      </c>
      <c r="D409" s="2">
        <v>2080</v>
      </c>
      <c r="E409" s="2">
        <f>FastenersPriceList34[[#This Row],[1000 PCS/WT.]]/1000</f>
        <v>2.08</v>
      </c>
      <c r="F409" s="2" t="s">
        <v>870</v>
      </c>
      <c r="G409" s="6" t="s">
        <v>1755</v>
      </c>
      <c r="H409" s="70">
        <v>50</v>
      </c>
      <c r="I409" s="72">
        <f>FastenersPriceList34[[#This Row],[Quantity (kg)]]/FastenersPriceList34[[#This Row],[SINGLE PC. WT.]]</f>
        <v>24.038461538461537</v>
      </c>
      <c r="J409" s="3">
        <v>135</v>
      </c>
      <c r="K409" s="3">
        <f>FastenersPriceList34[[#This Row],[1000 PCS/WT.]]*FastenersPriceList34[[#This Row],[Rate / PER kg (₹)]]</f>
        <v>280800</v>
      </c>
      <c r="L409" s="4">
        <f>FastenersPriceList34[[#This Row],[Rate / PER kg (₹)]]*FastenersPriceList34[[#This Row],[Quantity (kg)]]</f>
        <v>6750</v>
      </c>
      <c r="M409" s="4">
        <f>FastenersPriceList34[[#This Row],[SINGLE PC. WT.]]*FastenersPriceList34[[#This Row],[Rate / PER kg (₹)]]</f>
        <v>280.8</v>
      </c>
    </row>
    <row r="410" spans="1:13" ht="22.05" customHeight="1" x14ac:dyDescent="0.3">
      <c r="A410" s="2" t="s">
        <v>2158</v>
      </c>
      <c r="B410" s="12" t="s">
        <v>8</v>
      </c>
      <c r="C410" s="12">
        <v>10.9</v>
      </c>
      <c r="D410" s="2">
        <v>2170</v>
      </c>
      <c r="E410" s="2">
        <f>FastenersPriceList34[[#This Row],[1000 PCS/WT.]]/1000</f>
        <v>2.17</v>
      </c>
      <c r="F410" s="2" t="s">
        <v>871</v>
      </c>
      <c r="G410" s="6" t="s">
        <v>1755</v>
      </c>
      <c r="H410" s="70">
        <v>50</v>
      </c>
      <c r="I410" s="72">
        <f>FastenersPriceList34[[#This Row],[Quantity (kg)]]/FastenersPriceList34[[#This Row],[SINGLE PC. WT.]]</f>
        <v>23.041474654377883</v>
      </c>
      <c r="J410" s="3">
        <v>135</v>
      </c>
      <c r="K410" s="3">
        <f>FastenersPriceList34[[#This Row],[1000 PCS/WT.]]*FastenersPriceList34[[#This Row],[Rate / PER kg (₹)]]</f>
        <v>292950</v>
      </c>
      <c r="L410" s="4">
        <f>FastenersPriceList34[[#This Row],[Rate / PER kg (₹)]]*FastenersPriceList34[[#This Row],[Quantity (kg)]]</f>
        <v>6750</v>
      </c>
      <c r="M410" s="4">
        <f>FastenersPriceList34[[#This Row],[SINGLE PC. WT.]]*FastenersPriceList34[[#This Row],[Rate / PER kg (₹)]]</f>
        <v>292.95</v>
      </c>
    </row>
    <row r="411" spans="1:13" ht="22.05" customHeight="1" x14ac:dyDescent="0.3">
      <c r="A411" s="2" t="s">
        <v>2159</v>
      </c>
      <c r="B411" s="12" t="s">
        <v>8</v>
      </c>
      <c r="C411" s="12">
        <v>10.9</v>
      </c>
      <c r="D411" s="2">
        <v>2260</v>
      </c>
      <c r="E411" s="2">
        <f>FastenersPriceList34[[#This Row],[1000 PCS/WT.]]/1000</f>
        <v>2.2599999999999998</v>
      </c>
      <c r="F411" s="2" t="s">
        <v>872</v>
      </c>
      <c r="G411" s="6" t="s">
        <v>1755</v>
      </c>
      <c r="H411" s="70">
        <v>50</v>
      </c>
      <c r="I411" s="72">
        <f>FastenersPriceList34[[#This Row],[Quantity (kg)]]/FastenersPriceList34[[#This Row],[SINGLE PC. WT.]]</f>
        <v>22.123893805309738</v>
      </c>
      <c r="J411" s="3">
        <v>135</v>
      </c>
      <c r="K411" s="3">
        <f>FastenersPriceList34[[#This Row],[1000 PCS/WT.]]*FastenersPriceList34[[#This Row],[Rate / PER kg (₹)]]</f>
        <v>305100</v>
      </c>
      <c r="L411" s="4">
        <f>FastenersPriceList34[[#This Row],[Rate / PER kg (₹)]]*FastenersPriceList34[[#This Row],[Quantity (kg)]]</f>
        <v>6750</v>
      </c>
      <c r="M411" s="4">
        <f>FastenersPriceList34[[#This Row],[SINGLE PC. WT.]]*FastenersPriceList34[[#This Row],[Rate / PER kg (₹)]]</f>
        <v>305.09999999999997</v>
      </c>
    </row>
    <row r="412" spans="1:13" ht="22.05" customHeight="1" x14ac:dyDescent="0.3">
      <c r="A412" s="2" t="s">
        <v>2160</v>
      </c>
      <c r="B412" s="12" t="s">
        <v>8</v>
      </c>
      <c r="C412" s="12">
        <v>10.9</v>
      </c>
      <c r="D412" s="2">
        <v>2350</v>
      </c>
      <c r="E412" s="2">
        <f>FastenersPriceList34[[#This Row],[1000 PCS/WT.]]/1000</f>
        <v>2.35</v>
      </c>
      <c r="F412" s="2" t="s">
        <v>873</v>
      </c>
      <c r="G412" s="6" t="s">
        <v>1755</v>
      </c>
      <c r="H412" s="70">
        <v>50</v>
      </c>
      <c r="I412" s="72">
        <f>FastenersPriceList34[[#This Row],[Quantity (kg)]]/FastenersPriceList34[[#This Row],[SINGLE PC. WT.]]</f>
        <v>21.276595744680851</v>
      </c>
      <c r="J412" s="3">
        <v>135</v>
      </c>
      <c r="K412" s="3">
        <f>FastenersPriceList34[[#This Row],[1000 PCS/WT.]]*FastenersPriceList34[[#This Row],[Rate / PER kg (₹)]]</f>
        <v>317250</v>
      </c>
      <c r="L412" s="4">
        <f>FastenersPriceList34[[#This Row],[Rate / PER kg (₹)]]*FastenersPriceList34[[#This Row],[Quantity (kg)]]</f>
        <v>6750</v>
      </c>
      <c r="M412" s="4">
        <f>FastenersPriceList34[[#This Row],[SINGLE PC. WT.]]*FastenersPriceList34[[#This Row],[Rate / PER kg (₹)]]</f>
        <v>317.25</v>
      </c>
    </row>
    <row r="413" spans="1:13" ht="22.05" customHeight="1" x14ac:dyDescent="0.3">
      <c r="A413" s="2" t="s">
        <v>2161</v>
      </c>
      <c r="B413" s="12" t="s">
        <v>8</v>
      </c>
      <c r="C413" s="12">
        <v>10.9</v>
      </c>
      <c r="D413" s="2">
        <v>2440</v>
      </c>
      <c r="E413" s="2">
        <f>FastenersPriceList34[[#This Row],[1000 PCS/WT.]]/1000</f>
        <v>2.44</v>
      </c>
      <c r="F413" s="2" t="s">
        <v>874</v>
      </c>
      <c r="G413" s="6" t="s">
        <v>1755</v>
      </c>
      <c r="H413" s="70">
        <v>50</v>
      </c>
      <c r="I413" s="72">
        <f>FastenersPriceList34[[#This Row],[Quantity (kg)]]/FastenersPriceList34[[#This Row],[SINGLE PC. WT.]]</f>
        <v>20.491803278688526</v>
      </c>
      <c r="J413" s="3">
        <v>135</v>
      </c>
      <c r="K413" s="3">
        <f>FastenersPriceList34[[#This Row],[1000 PCS/WT.]]*FastenersPriceList34[[#This Row],[Rate / PER kg (₹)]]</f>
        <v>329400</v>
      </c>
      <c r="L413" s="4">
        <f>FastenersPriceList34[[#This Row],[Rate / PER kg (₹)]]*FastenersPriceList34[[#This Row],[Quantity (kg)]]</f>
        <v>6750</v>
      </c>
      <c r="M413" s="4">
        <f>FastenersPriceList34[[#This Row],[SINGLE PC. WT.]]*FastenersPriceList34[[#This Row],[Rate / PER kg (₹)]]</f>
        <v>329.4</v>
      </c>
    </row>
    <row r="414" spans="1:13" ht="22.05" customHeight="1" x14ac:dyDescent="0.3">
      <c r="A414" s="2" t="s">
        <v>2162</v>
      </c>
      <c r="B414" s="12" t="s">
        <v>8</v>
      </c>
      <c r="C414" s="12">
        <v>10.9</v>
      </c>
      <c r="D414" s="2">
        <v>2530</v>
      </c>
      <c r="E414" s="2">
        <f>FastenersPriceList34[[#This Row],[1000 PCS/WT.]]/1000</f>
        <v>2.5299999999999998</v>
      </c>
      <c r="F414" s="2" t="s">
        <v>875</v>
      </c>
      <c r="G414" s="6" t="s">
        <v>1755</v>
      </c>
      <c r="H414" s="70">
        <v>50</v>
      </c>
      <c r="I414" s="72">
        <f>FastenersPriceList34[[#This Row],[Quantity (kg)]]/FastenersPriceList34[[#This Row],[SINGLE PC. WT.]]</f>
        <v>19.762845849802375</v>
      </c>
      <c r="J414" s="3">
        <v>135</v>
      </c>
      <c r="K414" s="3">
        <f>FastenersPriceList34[[#This Row],[1000 PCS/WT.]]*FastenersPriceList34[[#This Row],[Rate / PER kg (₹)]]</f>
        <v>341550</v>
      </c>
      <c r="L414" s="4">
        <f>FastenersPriceList34[[#This Row],[Rate / PER kg (₹)]]*FastenersPriceList34[[#This Row],[Quantity (kg)]]</f>
        <v>6750</v>
      </c>
      <c r="M414" s="4">
        <f>FastenersPriceList34[[#This Row],[SINGLE PC. WT.]]*FastenersPriceList34[[#This Row],[Rate / PER kg (₹)]]</f>
        <v>341.54999999999995</v>
      </c>
    </row>
    <row r="415" spans="1:13" ht="22.05" customHeight="1" x14ac:dyDescent="0.3">
      <c r="A415" s="2" t="s">
        <v>2163</v>
      </c>
      <c r="B415" s="12" t="s">
        <v>8</v>
      </c>
      <c r="C415" s="12">
        <v>10.9</v>
      </c>
      <c r="D415" s="2">
        <v>2620</v>
      </c>
      <c r="E415" s="2">
        <f>FastenersPriceList34[[#This Row],[1000 PCS/WT.]]/1000</f>
        <v>2.62</v>
      </c>
      <c r="F415" s="2" t="s">
        <v>876</v>
      </c>
      <c r="G415" s="6" t="s">
        <v>1755</v>
      </c>
      <c r="H415" s="70">
        <v>50</v>
      </c>
      <c r="I415" s="72">
        <f>FastenersPriceList34[[#This Row],[Quantity (kg)]]/FastenersPriceList34[[#This Row],[SINGLE PC. WT.]]</f>
        <v>19.083969465648853</v>
      </c>
      <c r="J415" s="3">
        <v>135</v>
      </c>
      <c r="K415" s="3">
        <f>FastenersPriceList34[[#This Row],[1000 PCS/WT.]]*FastenersPriceList34[[#This Row],[Rate / PER kg (₹)]]</f>
        <v>353700</v>
      </c>
      <c r="L415" s="4">
        <f>FastenersPriceList34[[#This Row],[Rate / PER kg (₹)]]*FastenersPriceList34[[#This Row],[Quantity (kg)]]</f>
        <v>6750</v>
      </c>
      <c r="M415" s="4">
        <f>FastenersPriceList34[[#This Row],[SINGLE PC. WT.]]*FastenersPriceList34[[#This Row],[Rate / PER kg (₹)]]</f>
        <v>353.7</v>
      </c>
    </row>
    <row r="416" spans="1:13" ht="22.05" customHeight="1" x14ac:dyDescent="0.3">
      <c r="A416" s="2" t="s">
        <v>2164</v>
      </c>
      <c r="B416" s="12" t="s">
        <v>8</v>
      </c>
      <c r="C416" s="12">
        <v>10.9</v>
      </c>
      <c r="D416" s="2">
        <v>2710</v>
      </c>
      <c r="E416" s="2">
        <f>FastenersPriceList34[[#This Row],[1000 PCS/WT.]]/1000</f>
        <v>2.71</v>
      </c>
      <c r="F416" s="2" t="s">
        <v>877</v>
      </c>
      <c r="G416" s="6" t="s">
        <v>1755</v>
      </c>
      <c r="H416" s="70">
        <v>50</v>
      </c>
      <c r="I416" s="72">
        <f>FastenersPriceList34[[#This Row],[Quantity (kg)]]/FastenersPriceList34[[#This Row],[SINGLE PC. WT.]]</f>
        <v>18.450184501845019</v>
      </c>
      <c r="J416" s="3">
        <v>135</v>
      </c>
      <c r="K416" s="3">
        <f>FastenersPriceList34[[#This Row],[1000 PCS/WT.]]*FastenersPriceList34[[#This Row],[Rate / PER kg (₹)]]</f>
        <v>365850</v>
      </c>
      <c r="L416" s="4">
        <f>FastenersPriceList34[[#This Row],[Rate / PER kg (₹)]]*FastenersPriceList34[[#This Row],[Quantity (kg)]]</f>
        <v>6750</v>
      </c>
      <c r="M416" s="4">
        <f>FastenersPriceList34[[#This Row],[SINGLE PC. WT.]]*FastenersPriceList34[[#This Row],[Rate / PER kg (₹)]]</f>
        <v>365.85</v>
      </c>
    </row>
    <row r="417" spans="1:13" ht="22.05" customHeight="1" x14ac:dyDescent="0.3">
      <c r="A417" s="2" t="s">
        <v>2165</v>
      </c>
      <c r="B417" s="12" t="s">
        <v>8</v>
      </c>
      <c r="C417" s="12">
        <v>10.9</v>
      </c>
      <c r="D417" s="2">
        <v>2800</v>
      </c>
      <c r="E417" s="2">
        <f>FastenersPriceList34[[#This Row],[1000 PCS/WT.]]/1000</f>
        <v>2.8</v>
      </c>
      <c r="F417" s="2" t="s">
        <v>878</v>
      </c>
      <c r="G417" s="6" t="s">
        <v>1755</v>
      </c>
      <c r="H417" s="70">
        <v>50</v>
      </c>
      <c r="I417" s="72">
        <f>FastenersPriceList34[[#This Row],[Quantity (kg)]]/FastenersPriceList34[[#This Row],[SINGLE PC. WT.]]</f>
        <v>17.857142857142858</v>
      </c>
      <c r="J417" s="3">
        <v>135</v>
      </c>
      <c r="K417" s="3">
        <f>FastenersPriceList34[[#This Row],[1000 PCS/WT.]]*FastenersPriceList34[[#This Row],[Rate / PER kg (₹)]]</f>
        <v>378000</v>
      </c>
      <c r="L417" s="4">
        <f>FastenersPriceList34[[#This Row],[Rate / PER kg (₹)]]*FastenersPriceList34[[#This Row],[Quantity (kg)]]</f>
        <v>6750</v>
      </c>
      <c r="M417" s="4">
        <f>FastenersPriceList34[[#This Row],[SINGLE PC. WT.]]*FastenersPriceList34[[#This Row],[Rate / PER kg (₹)]]</f>
        <v>378</v>
      </c>
    </row>
    <row r="418" spans="1:13" ht="22.05" customHeight="1" x14ac:dyDescent="0.3">
      <c r="A418" s="2" t="s">
        <v>2166</v>
      </c>
      <c r="B418" s="12" t="s">
        <v>8</v>
      </c>
      <c r="C418" s="12">
        <v>10.9</v>
      </c>
      <c r="D418" s="2">
        <v>2890</v>
      </c>
      <c r="E418" s="2">
        <f>FastenersPriceList34[[#This Row],[1000 PCS/WT.]]/1000</f>
        <v>2.89</v>
      </c>
      <c r="F418" s="2" t="s">
        <v>879</v>
      </c>
      <c r="G418" s="6" t="s">
        <v>1755</v>
      </c>
      <c r="H418" s="70">
        <v>50</v>
      </c>
      <c r="I418" s="72">
        <f>FastenersPriceList34[[#This Row],[Quantity (kg)]]/FastenersPriceList34[[#This Row],[SINGLE PC. WT.]]</f>
        <v>17.301038062283737</v>
      </c>
      <c r="J418" s="3">
        <v>135</v>
      </c>
      <c r="K418" s="3">
        <f>FastenersPriceList34[[#This Row],[1000 PCS/WT.]]*FastenersPriceList34[[#This Row],[Rate / PER kg (₹)]]</f>
        <v>390150</v>
      </c>
      <c r="L418" s="4">
        <f>FastenersPriceList34[[#This Row],[Rate / PER kg (₹)]]*FastenersPriceList34[[#This Row],[Quantity (kg)]]</f>
        <v>6750</v>
      </c>
      <c r="M418" s="4">
        <f>FastenersPriceList34[[#This Row],[SINGLE PC. WT.]]*FastenersPriceList34[[#This Row],[Rate / PER kg (₹)]]</f>
        <v>390.15000000000003</v>
      </c>
    </row>
    <row r="419" spans="1:13" ht="22.05" customHeight="1" x14ac:dyDescent="0.3">
      <c r="A419" s="2" t="s">
        <v>2167</v>
      </c>
      <c r="B419" s="12" t="s">
        <v>8</v>
      </c>
      <c r="C419" s="12">
        <v>10.9</v>
      </c>
      <c r="D419" s="2">
        <v>2980</v>
      </c>
      <c r="E419" s="2">
        <f>FastenersPriceList34[[#This Row],[1000 PCS/WT.]]/1000</f>
        <v>2.98</v>
      </c>
      <c r="F419" s="2" t="s">
        <v>880</v>
      </c>
      <c r="G419" s="6" t="s">
        <v>1755</v>
      </c>
      <c r="H419" s="70">
        <v>50</v>
      </c>
      <c r="I419" s="72">
        <f>FastenersPriceList34[[#This Row],[Quantity (kg)]]/FastenersPriceList34[[#This Row],[SINGLE PC. WT.]]</f>
        <v>16.778523489932887</v>
      </c>
      <c r="J419" s="3">
        <v>135</v>
      </c>
      <c r="K419" s="3">
        <f>FastenersPriceList34[[#This Row],[1000 PCS/WT.]]*FastenersPriceList34[[#This Row],[Rate / PER kg (₹)]]</f>
        <v>402300</v>
      </c>
      <c r="L419" s="4">
        <f>FastenersPriceList34[[#This Row],[Rate / PER kg (₹)]]*FastenersPriceList34[[#This Row],[Quantity (kg)]]</f>
        <v>6750</v>
      </c>
      <c r="M419" s="4">
        <f>FastenersPriceList34[[#This Row],[SINGLE PC. WT.]]*FastenersPriceList34[[#This Row],[Rate / PER kg (₹)]]</f>
        <v>402.3</v>
      </c>
    </row>
    <row r="420" spans="1:13" ht="22.05" customHeight="1" x14ac:dyDescent="0.3">
      <c r="A420" s="2" t="s">
        <v>2168</v>
      </c>
      <c r="B420" s="12" t="s">
        <v>8</v>
      </c>
      <c r="C420" s="12">
        <v>10.9</v>
      </c>
      <c r="D420" s="2">
        <v>3070</v>
      </c>
      <c r="E420" s="2">
        <f>FastenersPriceList34[[#This Row],[1000 PCS/WT.]]/1000</f>
        <v>3.07</v>
      </c>
      <c r="F420" s="2" t="s">
        <v>881</v>
      </c>
      <c r="G420" s="6" t="s">
        <v>1755</v>
      </c>
      <c r="H420" s="70">
        <v>50</v>
      </c>
      <c r="I420" s="72">
        <f>FastenersPriceList34[[#This Row],[Quantity (kg)]]/FastenersPriceList34[[#This Row],[SINGLE PC. WT.]]</f>
        <v>16.286644951140065</v>
      </c>
      <c r="J420" s="3">
        <v>138</v>
      </c>
      <c r="K420" s="3">
        <f>FastenersPriceList34[[#This Row],[1000 PCS/WT.]]*FastenersPriceList34[[#This Row],[Rate / PER kg (₹)]]</f>
        <v>423660</v>
      </c>
      <c r="L420" s="4">
        <f>FastenersPriceList34[[#This Row],[Rate / PER kg (₹)]]*FastenersPriceList34[[#This Row],[Quantity (kg)]]</f>
        <v>6900</v>
      </c>
      <c r="M420" s="4">
        <f>FastenersPriceList34[[#This Row],[SINGLE PC. WT.]]*FastenersPriceList34[[#This Row],[Rate / PER kg (₹)]]</f>
        <v>423.65999999999997</v>
      </c>
    </row>
    <row r="421" spans="1:13" ht="22.05" customHeight="1" x14ac:dyDescent="0.3">
      <c r="A421" s="2" t="s">
        <v>2169</v>
      </c>
      <c r="B421" s="12" t="s">
        <v>8</v>
      </c>
      <c r="C421" s="12">
        <v>10.9</v>
      </c>
      <c r="D421" s="2">
        <v>3160</v>
      </c>
      <c r="E421" s="2">
        <f>FastenersPriceList34[[#This Row],[1000 PCS/WT.]]/1000</f>
        <v>3.16</v>
      </c>
      <c r="F421" s="2" t="s">
        <v>882</v>
      </c>
      <c r="G421" s="6" t="s">
        <v>1755</v>
      </c>
      <c r="H421" s="70">
        <v>50</v>
      </c>
      <c r="I421" s="72">
        <f>FastenersPriceList34[[#This Row],[Quantity (kg)]]/FastenersPriceList34[[#This Row],[SINGLE PC. WT.]]</f>
        <v>15.822784810126581</v>
      </c>
      <c r="J421" s="3">
        <v>138</v>
      </c>
      <c r="K421" s="3">
        <f>FastenersPriceList34[[#This Row],[1000 PCS/WT.]]*FastenersPriceList34[[#This Row],[Rate / PER kg (₹)]]</f>
        <v>436080</v>
      </c>
      <c r="L421" s="4">
        <f>FastenersPriceList34[[#This Row],[Rate / PER kg (₹)]]*FastenersPriceList34[[#This Row],[Quantity (kg)]]</f>
        <v>6900</v>
      </c>
      <c r="M421" s="4">
        <f>FastenersPriceList34[[#This Row],[SINGLE PC. WT.]]*FastenersPriceList34[[#This Row],[Rate / PER kg (₹)]]</f>
        <v>436.08000000000004</v>
      </c>
    </row>
    <row r="422" spans="1:13" ht="22.05" customHeight="1" x14ac:dyDescent="0.3">
      <c r="A422" s="2" t="s">
        <v>2170</v>
      </c>
      <c r="B422" s="12" t="s">
        <v>8</v>
      </c>
      <c r="C422" s="12">
        <v>10.9</v>
      </c>
      <c r="D422" s="2">
        <v>3250</v>
      </c>
      <c r="E422" s="2">
        <f>FastenersPriceList34[[#This Row],[1000 PCS/WT.]]/1000</f>
        <v>3.25</v>
      </c>
      <c r="F422" s="2" t="s">
        <v>883</v>
      </c>
      <c r="G422" s="6" t="s">
        <v>1755</v>
      </c>
      <c r="H422" s="70">
        <v>50</v>
      </c>
      <c r="I422" s="72">
        <f>FastenersPriceList34[[#This Row],[Quantity (kg)]]/FastenersPriceList34[[#This Row],[SINGLE PC. WT.]]</f>
        <v>15.384615384615385</v>
      </c>
      <c r="J422" s="3">
        <v>138</v>
      </c>
      <c r="K422" s="3">
        <f>FastenersPriceList34[[#This Row],[1000 PCS/WT.]]*FastenersPriceList34[[#This Row],[Rate / PER kg (₹)]]</f>
        <v>448500</v>
      </c>
      <c r="L422" s="4">
        <f>FastenersPriceList34[[#This Row],[Rate / PER kg (₹)]]*FastenersPriceList34[[#This Row],[Quantity (kg)]]</f>
        <v>6900</v>
      </c>
      <c r="M422" s="4">
        <f>FastenersPriceList34[[#This Row],[SINGLE PC. WT.]]*FastenersPriceList34[[#This Row],[Rate / PER kg (₹)]]</f>
        <v>448.5</v>
      </c>
    </row>
    <row r="423" spans="1:13" ht="22.05" customHeight="1" x14ac:dyDescent="0.3">
      <c r="A423" s="2" t="s">
        <v>2171</v>
      </c>
      <c r="B423" s="12" t="s">
        <v>8</v>
      </c>
      <c r="C423" s="12">
        <v>10.9</v>
      </c>
      <c r="D423" s="2">
        <v>3340</v>
      </c>
      <c r="E423" s="2">
        <f>FastenersPriceList34[[#This Row],[1000 PCS/WT.]]/1000</f>
        <v>3.34</v>
      </c>
      <c r="F423" s="2" t="s">
        <v>884</v>
      </c>
      <c r="G423" s="6" t="s">
        <v>1755</v>
      </c>
      <c r="H423" s="70">
        <v>50</v>
      </c>
      <c r="I423" s="72">
        <f>FastenersPriceList34[[#This Row],[Quantity (kg)]]/FastenersPriceList34[[#This Row],[SINGLE PC. WT.]]</f>
        <v>14.970059880239521</v>
      </c>
      <c r="J423" s="3">
        <v>138</v>
      </c>
      <c r="K423" s="3">
        <f>FastenersPriceList34[[#This Row],[1000 PCS/WT.]]*FastenersPriceList34[[#This Row],[Rate / PER kg (₹)]]</f>
        <v>460920</v>
      </c>
      <c r="L423" s="4">
        <f>FastenersPriceList34[[#This Row],[Rate / PER kg (₹)]]*FastenersPriceList34[[#This Row],[Quantity (kg)]]</f>
        <v>6900</v>
      </c>
      <c r="M423" s="4">
        <f>FastenersPriceList34[[#This Row],[SINGLE PC. WT.]]*FastenersPriceList34[[#This Row],[Rate / PER kg (₹)]]</f>
        <v>460.91999999999996</v>
      </c>
    </row>
    <row r="424" spans="1:13" ht="22.05" customHeight="1" x14ac:dyDescent="0.3">
      <c r="A424" s="2" t="s">
        <v>2172</v>
      </c>
      <c r="B424" s="12" t="s">
        <v>8</v>
      </c>
      <c r="C424" s="12">
        <v>10.9</v>
      </c>
      <c r="D424" s="2">
        <v>3430</v>
      </c>
      <c r="E424" s="2">
        <f>FastenersPriceList34[[#This Row],[1000 PCS/WT.]]/1000</f>
        <v>3.43</v>
      </c>
      <c r="F424" s="2" t="s">
        <v>885</v>
      </c>
      <c r="G424" s="6" t="s">
        <v>1755</v>
      </c>
      <c r="H424" s="70">
        <v>50</v>
      </c>
      <c r="I424" s="72">
        <f>FastenersPriceList34[[#This Row],[Quantity (kg)]]/FastenersPriceList34[[#This Row],[SINGLE PC. WT.]]</f>
        <v>14.577259475218659</v>
      </c>
      <c r="J424" s="3">
        <v>138</v>
      </c>
      <c r="K424" s="3">
        <f>FastenersPriceList34[[#This Row],[1000 PCS/WT.]]*FastenersPriceList34[[#This Row],[Rate / PER kg (₹)]]</f>
        <v>473340</v>
      </c>
      <c r="L424" s="4">
        <f>FastenersPriceList34[[#This Row],[Rate / PER kg (₹)]]*FastenersPriceList34[[#This Row],[Quantity (kg)]]</f>
        <v>6900</v>
      </c>
      <c r="M424" s="4">
        <f>FastenersPriceList34[[#This Row],[SINGLE PC. WT.]]*FastenersPriceList34[[#This Row],[Rate / PER kg (₹)]]</f>
        <v>473.34000000000003</v>
      </c>
    </row>
    <row r="425" spans="1:13" ht="22.05" customHeight="1" x14ac:dyDescent="0.3">
      <c r="A425" s="2" t="s">
        <v>2173</v>
      </c>
      <c r="B425" s="12" t="s">
        <v>8</v>
      </c>
      <c r="C425" s="12">
        <v>10.9</v>
      </c>
      <c r="D425" s="2">
        <v>3520</v>
      </c>
      <c r="E425" s="2">
        <f>FastenersPriceList34[[#This Row],[1000 PCS/WT.]]/1000</f>
        <v>3.52</v>
      </c>
      <c r="F425" s="2" t="s">
        <v>886</v>
      </c>
      <c r="G425" s="6" t="s">
        <v>1755</v>
      </c>
      <c r="H425" s="70">
        <v>50</v>
      </c>
      <c r="I425" s="72">
        <f>FastenersPriceList34[[#This Row],[Quantity (kg)]]/FastenersPriceList34[[#This Row],[SINGLE PC. WT.]]</f>
        <v>14.204545454545455</v>
      </c>
      <c r="J425" s="3">
        <v>138</v>
      </c>
      <c r="K425" s="3">
        <f>FastenersPriceList34[[#This Row],[1000 PCS/WT.]]*FastenersPriceList34[[#This Row],[Rate / PER kg (₹)]]</f>
        <v>485760</v>
      </c>
      <c r="L425" s="4">
        <f>FastenersPriceList34[[#This Row],[Rate / PER kg (₹)]]*FastenersPriceList34[[#This Row],[Quantity (kg)]]</f>
        <v>6900</v>
      </c>
      <c r="M425" s="4">
        <f>FastenersPriceList34[[#This Row],[SINGLE PC. WT.]]*FastenersPriceList34[[#This Row],[Rate / PER kg (₹)]]</f>
        <v>485.76</v>
      </c>
    </row>
    <row r="426" spans="1:13" ht="22.05" customHeight="1" x14ac:dyDescent="0.3">
      <c r="A426" s="2" t="s">
        <v>2174</v>
      </c>
      <c r="B426" s="12" t="s">
        <v>8</v>
      </c>
      <c r="C426" s="12">
        <v>10.9</v>
      </c>
      <c r="D426" s="2">
        <v>3610</v>
      </c>
      <c r="E426" s="2">
        <f>FastenersPriceList34[[#This Row],[1000 PCS/WT.]]/1000</f>
        <v>3.61</v>
      </c>
      <c r="F426" s="2" t="s">
        <v>887</v>
      </c>
      <c r="G426" s="6" t="s">
        <v>1755</v>
      </c>
      <c r="H426" s="70">
        <v>50</v>
      </c>
      <c r="I426" s="72">
        <f>FastenersPriceList34[[#This Row],[Quantity (kg)]]/FastenersPriceList34[[#This Row],[SINGLE PC. WT.]]</f>
        <v>13.850415512465375</v>
      </c>
      <c r="J426" s="3">
        <v>138</v>
      </c>
      <c r="K426" s="3">
        <f>FastenersPriceList34[[#This Row],[1000 PCS/WT.]]*FastenersPriceList34[[#This Row],[Rate / PER kg (₹)]]</f>
        <v>498180</v>
      </c>
      <c r="L426" s="4">
        <f>FastenersPriceList34[[#This Row],[Rate / PER kg (₹)]]*FastenersPriceList34[[#This Row],[Quantity (kg)]]</f>
        <v>6900</v>
      </c>
      <c r="M426" s="4">
        <f>FastenersPriceList34[[#This Row],[SINGLE PC. WT.]]*FastenersPriceList34[[#This Row],[Rate / PER kg (₹)]]</f>
        <v>498.18</v>
      </c>
    </row>
    <row r="427" spans="1:13" ht="22.05" customHeight="1" x14ac:dyDescent="0.3">
      <c r="A427" s="2" t="s">
        <v>2175</v>
      </c>
      <c r="B427" s="12" t="s">
        <v>8</v>
      </c>
      <c r="C427" s="12">
        <v>10.9</v>
      </c>
      <c r="D427" s="2">
        <v>3700</v>
      </c>
      <c r="E427" s="2">
        <f>FastenersPriceList34[[#This Row],[1000 PCS/WT.]]/1000</f>
        <v>3.7</v>
      </c>
      <c r="F427" s="2" t="s">
        <v>888</v>
      </c>
      <c r="G427" s="6" t="s">
        <v>1755</v>
      </c>
      <c r="H427" s="70">
        <v>50</v>
      </c>
      <c r="I427" s="72">
        <f>FastenersPriceList34[[#This Row],[Quantity (kg)]]/FastenersPriceList34[[#This Row],[SINGLE PC. WT.]]</f>
        <v>13.513513513513512</v>
      </c>
      <c r="J427" s="3">
        <v>138</v>
      </c>
      <c r="K427" s="3">
        <f>FastenersPriceList34[[#This Row],[1000 PCS/WT.]]*FastenersPriceList34[[#This Row],[Rate / PER kg (₹)]]</f>
        <v>510600</v>
      </c>
      <c r="L427" s="4">
        <f>FastenersPriceList34[[#This Row],[Rate / PER kg (₹)]]*FastenersPriceList34[[#This Row],[Quantity (kg)]]</f>
        <v>6900</v>
      </c>
      <c r="M427" s="4">
        <f>FastenersPriceList34[[#This Row],[SINGLE PC. WT.]]*FastenersPriceList34[[#This Row],[Rate / PER kg (₹)]]</f>
        <v>510.6</v>
      </c>
    </row>
    <row r="428" spans="1:13" ht="22.05" customHeight="1" x14ac:dyDescent="0.3">
      <c r="A428" s="2" t="s">
        <v>2176</v>
      </c>
      <c r="B428" s="12" t="s">
        <v>8</v>
      </c>
      <c r="C428" s="12">
        <v>10.9</v>
      </c>
      <c r="D428" s="2">
        <v>3790</v>
      </c>
      <c r="E428" s="2">
        <f>FastenersPriceList34[[#This Row],[1000 PCS/WT.]]/1000</f>
        <v>3.79</v>
      </c>
      <c r="F428" s="2" t="s">
        <v>889</v>
      </c>
      <c r="G428" s="6" t="s">
        <v>1755</v>
      </c>
      <c r="H428" s="70">
        <v>50</v>
      </c>
      <c r="I428" s="72">
        <f>FastenersPriceList34[[#This Row],[Quantity (kg)]]/FastenersPriceList34[[#This Row],[SINGLE PC. WT.]]</f>
        <v>13.192612137203167</v>
      </c>
      <c r="J428" s="3">
        <v>138</v>
      </c>
      <c r="K428" s="3">
        <f>FastenersPriceList34[[#This Row],[1000 PCS/WT.]]*FastenersPriceList34[[#This Row],[Rate / PER kg (₹)]]</f>
        <v>523020</v>
      </c>
      <c r="L428" s="4">
        <f>FastenersPriceList34[[#This Row],[Rate / PER kg (₹)]]*FastenersPriceList34[[#This Row],[Quantity (kg)]]</f>
        <v>6900</v>
      </c>
      <c r="M428" s="4">
        <f>FastenersPriceList34[[#This Row],[SINGLE PC. WT.]]*FastenersPriceList34[[#This Row],[Rate / PER kg (₹)]]</f>
        <v>523.02</v>
      </c>
    </row>
    <row r="429" spans="1:13" ht="22.05" customHeight="1" x14ac:dyDescent="0.3">
      <c r="A429" s="2" t="s">
        <v>2177</v>
      </c>
      <c r="B429" s="12" t="s">
        <v>8</v>
      </c>
      <c r="C429" s="12">
        <v>10.9</v>
      </c>
      <c r="D429" s="2">
        <v>3880</v>
      </c>
      <c r="E429" s="2">
        <f>FastenersPriceList34[[#This Row],[1000 PCS/WT.]]/1000</f>
        <v>3.88</v>
      </c>
      <c r="F429" s="2" t="s">
        <v>890</v>
      </c>
      <c r="G429" s="6" t="s">
        <v>1755</v>
      </c>
      <c r="H429" s="70">
        <v>50</v>
      </c>
      <c r="I429" s="72">
        <f>FastenersPriceList34[[#This Row],[Quantity (kg)]]/FastenersPriceList34[[#This Row],[SINGLE PC. WT.]]</f>
        <v>12.88659793814433</v>
      </c>
      <c r="J429" s="3">
        <v>138</v>
      </c>
      <c r="K429" s="3">
        <f>FastenersPriceList34[[#This Row],[1000 PCS/WT.]]*FastenersPriceList34[[#This Row],[Rate / PER kg (₹)]]</f>
        <v>535440</v>
      </c>
      <c r="L429" s="4">
        <f>FastenersPriceList34[[#This Row],[Rate / PER kg (₹)]]*FastenersPriceList34[[#This Row],[Quantity (kg)]]</f>
        <v>6900</v>
      </c>
      <c r="M429" s="4">
        <f>FastenersPriceList34[[#This Row],[SINGLE PC. WT.]]*FastenersPriceList34[[#This Row],[Rate / PER kg (₹)]]</f>
        <v>535.43999999999994</v>
      </c>
    </row>
    <row r="430" spans="1:13" x14ac:dyDescent="0.3">
      <c r="A430" s="5"/>
      <c r="B430" s="5"/>
      <c r="C430" s="5"/>
      <c r="D430" s="5"/>
      <c r="E430" s="5"/>
      <c r="F430" s="5"/>
      <c r="G430" s="5"/>
      <c r="H430" s="71"/>
      <c r="I430" s="68"/>
      <c r="J430" s="5"/>
      <c r="K430" s="5"/>
      <c r="L430" s="5"/>
      <c r="M430" s="5"/>
    </row>
    <row r="431" spans="1:13" ht="25.95" customHeight="1" x14ac:dyDescent="0.3">
      <c r="A431" s="34" t="s">
        <v>7</v>
      </c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1">
        <f>SUM(L5:L429)</f>
        <v>2798900</v>
      </c>
      <c r="M431" s="1">
        <f>SUM(M5:M429)</f>
        <v>52682.474559999988</v>
      </c>
    </row>
  </sheetData>
  <mergeCells count="3">
    <mergeCell ref="A1:M1"/>
    <mergeCell ref="A2:M2"/>
    <mergeCell ref="A431:K43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C2D2-60BE-473C-8D07-6669A8DA1213}">
  <dimension ref="A1:M431"/>
  <sheetViews>
    <sheetView tabSelected="1" workbookViewId="0">
      <selection activeCell="O168" sqref="O168"/>
    </sheetView>
  </sheetViews>
  <sheetFormatPr defaultRowHeight="14.4" x14ac:dyDescent="0.3"/>
  <cols>
    <col min="1" max="1" width="18.109375" customWidth="1"/>
    <col min="2" max="2" width="27.77734375" customWidth="1"/>
    <col min="3" max="3" width="10.44140625" customWidth="1"/>
    <col min="4" max="5" width="9.21875" customWidth="1"/>
    <col min="6" max="6" width="9" customWidth="1"/>
    <col min="7" max="7" width="7.109375" customWidth="1"/>
    <col min="8" max="8" width="9.6640625" style="69" customWidth="1"/>
    <col min="9" max="9" width="10.21875" style="65" customWidth="1"/>
    <col min="10" max="10" width="7.88671875" customWidth="1"/>
    <col min="11" max="11" width="11.77734375" customWidth="1"/>
    <col min="12" max="12" width="9.33203125" customWidth="1"/>
    <col min="13" max="13" width="13.109375" customWidth="1"/>
  </cols>
  <sheetData>
    <row r="1" spans="1:13" ht="31.95" customHeight="1" x14ac:dyDescent="0.3">
      <c r="A1" s="35" t="s">
        <v>899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34.049999999999997" customHeight="1" x14ac:dyDescent="0.3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15" thickBot="1" x14ac:dyDescent="0.35"/>
    <row r="4" spans="1:13" ht="37.950000000000003" customHeight="1" thickBot="1" x14ac:dyDescent="0.35">
      <c r="A4" s="9" t="s">
        <v>1</v>
      </c>
      <c r="B4" s="10" t="s">
        <v>2</v>
      </c>
      <c r="C4" s="10" t="s">
        <v>3</v>
      </c>
      <c r="D4" s="10" t="s">
        <v>634</v>
      </c>
      <c r="E4" s="10" t="s">
        <v>891</v>
      </c>
      <c r="F4" s="10" t="s">
        <v>4</v>
      </c>
      <c r="G4" s="10" t="s">
        <v>5</v>
      </c>
      <c r="H4" s="66" t="s">
        <v>6</v>
      </c>
      <c r="I4" s="66" t="s">
        <v>892</v>
      </c>
      <c r="J4" s="10" t="s">
        <v>894</v>
      </c>
      <c r="K4" s="10" t="s">
        <v>178</v>
      </c>
      <c r="L4" s="10" t="s">
        <v>895</v>
      </c>
      <c r="M4" s="11" t="s">
        <v>900</v>
      </c>
    </row>
    <row r="5" spans="1:13" ht="22.05" customHeight="1" x14ac:dyDescent="0.3">
      <c r="A5" s="6" t="s">
        <v>2180</v>
      </c>
      <c r="B5" s="6" t="s">
        <v>8</v>
      </c>
      <c r="C5" s="12">
        <v>12.9</v>
      </c>
      <c r="D5" s="6">
        <v>2.63</v>
      </c>
      <c r="E5" s="6">
        <f>FastenersPriceList345[[#This Row],[1000 PCS/WT.]]/1000</f>
        <v>2.63E-3</v>
      </c>
      <c r="F5" s="6" t="s">
        <v>10</v>
      </c>
      <c r="G5" s="6" t="s">
        <v>1755</v>
      </c>
      <c r="H5" s="70">
        <v>50</v>
      </c>
      <c r="I5" s="67">
        <f>FastenersPriceList345[[#This Row],[Quantity (kg)]]/FastenersPriceList345[[#This Row],[SINGLE PC. WT.]]</f>
        <v>19011.406844106463</v>
      </c>
      <c r="J5" s="7">
        <v>185</v>
      </c>
      <c r="K5" s="7">
        <f>FastenersPriceList345[[#This Row],[1000 PCS/WT.]]*FastenersPriceList345[[#This Row],[Rate / PER kg (₹)]]</f>
        <v>486.54999999999995</v>
      </c>
      <c r="L5" s="8">
        <f>FastenersPriceList345[[#This Row],[Rate / PER kg (₹)]]*FastenersPriceList345[[#This Row],[Quantity (kg)]]</f>
        <v>9250</v>
      </c>
      <c r="M5" s="8">
        <f>FastenersPriceList345[[#This Row],[SINGLE PC. WT.]]*FastenersPriceList345[[#This Row],[Rate / PER kg (₹)]]</f>
        <v>0.48654999999999998</v>
      </c>
    </row>
    <row r="6" spans="1:13" ht="22.05" customHeight="1" x14ac:dyDescent="0.3">
      <c r="A6" s="2" t="s">
        <v>2181</v>
      </c>
      <c r="B6" s="12" t="s">
        <v>8</v>
      </c>
      <c r="C6" s="12">
        <v>12.9</v>
      </c>
      <c r="D6" s="2">
        <v>3.37</v>
      </c>
      <c r="E6" s="2">
        <f>FastenersPriceList345[[#This Row],[1000 PCS/WT.]]/1000</f>
        <v>3.3700000000000002E-3</v>
      </c>
      <c r="F6" s="2" t="s">
        <v>12</v>
      </c>
      <c r="G6" s="6" t="s">
        <v>1755</v>
      </c>
      <c r="H6" s="70">
        <v>50</v>
      </c>
      <c r="I6" s="72">
        <f>FastenersPriceList345[[#This Row],[Quantity (kg)]]/FastenersPriceList345[[#This Row],[SINGLE PC. WT.]]</f>
        <v>14836.795252225518</v>
      </c>
      <c r="J6" s="7">
        <v>185</v>
      </c>
      <c r="K6" s="3">
        <f>FastenersPriceList345[[#This Row],[1000 PCS/WT.]]*FastenersPriceList345[[#This Row],[Rate / PER kg (₹)]]</f>
        <v>623.45000000000005</v>
      </c>
      <c r="L6" s="4">
        <f>FastenersPriceList345[[#This Row],[Rate / PER kg (₹)]]*FastenersPriceList345[[#This Row],[Quantity (kg)]]</f>
        <v>9250</v>
      </c>
      <c r="M6" s="4">
        <f>FastenersPriceList345[[#This Row],[SINGLE PC. WT.]]*FastenersPriceList345[[#This Row],[Rate / PER kg (₹)]]</f>
        <v>0.62345000000000006</v>
      </c>
    </row>
    <row r="7" spans="1:13" ht="22.05" customHeight="1" x14ac:dyDescent="0.3">
      <c r="A7" s="2" t="s">
        <v>2182</v>
      </c>
      <c r="B7" s="12" t="s">
        <v>8</v>
      </c>
      <c r="C7" s="12">
        <v>12.9</v>
      </c>
      <c r="D7" s="2">
        <v>3.87</v>
      </c>
      <c r="E7" s="2">
        <f>FastenersPriceList345[[#This Row],[1000 PCS/WT.]]/1000</f>
        <v>3.8700000000000002E-3</v>
      </c>
      <c r="F7" s="2" t="s">
        <v>13</v>
      </c>
      <c r="G7" s="6" t="s">
        <v>1755</v>
      </c>
      <c r="H7" s="70">
        <v>50</v>
      </c>
      <c r="I7" s="72">
        <f>FastenersPriceList345[[#This Row],[Quantity (kg)]]/FastenersPriceList345[[#This Row],[SINGLE PC. WT.]]</f>
        <v>12919.896640826873</v>
      </c>
      <c r="J7" s="7">
        <v>185</v>
      </c>
      <c r="K7" s="3">
        <f>FastenersPriceList345[[#This Row],[1000 PCS/WT.]]*FastenersPriceList345[[#This Row],[Rate / PER kg (₹)]]</f>
        <v>715.95</v>
      </c>
      <c r="L7" s="4">
        <f>FastenersPriceList345[[#This Row],[Rate / PER kg (₹)]]*FastenersPriceList345[[#This Row],[Quantity (kg)]]</f>
        <v>9250</v>
      </c>
      <c r="M7" s="4">
        <f>FastenersPriceList345[[#This Row],[SINGLE PC. WT.]]*FastenersPriceList345[[#This Row],[Rate / PER kg (₹)]]</f>
        <v>0.71595000000000009</v>
      </c>
    </row>
    <row r="8" spans="1:13" ht="22.05" customHeight="1" x14ac:dyDescent="0.3">
      <c r="A8" s="2" t="s">
        <v>2183</v>
      </c>
      <c r="B8" s="12" t="s">
        <v>8</v>
      </c>
      <c r="C8" s="12">
        <v>12.9</v>
      </c>
      <c r="D8" s="2">
        <v>4.49</v>
      </c>
      <c r="E8" s="2">
        <f>FastenersPriceList345[[#This Row],[1000 PCS/WT.]]/1000</f>
        <v>4.4900000000000001E-3</v>
      </c>
      <c r="F8" s="2" t="s">
        <v>14</v>
      </c>
      <c r="G8" s="6" t="s">
        <v>1755</v>
      </c>
      <c r="H8" s="70">
        <v>50</v>
      </c>
      <c r="I8" s="72">
        <f>FastenersPriceList345[[#This Row],[Quantity (kg)]]/FastenersPriceList345[[#This Row],[SINGLE PC. WT.]]</f>
        <v>11135.8574610245</v>
      </c>
      <c r="J8" s="7">
        <v>185</v>
      </c>
      <c r="K8" s="3">
        <f>FastenersPriceList345[[#This Row],[1000 PCS/WT.]]*FastenersPriceList345[[#This Row],[Rate / PER kg (₹)]]</f>
        <v>830.65000000000009</v>
      </c>
      <c r="L8" s="4">
        <f>FastenersPriceList345[[#This Row],[Rate / PER kg (₹)]]*FastenersPriceList345[[#This Row],[Quantity (kg)]]</f>
        <v>9250</v>
      </c>
      <c r="M8" s="4">
        <f>FastenersPriceList345[[#This Row],[SINGLE PC. WT.]]*FastenersPriceList345[[#This Row],[Rate / PER kg (₹)]]</f>
        <v>0.83065</v>
      </c>
    </row>
    <row r="9" spans="1:13" ht="22.05" customHeight="1" x14ac:dyDescent="0.3">
      <c r="A9" s="2" t="s">
        <v>2184</v>
      </c>
      <c r="B9" s="12" t="s">
        <v>8</v>
      </c>
      <c r="C9" s="12">
        <v>12.9</v>
      </c>
      <c r="D9" s="2">
        <v>5.1100000000000003</v>
      </c>
      <c r="E9" s="2">
        <f>FastenersPriceList345[[#This Row],[1000 PCS/WT.]]/1000</f>
        <v>5.11E-3</v>
      </c>
      <c r="F9" s="2" t="s">
        <v>15</v>
      </c>
      <c r="G9" s="6" t="s">
        <v>1755</v>
      </c>
      <c r="H9" s="70">
        <v>50</v>
      </c>
      <c r="I9" s="72">
        <f>FastenersPriceList345[[#This Row],[Quantity (kg)]]/FastenersPriceList345[[#This Row],[SINGLE PC. WT.]]</f>
        <v>9784.7358121330726</v>
      </c>
      <c r="J9" s="7">
        <v>185</v>
      </c>
      <c r="K9" s="3">
        <f>FastenersPriceList345[[#This Row],[1000 PCS/WT.]]*FastenersPriceList345[[#This Row],[Rate / PER kg (₹)]]</f>
        <v>945.35</v>
      </c>
      <c r="L9" s="4">
        <f>FastenersPriceList345[[#This Row],[Rate / PER kg (₹)]]*FastenersPriceList345[[#This Row],[Quantity (kg)]]</f>
        <v>9250</v>
      </c>
      <c r="M9" s="4">
        <f>FastenersPriceList345[[#This Row],[SINGLE PC. WT.]]*FastenersPriceList345[[#This Row],[Rate / PER kg (₹)]]</f>
        <v>0.94535000000000002</v>
      </c>
    </row>
    <row r="10" spans="1:13" ht="22.05" customHeight="1" x14ac:dyDescent="0.3">
      <c r="A10" s="2" t="s">
        <v>2185</v>
      </c>
      <c r="B10" s="12" t="s">
        <v>8</v>
      </c>
      <c r="C10" s="12">
        <v>12.9</v>
      </c>
      <c r="D10" s="2">
        <v>5.73</v>
      </c>
      <c r="E10" s="2">
        <f>FastenersPriceList345[[#This Row],[1000 PCS/WT.]]/1000</f>
        <v>5.7300000000000007E-3</v>
      </c>
      <c r="F10" s="2" t="s">
        <v>16</v>
      </c>
      <c r="G10" s="6" t="s">
        <v>1755</v>
      </c>
      <c r="H10" s="70">
        <v>50</v>
      </c>
      <c r="I10" s="72">
        <f>FastenersPriceList345[[#This Row],[Quantity (kg)]]/FastenersPriceList345[[#This Row],[SINGLE PC. WT.]]</f>
        <v>8726.0034904013955</v>
      </c>
      <c r="J10" s="7">
        <v>185</v>
      </c>
      <c r="K10" s="3">
        <f>FastenersPriceList345[[#This Row],[1000 PCS/WT.]]*FastenersPriceList345[[#This Row],[Rate / PER kg (₹)]]</f>
        <v>1060.0500000000002</v>
      </c>
      <c r="L10" s="4">
        <f>FastenersPriceList345[[#This Row],[Rate / PER kg (₹)]]*FastenersPriceList345[[#This Row],[Quantity (kg)]]</f>
        <v>9250</v>
      </c>
      <c r="M10" s="4">
        <f>FastenersPriceList345[[#This Row],[SINGLE PC. WT.]]*FastenersPriceList345[[#This Row],[Rate / PER kg (₹)]]</f>
        <v>1.0600500000000002</v>
      </c>
    </row>
    <row r="11" spans="1:13" ht="22.05" customHeight="1" x14ac:dyDescent="0.3">
      <c r="A11" s="2" t="s">
        <v>2186</v>
      </c>
      <c r="B11" s="12" t="s">
        <v>8</v>
      </c>
      <c r="C11" s="12">
        <v>12.9</v>
      </c>
      <c r="D11" s="2">
        <v>6.35</v>
      </c>
      <c r="E11" s="2">
        <f>FastenersPriceList345[[#This Row],[1000 PCS/WT.]]/1000</f>
        <v>6.3499999999999997E-3</v>
      </c>
      <c r="F11" s="2" t="s">
        <v>17</v>
      </c>
      <c r="G11" s="6" t="s">
        <v>1755</v>
      </c>
      <c r="H11" s="70">
        <v>50</v>
      </c>
      <c r="I11" s="72">
        <f>FastenersPriceList345[[#This Row],[Quantity (kg)]]/FastenersPriceList345[[#This Row],[SINGLE PC. WT.]]</f>
        <v>7874.0157480314965</v>
      </c>
      <c r="J11" s="7">
        <v>185</v>
      </c>
      <c r="K11" s="3">
        <f>FastenersPriceList345[[#This Row],[1000 PCS/WT.]]*FastenersPriceList345[[#This Row],[Rate / PER kg (₹)]]</f>
        <v>1174.75</v>
      </c>
      <c r="L11" s="4">
        <f>FastenersPriceList345[[#This Row],[Rate / PER kg (₹)]]*FastenersPriceList345[[#This Row],[Quantity (kg)]]</f>
        <v>9250</v>
      </c>
      <c r="M11" s="4">
        <f>FastenersPriceList345[[#This Row],[SINGLE PC. WT.]]*FastenersPriceList345[[#This Row],[Rate / PER kg (₹)]]</f>
        <v>1.17475</v>
      </c>
    </row>
    <row r="12" spans="1:13" ht="22.05" customHeight="1" x14ac:dyDescent="0.3">
      <c r="A12" s="2" t="s">
        <v>2187</v>
      </c>
      <c r="B12" s="12" t="s">
        <v>8</v>
      </c>
      <c r="C12" s="12">
        <v>12.9</v>
      </c>
      <c r="D12" s="2">
        <v>6.99</v>
      </c>
      <c r="E12" s="2">
        <f>FastenersPriceList345[[#This Row],[1000 PCS/WT.]]/1000</f>
        <v>6.9900000000000006E-3</v>
      </c>
      <c r="F12" s="2" t="s">
        <v>18</v>
      </c>
      <c r="G12" s="6" t="s">
        <v>1755</v>
      </c>
      <c r="H12" s="70">
        <v>50</v>
      </c>
      <c r="I12" s="72">
        <f>FastenersPriceList345[[#This Row],[Quantity (kg)]]/FastenersPriceList345[[#This Row],[SINGLE PC. WT.]]</f>
        <v>7153.0758226037187</v>
      </c>
      <c r="J12" s="7">
        <v>185</v>
      </c>
      <c r="K12" s="3">
        <f>FastenersPriceList345[[#This Row],[1000 PCS/WT.]]*FastenersPriceList345[[#This Row],[Rate / PER kg (₹)]]</f>
        <v>1293.1500000000001</v>
      </c>
      <c r="L12" s="4">
        <f>FastenersPriceList345[[#This Row],[Rate / PER kg (₹)]]*FastenersPriceList345[[#This Row],[Quantity (kg)]]</f>
        <v>9250</v>
      </c>
      <c r="M12" s="4">
        <f>FastenersPriceList345[[#This Row],[SINGLE PC. WT.]]*FastenersPriceList345[[#This Row],[Rate / PER kg (₹)]]</f>
        <v>1.29315</v>
      </c>
    </row>
    <row r="13" spans="1:13" ht="22.05" customHeight="1" x14ac:dyDescent="0.3">
      <c r="A13" s="2" t="s">
        <v>2188</v>
      </c>
      <c r="B13" s="12" t="s">
        <v>8</v>
      </c>
      <c r="C13" s="12">
        <v>12.9</v>
      </c>
      <c r="D13" s="2">
        <v>7.59</v>
      </c>
      <c r="E13" s="2">
        <f>FastenersPriceList345[[#This Row],[1000 PCS/WT.]]/1000</f>
        <v>7.5899999999999995E-3</v>
      </c>
      <c r="F13" s="2" t="s">
        <v>19</v>
      </c>
      <c r="G13" s="6" t="s">
        <v>1755</v>
      </c>
      <c r="H13" s="70">
        <v>50</v>
      </c>
      <c r="I13" s="72">
        <f>FastenersPriceList345[[#This Row],[Quantity (kg)]]/FastenersPriceList345[[#This Row],[SINGLE PC. WT.]]</f>
        <v>6587.6152832674579</v>
      </c>
      <c r="J13" s="7">
        <v>185</v>
      </c>
      <c r="K13" s="3">
        <f>FastenersPriceList345[[#This Row],[1000 PCS/WT.]]*FastenersPriceList345[[#This Row],[Rate / PER kg (₹)]]</f>
        <v>1404.1499999999999</v>
      </c>
      <c r="L13" s="4">
        <f>FastenersPriceList345[[#This Row],[Rate / PER kg (₹)]]*FastenersPriceList345[[#This Row],[Quantity (kg)]]</f>
        <v>9250</v>
      </c>
      <c r="M13" s="4">
        <f>FastenersPriceList345[[#This Row],[SINGLE PC. WT.]]*FastenersPriceList345[[#This Row],[Rate / PER kg (₹)]]</f>
        <v>1.40415</v>
      </c>
    </row>
    <row r="14" spans="1:13" ht="22.05" customHeight="1" x14ac:dyDescent="0.3">
      <c r="A14" s="2" t="s">
        <v>2189</v>
      </c>
      <c r="B14" s="12" t="s">
        <v>8</v>
      </c>
      <c r="C14" s="12">
        <v>12.9</v>
      </c>
      <c r="D14" s="2">
        <v>8.2100000000000009</v>
      </c>
      <c r="E14" s="2">
        <f>FastenersPriceList345[[#This Row],[1000 PCS/WT.]]/1000</f>
        <v>8.2100000000000003E-3</v>
      </c>
      <c r="F14" s="2" t="s">
        <v>20</v>
      </c>
      <c r="G14" s="6" t="s">
        <v>1755</v>
      </c>
      <c r="H14" s="70">
        <v>50</v>
      </c>
      <c r="I14" s="72">
        <f>FastenersPriceList345[[#This Row],[Quantity (kg)]]/FastenersPriceList345[[#This Row],[SINGLE PC. WT.]]</f>
        <v>6090.1339829476246</v>
      </c>
      <c r="J14" s="7">
        <v>185</v>
      </c>
      <c r="K14" s="3">
        <f>FastenersPriceList345[[#This Row],[1000 PCS/WT.]]*FastenersPriceList345[[#This Row],[Rate / PER kg (₹)]]</f>
        <v>1518.8500000000001</v>
      </c>
      <c r="L14" s="4">
        <f>FastenersPriceList345[[#This Row],[Rate / PER kg (₹)]]*FastenersPriceList345[[#This Row],[Quantity (kg)]]</f>
        <v>9250</v>
      </c>
      <c r="M14" s="4">
        <f>FastenersPriceList345[[#This Row],[SINGLE PC. WT.]]*FastenersPriceList345[[#This Row],[Rate / PER kg (₹)]]</f>
        <v>1.51885</v>
      </c>
    </row>
    <row r="15" spans="1:13" ht="22.05" customHeight="1" x14ac:dyDescent="0.3">
      <c r="A15" s="2" t="s">
        <v>2190</v>
      </c>
      <c r="B15" s="12" t="s">
        <v>8</v>
      </c>
      <c r="C15" s="12">
        <v>12.9</v>
      </c>
      <c r="D15" s="2">
        <v>8.83</v>
      </c>
      <c r="E15" s="2">
        <f>FastenersPriceList345[[#This Row],[1000 PCS/WT.]]/1000</f>
        <v>8.8299999999999993E-3</v>
      </c>
      <c r="F15" s="2" t="s">
        <v>21</v>
      </c>
      <c r="G15" s="6" t="s">
        <v>1755</v>
      </c>
      <c r="H15" s="70">
        <v>50</v>
      </c>
      <c r="I15" s="72">
        <f>FastenersPriceList345[[#This Row],[Quantity (kg)]]/FastenersPriceList345[[#This Row],[SINGLE PC. WT.]]</f>
        <v>5662.5141562853914</v>
      </c>
      <c r="J15" s="7">
        <v>185</v>
      </c>
      <c r="K15" s="3">
        <f>FastenersPriceList345[[#This Row],[1000 PCS/WT.]]*FastenersPriceList345[[#This Row],[Rate / PER kg (₹)]]</f>
        <v>1633.55</v>
      </c>
      <c r="L15" s="4">
        <f>FastenersPriceList345[[#This Row],[Rate / PER kg (₹)]]*FastenersPriceList345[[#This Row],[Quantity (kg)]]</f>
        <v>9250</v>
      </c>
      <c r="M15" s="4">
        <f>FastenersPriceList345[[#This Row],[SINGLE PC. WT.]]*FastenersPriceList345[[#This Row],[Rate / PER kg (₹)]]</f>
        <v>1.6335499999999998</v>
      </c>
    </row>
    <row r="16" spans="1:13" ht="22.05" customHeight="1" x14ac:dyDescent="0.3">
      <c r="A16" s="2" t="s">
        <v>2191</v>
      </c>
      <c r="B16" s="12" t="s">
        <v>8</v>
      </c>
      <c r="C16" s="12">
        <v>12.9</v>
      </c>
      <c r="D16" s="2">
        <v>9.4499999999999993</v>
      </c>
      <c r="E16" s="2">
        <f>FastenersPriceList345[[#This Row],[1000 PCS/WT.]]/1000</f>
        <v>9.4500000000000001E-3</v>
      </c>
      <c r="F16" s="2" t="s">
        <v>22</v>
      </c>
      <c r="G16" s="6" t="s">
        <v>1755</v>
      </c>
      <c r="H16" s="70">
        <v>50</v>
      </c>
      <c r="I16" s="72">
        <f>FastenersPriceList345[[#This Row],[Quantity (kg)]]/FastenersPriceList345[[#This Row],[SINGLE PC. WT.]]</f>
        <v>5291.0052910052909</v>
      </c>
      <c r="J16" s="7">
        <v>185</v>
      </c>
      <c r="K16" s="3">
        <f>FastenersPriceList345[[#This Row],[1000 PCS/WT.]]*FastenersPriceList345[[#This Row],[Rate / PER kg (₹)]]</f>
        <v>1748.2499999999998</v>
      </c>
      <c r="L16" s="4">
        <f>FastenersPriceList345[[#This Row],[Rate / PER kg (₹)]]*FastenersPriceList345[[#This Row],[Quantity (kg)]]</f>
        <v>9250</v>
      </c>
      <c r="M16" s="4">
        <f>FastenersPriceList345[[#This Row],[SINGLE PC. WT.]]*FastenersPriceList345[[#This Row],[Rate / PER kg (₹)]]</f>
        <v>1.7482500000000001</v>
      </c>
    </row>
    <row r="17" spans="1:13" ht="22.05" customHeight="1" x14ac:dyDescent="0.3">
      <c r="A17" s="2" t="s">
        <v>2192</v>
      </c>
      <c r="B17" s="12" t="s">
        <v>8</v>
      </c>
      <c r="C17" s="12">
        <v>12.9</v>
      </c>
      <c r="D17" s="2">
        <v>10.1</v>
      </c>
      <c r="E17" s="2">
        <f>FastenersPriceList345[[#This Row],[1000 PCS/WT.]]/1000</f>
        <v>1.01E-2</v>
      </c>
      <c r="F17" s="2" t="s">
        <v>23</v>
      </c>
      <c r="G17" s="6" t="s">
        <v>1755</v>
      </c>
      <c r="H17" s="70">
        <v>50</v>
      </c>
      <c r="I17" s="72">
        <f>FastenersPriceList345[[#This Row],[Quantity (kg)]]/FastenersPriceList345[[#This Row],[SINGLE PC. WT.]]</f>
        <v>4950.4950495049507</v>
      </c>
      <c r="J17" s="7">
        <v>185</v>
      </c>
      <c r="K17" s="3">
        <f>FastenersPriceList345[[#This Row],[1000 PCS/WT.]]*FastenersPriceList345[[#This Row],[Rate / PER kg (₹)]]</f>
        <v>1868.5</v>
      </c>
      <c r="L17" s="4">
        <f>FastenersPriceList345[[#This Row],[Rate / PER kg (₹)]]*FastenersPriceList345[[#This Row],[Quantity (kg)]]</f>
        <v>9250</v>
      </c>
      <c r="M17" s="4">
        <f>FastenersPriceList345[[#This Row],[SINGLE PC. WT.]]*FastenersPriceList345[[#This Row],[Rate / PER kg (₹)]]</f>
        <v>1.8684999999999998</v>
      </c>
    </row>
    <row r="18" spans="1:13" ht="22.05" customHeight="1" x14ac:dyDescent="0.3">
      <c r="A18" s="2" t="s">
        <v>2193</v>
      </c>
      <c r="B18" s="12" t="s">
        <v>8</v>
      </c>
      <c r="C18" s="12">
        <v>12.9</v>
      </c>
      <c r="D18" s="2">
        <v>10.7</v>
      </c>
      <c r="E18" s="2">
        <f>FastenersPriceList345[[#This Row],[1000 PCS/WT.]]/1000</f>
        <v>1.0699999999999999E-2</v>
      </c>
      <c r="F18" s="2" t="s">
        <v>24</v>
      </c>
      <c r="G18" s="6" t="s">
        <v>1755</v>
      </c>
      <c r="H18" s="70">
        <v>50</v>
      </c>
      <c r="I18" s="72">
        <f>FastenersPriceList345[[#This Row],[Quantity (kg)]]/FastenersPriceList345[[#This Row],[SINGLE PC. WT.]]</f>
        <v>4672.8971962616824</v>
      </c>
      <c r="J18" s="7">
        <v>185</v>
      </c>
      <c r="K18" s="3">
        <f>FastenersPriceList345[[#This Row],[1000 PCS/WT.]]*FastenersPriceList345[[#This Row],[Rate / PER kg (₹)]]</f>
        <v>1979.4999999999998</v>
      </c>
      <c r="L18" s="4">
        <f>FastenersPriceList345[[#This Row],[Rate / PER kg (₹)]]*FastenersPriceList345[[#This Row],[Quantity (kg)]]</f>
        <v>9250</v>
      </c>
      <c r="M18" s="4">
        <f>FastenersPriceList345[[#This Row],[SINGLE PC. WT.]]*FastenersPriceList345[[#This Row],[Rate / PER kg (₹)]]</f>
        <v>1.9794999999999998</v>
      </c>
    </row>
    <row r="19" spans="1:13" ht="22.05" customHeight="1" x14ac:dyDescent="0.3">
      <c r="A19" s="2" t="s">
        <v>2194</v>
      </c>
      <c r="B19" s="12" t="s">
        <v>8</v>
      </c>
      <c r="C19" s="12">
        <v>12.9</v>
      </c>
      <c r="D19" s="2">
        <v>11.3</v>
      </c>
      <c r="E19" s="2">
        <f>FastenersPriceList345[[#This Row],[1000 PCS/WT.]]/1000</f>
        <v>1.1300000000000001E-2</v>
      </c>
      <c r="F19" s="2" t="s">
        <v>25</v>
      </c>
      <c r="G19" s="6" t="s">
        <v>1755</v>
      </c>
      <c r="H19" s="70">
        <v>50</v>
      </c>
      <c r="I19" s="72">
        <f>FastenersPriceList345[[#This Row],[Quantity (kg)]]/FastenersPriceList345[[#This Row],[SINGLE PC. WT.]]</f>
        <v>4424.7787610619462</v>
      </c>
      <c r="J19" s="7">
        <v>185</v>
      </c>
      <c r="K19" s="3">
        <f>FastenersPriceList345[[#This Row],[1000 PCS/WT.]]*FastenersPriceList345[[#This Row],[Rate / PER kg (₹)]]</f>
        <v>2090.5</v>
      </c>
      <c r="L19" s="4">
        <f>FastenersPriceList345[[#This Row],[Rate / PER kg (₹)]]*FastenersPriceList345[[#This Row],[Quantity (kg)]]</f>
        <v>9250</v>
      </c>
      <c r="M19" s="4">
        <f>FastenersPriceList345[[#This Row],[SINGLE PC. WT.]]*FastenersPriceList345[[#This Row],[Rate / PER kg (₹)]]</f>
        <v>2.0905</v>
      </c>
    </row>
    <row r="20" spans="1:13" ht="22.05" customHeight="1" x14ac:dyDescent="0.3">
      <c r="A20" s="2" t="s">
        <v>2195</v>
      </c>
      <c r="B20" s="12" t="s">
        <v>8</v>
      </c>
      <c r="C20" s="12">
        <v>12.9</v>
      </c>
      <c r="D20" s="2">
        <v>4.08</v>
      </c>
      <c r="E20" s="6">
        <f>FastenersPriceList345[[#This Row],[1000 PCS/WT.]]/1000</f>
        <v>4.0800000000000003E-3</v>
      </c>
      <c r="F20" s="6" t="s">
        <v>26</v>
      </c>
      <c r="G20" s="6" t="s">
        <v>1755</v>
      </c>
      <c r="H20" s="70">
        <v>50</v>
      </c>
      <c r="I20" s="72">
        <f>FastenersPriceList345[[#This Row],[Quantity (kg)]]/FastenersPriceList345[[#This Row],[SINGLE PC. WT.]]</f>
        <v>12254.901960784313</v>
      </c>
      <c r="J20" s="7">
        <v>185</v>
      </c>
      <c r="K20" s="3">
        <f>FastenersPriceList345[[#This Row],[1000 PCS/WT.]]*FastenersPriceList345[[#This Row],[Rate / PER kg (₹)]]</f>
        <v>754.80000000000007</v>
      </c>
      <c r="L20" s="4">
        <f>FastenersPriceList345[[#This Row],[Rate / PER kg (₹)]]*FastenersPriceList345[[#This Row],[Quantity (kg)]]</f>
        <v>9250</v>
      </c>
      <c r="M20" s="4">
        <f>FastenersPriceList345[[#This Row],[SINGLE PC. WT.]]*FastenersPriceList345[[#This Row],[Rate / PER kg (₹)]]</f>
        <v>0.75480000000000003</v>
      </c>
    </row>
    <row r="21" spans="1:13" ht="22.05" customHeight="1" x14ac:dyDescent="0.3">
      <c r="A21" s="2" t="s">
        <v>2196</v>
      </c>
      <c r="B21" s="12" t="s">
        <v>8</v>
      </c>
      <c r="C21" s="12">
        <v>12.9</v>
      </c>
      <c r="D21" s="2">
        <v>5.1100000000000003</v>
      </c>
      <c r="E21" s="2">
        <f>FastenersPriceList345[[#This Row],[1000 PCS/WT.]]/1000</f>
        <v>5.11E-3</v>
      </c>
      <c r="F21" s="2" t="s">
        <v>27</v>
      </c>
      <c r="G21" s="6" t="s">
        <v>1755</v>
      </c>
      <c r="H21" s="70">
        <v>50</v>
      </c>
      <c r="I21" s="72">
        <f>FastenersPriceList345[[#This Row],[Quantity (kg)]]/FastenersPriceList345[[#This Row],[SINGLE PC. WT.]]</f>
        <v>9784.7358121330726</v>
      </c>
      <c r="J21" s="7">
        <v>185</v>
      </c>
      <c r="K21" s="3">
        <f>FastenersPriceList345[[#This Row],[1000 PCS/WT.]]*FastenersPriceList345[[#This Row],[Rate / PER kg (₹)]]</f>
        <v>945.35</v>
      </c>
      <c r="L21" s="4">
        <f>FastenersPriceList345[[#This Row],[Rate / PER kg (₹)]]*FastenersPriceList345[[#This Row],[Quantity (kg)]]</f>
        <v>9250</v>
      </c>
      <c r="M21" s="4">
        <f>FastenersPriceList345[[#This Row],[SINGLE PC. WT.]]*FastenersPriceList345[[#This Row],[Rate / PER kg (₹)]]</f>
        <v>0.94535000000000002</v>
      </c>
    </row>
    <row r="22" spans="1:13" ht="22.05" customHeight="1" x14ac:dyDescent="0.3">
      <c r="A22" s="2" t="s">
        <v>2197</v>
      </c>
      <c r="B22" s="12" t="s">
        <v>8</v>
      </c>
      <c r="C22" s="12">
        <v>12.9</v>
      </c>
      <c r="D22" s="2">
        <v>5.8</v>
      </c>
      <c r="E22" s="2">
        <f>FastenersPriceList345[[#This Row],[1000 PCS/WT.]]/1000</f>
        <v>5.7999999999999996E-3</v>
      </c>
      <c r="F22" s="2" t="s">
        <v>28</v>
      </c>
      <c r="G22" s="6" t="s">
        <v>1755</v>
      </c>
      <c r="H22" s="70">
        <v>50</v>
      </c>
      <c r="I22" s="72">
        <f>FastenersPriceList345[[#This Row],[Quantity (kg)]]/FastenersPriceList345[[#This Row],[SINGLE PC. WT.]]</f>
        <v>8620.6896551724149</v>
      </c>
      <c r="J22" s="7">
        <v>185</v>
      </c>
      <c r="K22" s="3">
        <f>FastenersPriceList345[[#This Row],[1000 PCS/WT.]]*FastenersPriceList345[[#This Row],[Rate / PER kg (₹)]]</f>
        <v>1073</v>
      </c>
      <c r="L22" s="4">
        <f>FastenersPriceList345[[#This Row],[Rate / PER kg (₹)]]*FastenersPriceList345[[#This Row],[Quantity (kg)]]</f>
        <v>9250</v>
      </c>
      <c r="M22" s="4">
        <f>FastenersPriceList345[[#This Row],[SINGLE PC. WT.]]*FastenersPriceList345[[#This Row],[Rate / PER kg (₹)]]</f>
        <v>1.073</v>
      </c>
    </row>
    <row r="23" spans="1:13" ht="22.05" customHeight="1" x14ac:dyDescent="0.3">
      <c r="A23" s="2" t="s">
        <v>2198</v>
      </c>
      <c r="B23" s="12" t="s">
        <v>8</v>
      </c>
      <c r="C23" s="12">
        <v>12.9</v>
      </c>
      <c r="D23" s="2">
        <v>6.65</v>
      </c>
      <c r="E23" s="2">
        <f>FastenersPriceList345[[#This Row],[1000 PCS/WT.]]/1000</f>
        <v>6.6500000000000005E-3</v>
      </c>
      <c r="F23" s="2" t="s">
        <v>29</v>
      </c>
      <c r="G23" s="6" t="s">
        <v>1755</v>
      </c>
      <c r="H23" s="70">
        <v>50</v>
      </c>
      <c r="I23" s="72">
        <f>FastenersPriceList345[[#This Row],[Quantity (kg)]]/FastenersPriceList345[[#This Row],[SINGLE PC. WT.]]</f>
        <v>7518.7969924812023</v>
      </c>
      <c r="J23" s="7">
        <v>185</v>
      </c>
      <c r="K23" s="3">
        <f>FastenersPriceList345[[#This Row],[1000 PCS/WT.]]*FastenersPriceList345[[#This Row],[Rate / PER kg (₹)]]</f>
        <v>1230.25</v>
      </c>
      <c r="L23" s="4">
        <f>FastenersPriceList345[[#This Row],[Rate / PER kg (₹)]]*FastenersPriceList345[[#This Row],[Quantity (kg)]]</f>
        <v>9250</v>
      </c>
      <c r="M23" s="4">
        <f>FastenersPriceList345[[#This Row],[SINGLE PC. WT.]]*FastenersPriceList345[[#This Row],[Rate / PER kg (₹)]]</f>
        <v>1.2302500000000001</v>
      </c>
    </row>
    <row r="24" spans="1:13" ht="22.05" customHeight="1" x14ac:dyDescent="0.3">
      <c r="A24" s="2" t="s">
        <v>2199</v>
      </c>
      <c r="B24" s="12" t="s">
        <v>8</v>
      </c>
      <c r="C24" s="12">
        <v>12.9</v>
      </c>
      <c r="D24" s="2">
        <v>7.78</v>
      </c>
      <c r="E24" s="2">
        <f>FastenersPriceList345[[#This Row],[1000 PCS/WT.]]/1000</f>
        <v>7.7800000000000005E-3</v>
      </c>
      <c r="F24" s="2" t="s">
        <v>30</v>
      </c>
      <c r="G24" s="6" t="s">
        <v>1755</v>
      </c>
      <c r="H24" s="70">
        <v>50</v>
      </c>
      <c r="I24" s="72">
        <f>FastenersPriceList345[[#This Row],[Quantity (kg)]]/FastenersPriceList345[[#This Row],[SINGLE PC. WT.]]</f>
        <v>6426.7352185089967</v>
      </c>
      <c r="J24" s="7">
        <v>185</v>
      </c>
      <c r="K24" s="3">
        <f>FastenersPriceList345[[#This Row],[1000 PCS/WT.]]*FastenersPriceList345[[#This Row],[Rate / PER kg (₹)]]</f>
        <v>1439.3</v>
      </c>
      <c r="L24" s="4">
        <f>FastenersPriceList345[[#This Row],[Rate / PER kg (₹)]]*FastenersPriceList345[[#This Row],[Quantity (kg)]]</f>
        <v>9250</v>
      </c>
      <c r="M24" s="4">
        <f>FastenersPriceList345[[#This Row],[SINGLE PC. WT.]]*FastenersPriceList345[[#This Row],[Rate / PER kg (₹)]]</f>
        <v>1.4393</v>
      </c>
    </row>
    <row r="25" spans="1:13" ht="22.05" customHeight="1" x14ac:dyDescent="0.3">
      <c r="A25" s="2" t="s">
        <v>2200</v>
      </c>
      <c r="B25" s="12" t="s">
        <v>8</v>
      </c>
      <c r="C25" s="12">
        <v>12.9</v>
      </c>
      <c r="D25" s="2">
        <v>8.91</v>
      </c>
      <c r="E25" s="2">
        <f>FastenersPriceList345[[#This Row],[1000 PCS/WT.]]/1000</f>
        <v>8.9099999999999995E-3</v>
      </c>
      <c r="F25" s="2" t="s">
        <v>31</v>
      </c>
      <c r="G25" s="6" t="s">
        <v>1755</v>
      </c>
      <c r="H25" s="70">
        <v>50</v>
      </c>
      <c r="I25" s="72">
        <f>FastenersPriceList345[[#This Row],[Quantity (kg)]]/FastenersPriceList345[[#This Row],[SINGLE PC. WT.]]</f>
        <v>5611.672278338945</v>
      </c>
      <c r="J25" s="7">
        <v>185</v>
      </c>
      <c r="K25" s="3">
        <f>FastenersPriceList345[[#This Row],[1000 PCS/WT.]]*FastenersPriceList345[[#This Row],[Rate / PER kg (₹)]]</f>
        <v>1648.3500000000001</v>
      </c>
      <c r="L25" s="4">
        <f>FastenersPriceList345[[#This Row],[Rate / PER kg (₹)]]*FastenersPriceList345[[#This Row],[Quantity (kg)]]</f>
        <v>9250</v>
      </c>
      <c r="M25" s="4">
        <f>FastenersPriceList345[[#This Row],[SINGLE PC. WT.]]*FastenersPriceList345[[#This Row],[Rate / PER kg (₹)]]</f>
        <v>1.64835</v>
      </c>
    </row>
    <row r="26" spans="1:13" ht="22.05" customHeight="1" x14ac:dyDescent="0.3">
      <c r="A26" s="2" t="s">
        <v>2201</v>
      </c>
      <c r="B26" s="12" t="s">
        <v>8</v>
      </c>
      <c r="C26" s="12">
        <v>12.9</v>
      </c>
      <c r="D26" s="2">
        <v>9.0399999999999991</v>
      </c>
      <c r="E26" s="2">
        <f>FastenersPriceList345[[#This Row],[1000 PCS/WT.]]/1000</f>
        <v>9.0399999999999994E-3</v>
      </c>
      <c r="F26" s="2" t="s">
        <v>32</v>
      </c>
      <c r="G26" s="6" t="s">
        <v>1755</v>
      </c>
      <c r="H26" s="70">
        <v>50</v>
      </c>
      <c r="I26" s="72">
        <f>FastenersPriceList345[[#This Row],[Quantity (kg)]]/FastenersPriceList345[[#This Row],[SINGLE PC. WT.]]</f>
        <v>5530.9734513274343</v>
      </c>
      <c r="J26" s="7">
        <v>185</v>
      </c>
      <c r="K26" s="3">
        <f>FastenersPriceList345[[#This Row],[1000 PCS/WT.]]*FastenersPriceList345[[#This Row],[Rate / PER kg (₹)]]</f>
        <v>1672.3999999999999</v>
      </c>
      <c r="L26" s="4">
        <f>FastenersPriceList345[[#This Row],[Rate / PER kg (₹)]]*FastenersPriceList345[[#This Row],[Quantity (kg)]]</f>
        <v>9250</v>
      </c>
      <c r="M26" s="4">
        <f>FastenersPriceList345[[#This Row],[SINGLE PC. WT.]]*FastenersPriceList345[[#This Row],[Rate / PER kg (₹)]]</f>
        <v>1.6723999999999999</v>
      </c>
    </row>
    <row r="27" spans="1:13" ht="22.05" customHeight="1" x14ac:dyDescent="0.3">
      <c r="A27" s="2" t="s">
        <v>2202</v>
      </c>
      <c r="B27" s="12" t="s">
        <v>8</v>
      </c>
      <c r="C27" s="12">
        <v>12.9</v>
      </c>
      <c r="D27" s="2">
        <v>10.17</v>
      </c>
      <c r="E27" s="2">
        <f>FastenersPriceList345[[#This Row],[1000 PCS/WT.]]/1000</f>
        <v>1.017E-2</v>
      </c>
      <c r="F27" s="2" t="s">
        <v>33</v>
      </c>
      <c r="G27" s="6" t="s">
        <v>1755</v>
      </c>
      <c r="H27" s="70">
        <v>50</v>
      </c>
      <c r="I27" s="72">
        <f>FastenersPriceList345[[#This Row],[Quantity (kg)]]/FastenersPriceList345[[#This Row],[SINGLE PC. WT.]]</f>
        <v>4916.420845624385</v>
      </c>
      <c r="J27" s="7">
        <v>185</v>
      </c>
      <c r="K27" s="3">
        <f>FastenersPriceList345[[#This Row],[1000 PCS/WT.]]*FastenersPriceList345[[#This Row],[Rate / PER kg (₹)]]</f>
        <v>1881.45</v>
      </c>
      <c r="L27" s="4">
        <f>FastenersPriceList345[[#This Row],[Rate / PER kg (₹)]]*FastenersPriceList345[[#This Row],[Quantity (kg)]]</f>
        <v>9250</v>
      </c>
      <c r="M27" s="4">
        <f>FastenersPriceList345[[#This Row],[SINGLE PC. WT.]]*FastenersPriceList345[[#This Row],[Rate / PER kg (₹)]]</f>
        <v>1.8814500000000001</v>
      </c>
    </row>
    <row r="28" spans="1:13" ht="22.05" customHeight="1" x14ac:dyDescent="0.3">
      <c r="A28" s="2" t="s">
        <v>2203</v>
      </c>
      <c r="B28" s="12" t="s">
        <v>8</v>
      </c>
      <c r="C28" s="12">
        <v>12.9</v>
      </c>
      <c r="D28" s="2">
        <v>11.3</v>
      </c>
      <c r="E28" s="2">
        <f>FastenersPriceList345[[#This Row],[1000 PCS/WT.]]/1000</f>
        <v>1.1300000000000001E-2</v>
      </c>
      <c r="F28" s="2" t="s">
        <v>34</v>
      </c>
      <c r="G28" s="6" t="s">
        <v>1755</v>
      </c>
      <c r="H28" s="70">
        <v>50</v>
      </c>
      <c r="I28" s="72">
        <f>FastenersPriceList345[[#This Row],[Quantity (kg)]]/FastenersPriceList345[[#This Row],[SINGLE PC. WT.]]</f>
        <v>4424.7787610619462</v>
      </c>
      <c r="J28" s="7">
        <v>185</v>
      </c>
      <c r="K28" s="3">
        <f>FastenersPriceList345[[#This Row],[1000 PCS/WT.]]*FastenersPriceList345[[#This Row],[Rate / PER kg (₹)]]</f>
        <v>2090.5</v>
      </c>
      <c r="L28" s="4">
        <f>FastenersPriceList345[[#This Row],[Rate / PER kg (₹)]]*FastenersPriceList345[[#This Row],[Quantity (kg)]]</f>
        <v>9250</v>
      </c>
      <c r="M28" s="4">
        <f>FastenersPriceList345[[#This Row],[SINGLE PC. WT.]]*FastenersPriceList345[[#This Row],[Rate / PER kg (₹)]]</f>
        <v>2.0905</v>
      </c>
    </row>
    <row r="29" spans="1:13" ht="22.05" customHeight="1" x14ac:dyDescent="0.3">
      <c r="A29" s="2" t="s">
        <v>2204</v>
      </c>
      <c r="B29" s="12" t="s">
        <v>8</v>
      </c>
      <c r="C29" s="12">
        <v>12.9</v>
      </c>
      <c r="D29" s="2">
        <v>12.4</v>
      </c>
      <c r="E29" s="2">
        <f>FastenersPriceList345[[#This Row],[1000 PCS/WT.]]/1000</f>
        <v>1.24E-2</v>
      </c>
      <c r="F29" s="2" t="s">
        <v>35</v>
      </c>
      <c r="G29" s="6" t="s">
        <v>1755</v>
      </c>
      <c r="H29" s="70">
        <v>50</v>
      </c>
      <c r="I29" s="72">
        <f>FastenersPriceList345[[#This Row],[Quantity (kg)]]/FastenersPriceList345[[#This Row],[SINGLE PC. WT.]]</f>
        <v>4032.2580645161293</v>
      </c>
      <c r="J29" s="7">
        <v>185</v>
      </c>
      <c r="K29" s="3">
        <f>FastenersPriceList345[[#This Row],[1000 PCS/WT.]]*FastenersPriceList345[[#This Row],[Rate / PER kg (₹)]]</f>
        <v>2294</v>
      </c>
      <c r="L29" s="4">
        <f>FastenersPriceList345[[#This Row],[Rate / PER kg (₹)]]*FastenersPriceList345[[#This Row],[Quantity (kg)]]</f>
        <v>9250</v>
      </c>
      <c r="M29" s="4">
        <f>FastenersPriceList345[[#This Row],[SINGLE PC. WT.]]*FastenersPriceList345[[#This Row],[Rate / PER kg (₹)]]</f>
        <v>2.294</v>
      </c>
    </row>
    <row r="30" spans="1:13" ht="22.05" customHeight="1" x14ac:dyDescent="0.3">
      <c r="A30" s="2" t="s">
        <v>2205</v>
      </c>
      <c r="B30" s="12" t="s">
        <v>8</v>
      </c>
      <c r="C30" s="12">
        <v>12.9</v>
      </c>
      <c r="D30" s="2">
        <v>13.5</v>
      </c>
      <c r="E30" s="2">
        <f>FastenersPriceList345[[#This Row],[1000 PCS/WT.]]/1000</f>
        <v>1.35E-2</v>
      </c>
      <c r="F30" s="2" t="s">
        <v>36</v>
      </c>
      <c r="G30" s="6" t="s">
        <v>1755</v>
      </c>
      <c r="H30" s="70">
        <v>50</v>
      </c>
      <c r="I30" s="72">
        <f>FastenersPriceList345[[#This Row],[Quantity (kg)]]/FastenersPriceList345[[#This Row],[SINGLE PC. WT.]]</f>
        <v>3703.7037037037039</v>
      </c>
      <c r="J30" s="7">
        <v>185</v>
      </c>
      <c r="K30" s="3">
        <f>FastenersPriceList345[[#This Row],[1000 PCS/WT.]]*FastenersPriceList345[[#This Row],[Rate / PER kg (₹)]]</f>
        <v>2497.5</v>
      </c>
      <c r="L30" s="4">
        <f>FastenersPriceList345[[#This Row],[Rate / PER kg (₹)]]*FastenersPriceList345[[#This Row],[Quantity (kg)]]</f>
        <v>9250</v>
      </c>
      <c r="M30" s="4">
        <f>FastenersPriceList345[[#This Row],[SINGLE PC. WT.]]*FastenersPriceList345[[#This Row],[Rate / PER kg (₹)]]</f>
        <v>2.4975000000000001</v>
      </c>
    </row>
    <row r="31" spans="1:13" ht="22.05" customHeight="1" x14ac:dyDescent="0.3">
      <c r="A31" s="2" t="s">
        <v>2206</v>
      </c>
      <c r="B31" s="12" t="s">
        <v>8</v>
      </c>
      <c r="C31" s="12">
        <v>12.9</v>
      </c>
      <c r="D31" s="2">
        <v>14.6</v>
      </c>
      <c r="E31" s="2">
        <f>FastenersPriceList345[[#This Row],[1000 PCS/WT.]]/1000</f>
        <v>1.46E-2</v>
      </c>
      <c r="F31" s="2" t="s">
        <v>37</v>
      </c>
      <c r="G31" s="6" t="s">
        <v>1755</v>
      </c>
      <c r="H31" s="70">
        <v>50</v>
      </c>
      <c r="I31" s="72">
        <f>FastenersPriceList345[[#This Row],[Quantity (kg)]]/FastenersPriceList345[[#This Row],[SINGLE PC. WT.]]</f>
        <v>3424.6575342465753</v>
      </c>
      <c r="J31" s="7">
        <v>185</v>
      </c>
      <c r="K31" s="3">
        <f>FastenersPriceList345[[#This Row],[1000 PCS/WT.]]*FastenersPriceList345[[#This Row],[Rate / PER kg (₹)]]</f>
        <v>2701</v>
      </c>
      <c r="L31" s="4">
        <f>FastenersPriceList345[[#This Row],[Rate / PER kg (₹)]]*FastenersPriceList345[[#This Row],[Quantity (kg)]]</f>
        <v>9250</v>
      </c>
      <c r="M31" s="4">
        <f>FastenersPriceList345[[#This Row],[SINGLE PC. WT.]]*FastenersPriceList345[[#This Row],[Rate / PER kg (₹)]]</f>
        <v>2.7010000000000001</v>
      </c>
    </row>
    <row r="32" spans="1:13" ht="22.05" customHeight="1" x14ac:dyDescent="0.3">
      <c r="A32" s="2" t="s">
        <v>2207</v>
      </c>
      <c r="B32" s="12" t="s">
        <v>8</v>
      </c>
      <c r="C32" s="12">
        <v>12.9</v>
      </c>
      <c r="D32" s="2">
        <v>15.7</v>
      </c>
      <c r="E32" s="2">
        <f>FastenersPriceList345[[#This Row],[1000 PCS/WT.]]/1000</f>
        <v>1.5699999999999999E-2</v>
      </c>
      <c r="F32" s="2" t="s">
        <v>38</v>
      </c>
      <c r="G32" s="6" t="s">
        <v>1755</v>
      </c>
      <c r="H32" s="70">
        <v>50</v>
      </c>
      <c r="I32" s="72">
        <f>FastenersPriceList345[[#This Row],[Quantity (kg)]]/FastenersPriceList345[[#This Row],[SINGLE PC. WT.]]</f>
        <v>3184.7133757961788</v>
      </c>
      <c r="J32" s="7">
        <v>185</v>
      </c>
      <c r="K32" s="3">
        <f>FastenersPriceList345[[#This Row],[1000 PCS/WT.]]*FastenersPriceList345[[#This Row],[Rate / PER kg (₹)]]</f>
        <v>2904.5</v>
      </c>
      <c r="L32" s="4">
        <f>FastenersPriceList345[[#This Row],[Rate / PER kg (₹)]]*FastenersPriceList345[[#This Row],[Quantity (kg)]]</f>
        <v>9250</v>
      </c>
      <c r="M32" s="4">
        <f>FastenersPriceList345[[#This Row],[SINGLE PC. WT.]]*FastenersPriceList345[[#This Row],[Rate / PER kg (₹)]]</f>
        <v>2.9044999999999996</v>
      </c>
    </row>
    <row r="33" spans="1:13" ht="22.05" customHeight="1" x14ac:dyDescent="0.3">
      <c r="A33" s="2" t="s">
        <v>2208</v>
      </c>
      <c r="B33" s="12" t="s">
        <v>8</v>
      </c>
      <c r="C33" s="12">
        <v>12.9</v>
      </c>
      <c r="D33" s="2">
        <v>16.8</v>
      </c>
      <c r="E33" s="2">
        <f>FastenersPriceList345[[#This Row],[1000 PCS/WT.]]/1000</f>
        <v>1.6800000000000002E-2</v>
      </c>
      <c r="F33" s="2" t="s">
        <v>39</v>
      </c>
      <c r="G33" s="6" t="s">
        <v>1755</v>
      </c>
      <c r="H33" s="70">
        <v>50</v>
      </c>
      <c r="I33" s="72">
        <f>FastenersPriceList345[[#This Row],[Quantity (kg)]]/FastenersPriceList345[[#This Row],[SINGLE PC. WT.]]</f>
        <v>2976.1904761904757</v>
      </c>
      <c r="J33" s="7">
        <v>185</v>
      </c>
      <c r="K33" s="3">
        <f>FastenersPriceList345[[#This Row],[1000 PCS/WT.]]*FastenersPriceList345[[#This Row],[Rate / PER kg (₹)]]</f>
        <v>3108</v>
      </c>
      <c r="L33" s="4">
        <f>FastenersPriceList345[[#This Row],[Rate / PER kg (₹)]]*FastenersPriceList345[[#This Row],[Quantity (kg)]]</f>
        <v>9250</v>
      </c>
      <c r="M33" s="4">
        <f>FastenersPriceList345[[#This Row],[SINGLE PC. WT.]]*FastenersPriceList345[[#This Row],[Rate / PER kg (₹)]]</f>
        <v>3.1080000000000005</v>
      </c>
    </row>
    <row r="34" spans="1:13" ht="22.05" customHeight="1" x14ac:dyDescent="0.3">
      <c r="A34" s="2" t="s">
        <v>2209</v>
      </c>
      <c r="B34" s="12" t="s">
        <v>8</v>
      </c>
      <c r="C34" s="12">
        <v>12.9</v>
      </c>
      <c r="D34" s="2">
        <v>18</v>
      </c>
      <c r="E34" s="2">
        <f>FastenersPriceList345[[#This Row],[1000 PCS/WT.]]/1000</f>
        <v>1.7999999999999999E-2</v>
      </c>
      <c r="F34" s="2" t="s">
        <v>40</v>
      </c>
      <c r="G34" s="6" t="s">
        <v>1755</v>
      </c>
      <c r="H34" s="70">
        <v>50</v>
      </c>
      <c r="I34" s="72">
        <f>FastenersPriceList345[[#This Row],[Quantity (kg)]]/FastenersPriceList345[[#This Row],[SINGLE PC. WT.]]</f>
        <v>2777.7777777777778</v>
      </c>
      <c r="J34" s="7">
        <v>185</v>
      </c>
      <c r="K34" s="3">
        <f>FastenersPriceList345[[#This Row],[1000 PCS/WT.]]*FastenersPriceList345[[#This Row],[Rate / PER kg (₹)]]</f>
        <v>3330</v>
      </c>
      <c r="L34" s="4">
        <f>FastenersPriceList345[[#This Row],[Rate / PER kg (₹)]]*FastenersPriceList345[[#This Row],[Quantity (kg)]]</f>
        <v>9250</v>
      </c>
      <c r="M34" s="4">
        <f>FastenersPriceList345[[#This Row],[SINGLE PC. WT.]]*FastenersPriceList345[[#This Row],[Rate / PER kg (₹)]]</f>
        <v>3.3299999999999996</v>
      </c>
    </row>
    <row r="35" spans="1:13" ht="22.05" customHeight="1" x14ac:dyDescent="0.3">
      <c r="A35" s="2" t="s">
        <v>2210</v>
      </c>
      <c r="B35" s="12" t="s">
        <v>8</v>
      </c>
      <c r="C35" s="12">
        <v>12.9</v>
      </c>
      <c r="D35" s="2">
        <v>11.1</v>
      </c>
      <c r="E35" s="2">
        <f>FastenersPriceList345[[#This Row],[1000 PCS/WT.]]/1000</f>
        <v>1.11E-2</v>
      </c>
      <c r="F35" s="2" t="s">
        <v>41</v>
      </c>
      <c r="G35" s="6" t="s">
        <v>1755</v>
      </c>
      <c r="H35" s="70">
        <v>50</v>
      </c>
      <c r="I35" s="72">
        <f>FastenersPriceList345[[#This Row],[Quantity (kg)]]/FastenersPriceList345[[#This Row],[SINGLE PC. WT.]]</f>
        <v>4504.5045045045044</v>
      </c>
      <c r="J35" s="3">
        <v>175</v>
      </c>
      <c r="K35" s="3">
        <f>FastenersPriceList345[[#This Row],[1000 PCS/WT.]]*FastenersPriceList345[[#This Row],[Rate / PER kg (₹)]]</f>
        <v>1942.5</v>
      </c>
      <c r="L35" s="4">
        <f>FastenersPriceList345[[#This Row],[Rate / PER kg (₹)]]*FastenersPriceList345[[#This Row],[Quantity (kg)]]</f>
        <v>8750</v>
      </c>
      <c r="M35" s="4">
        <f>FastenersPriceList345[[#This Row],[SINGLE PC. WT.]]*FastenersPriceList345[[#This Row],[Rate / PER kg (₹)]]</f>
        <v>1.9425000000000001</v>
      </c>
    </row>
    <row r="36" spans="1:13" ht="22.05" customHeight="1" x14ac:dyDescent="0.3">
      <c r="A36" s="2" t="s">
        <v>2211</v>
      </c>
      <c r="B36" s="12" t="s">
        <v>8</v>
      </c>
      <c r="C36" s="12">
        <v>12.9</v>
      </c>
      <c r="D36" s="2">
        <v>12.4</v>
      </c>
      <c r="E36" s="2">
        <f>FastenersPriceList345[[#This Row],[1000 PCS/WT.]]/1000</f>
        <v>1.24E-2</v>
      </c>
      <c r="F36" s="2" t="s">
        <v>42</v>
      </c>
      <c r="G36" s="6" t="s">
        <v>1755</v>
      </c>
      <c r="H36" s="70">
        <v>50</v>
      </c>
      <c r="I36" s="72">
        <f>FastenersPriceList345[[#This Row],[Quantity (kg)]]/FastenersPriceList345[[#This Row],[SINGLE PC. WT.]]</f>
        <v>4032.2580645161293</v>
      </c>
      <c r="J36" s="3">
        <v>175</v>
      </c>
      <c r="K36" s="3">
        <f>FastenersPriceList345[[#This Row],[1000 PCS/WT.]]*FastenersPriceList345[[#This Row],[Rate / PER kg (₹)]]</f>
        <v>2170</v>
      </c>
      <c r="L36" s="4">
        <f>FastenersPriceList345[[#This Row],[Rate / PER kg (₹)]]*FastenersPriceList345[[#This Row],[Quantity (kg)]]</f>
        <v>8750</v>
      </c>
      <c r="M36" s="4">
        <f>FastenersPriceList345[[#This Row],[SINGLE PC. WT.]]*FastenersPriceList345[[#This Row],[Rate / PER kg (₹)]]</f>
        <v>2.17</v>
      </c>
    </row>
    <row r="37" spans="1:13" ht="22.05" customHeight="1" x14ac:dyDescent="0.3">
      <c r="A37" s="2" t="s">
        <v>2212</v>
      </c>
      <c r="B37" s="12" t="s">
        <v>8</v>
      </c>
      <c r="C37" s="12">
        <v>12.9</v>
      </c>
      <c r="D37" s="2">
        <v>14.1</v>
      </c>
      <c r="E37" s="2">
        <f>FastenersPriceList345[[#This Row],[1000 PCS/WT.]]/1000</f>
        <v>1.41E-2</v>
      </c>
      <c r="F37" s="2" t="s">
        <v>43</v>
      </c>
      <c r="G37" s="6" t="s">
        <v>1755</v>
      </c>
      <c r="H37" s="70">
        <v>50</v>
      </c>
      <c r="I37" s="72">
        <f>FastenersPriceList345[[#This Row],[Quantity (kg)]]/FastenersPriceList345[[#This Row],[SINGLE PC. WT.]]</f>
        <v>3546.0992907801419</v>
      </c>
      <c r="J37" s="3">
        <v>175</v>
      </c>
      <c r="K37" s="3">
        <f>FastenersPriceList345[[#This Row],[1000 PCS/WT.]]*FastenersPriceList345[[#This Row],[Rate / PER kg (₹)]]</f>
        <v>2467.5</v>
      </c>
      <c r="L37" s="4">
        <f>FastenersPriceList345[[#This Row],[Rate / PER kg (₹)]]*FastenersPriceList345[[#This Row],[Quantity (kg)]]</f>
        <v>8750</v>
      </c>
      <c r="M37" s="4">
        <f>FastenersPriceList345[[#This Row],[SINGLE PC. WT.]]*FastenersPriceList345[[#This Row],[Rate / PER kg (₹)]]</f>
        <v>2.4674999999999998</v>
      </c>
    </row>
    <row r="38" spans="1:13" ht="22.05" customHeight="1" x14ac:dyDescent="0.3">
      <c r="A38" s="2" t="s">
        <v>2213</v>
      </c>
      <c r="B38" s="12" t="s">
        <v>8</v>
      </c>
      <c r="C38" s="12">
        <v>12.9</v>
      </c>
      <c r="D38" s="2">
        <v>15.7</v>
      </c>
      <c r="E38" s="2">
        <f>FastenersPriceList345[[#This Row],[1000 PCS/WT.]]/1000</f>
        <v>1.5699999999999999E-2</v>
      </c>
      <c r="F38" s="2" t="s">
        <v>44</v>
      </c>
      <c r="G38" s="6" t="s">
        <v>1755</v>
      </c>
      <c r="H38" s="70">
        <v>50</v>
      </c>
      <c r="I38" s="72">
        <f>FastenersPriceList345[[#This Row],[Quantity (kg)]]/FastenersPriceList345[[#This Row],[SINGLE PC. WT.]]</f>
        <v>3184.7133757961788</v>
      </c>
      <c r="J38" s="3">
        <v>175</v>
      </c>
      <c r="K38" s="3">
        <f>FastenersPriceList345[[#This Row],[1000 PCS/WT.]]*FastenersPriceList345[[#This Row],[Rate / PER kg (₹)]]</f>
        <v>2747.5</v>
      </c>
      <c r="L38" s="4">
        <f>FastenersPriceList345[[#This Row],[Rate / PER kg (₹)]]*FastenersPriceList345[[#This Row],[Quantity (kg)]]</f>
        <v>8750</v>
      </c>
      <c r="M38" s="4">
        <f>FastenersPriceList345[[#This Row],[SINGLE PC. WT.]]*FastenersPriceList345[[#This Row],[Rate / PER kg (₹)]]</f>
        <v>2.7474999999999996</v>
      </c>
    </row>
    <row r="39" spans="1:13" ht="22.05" customHeight="1" x14ac:dyDescent="0.3">
      <c r="A39" s="2" t="s">
        <v>2214</v>
      </c>
      <c r="B39" s="12" t="s">
        <v>8</v>
      </c>
      <c r="C39" s="12">
        <v>12.9</v>
      </c>
      <c r="D39" s="2">
        <v>17.7</v>
      </c>
      <c r="E39" s="2">
        <f>FastenersPriceList345[[#This Row],[1000 PCS/WT.]]/1000</f>
        <v>1.77E-2</v>
      </c>
      <c r="F39" s="2" t="s">
        <v>45</v>
      </c>
      <c r="G39" s="6" t="s">
        <v>1755</v>
      </c>
      <c r="H39" s="70">
        <v>50</v>
      </c>
      <c r="I39" s="72">
        <f>FastenersPriceList345[[#This Row],[Quantity (kg)]]/FastenersPriceList345[[#This Row],[SINGLE PC. WT.]]</f>
        <v>2824.8587570621467</v>
      </c>
      <c r="J39" s="3">
        <v>175</v>
      </c>
      <c r="K39" s="3">
        <f>FastenersPriceList345[[#This Row],[1000 PCS/WT.]]*FastenersPriceList345[[#This Row],[Rate / PER kg (₹)]]</f>
        <v>3097.5</v>
      </c>
      <c r="L39" s="4">
        <f>FastenersPriceList345[[#This Row],[Rate / PER kg (₹)]]*FastenersPriceList345[[#This Row],[Quantity (kg)]]</f>
        <v>8750</v>
      </c>
      <c r="M39" s="4">
        <f>FastenersPriceList345[[#This Row],[SINGLE PC. WT.]]*FastenersPriceList345[[#This Row],[Rate / PER kg (₹)]]</f>
        <v>3.0975000000000001</v>
      </c>
    </row>
    <row r="40" spans="1:13" ht="22.05" customHeight="1" x14ac:dyDescent="0.3">
      <c r="A40" s="2" t="s">
        <v>2215</v>
      </c>
      <c r="B40" s="12" t="s">
        <v>8</v>
      </c>
      <c r="C40" s="12">
        <v>12.9</v>
      </c>
      <c r="D40" s="2">
        <v>19.7</v>
      </c>
      <c r="E40" s="2">
        <f>FastenersPriceList345[[#This Row],[1000 PCS/WT.]]/1000</f>
        <v>1.9699999999999999E-2</v>
      </c>
      <c r="F40" s="2" t="s">
        <v>46</v>
      </c>
      <c r="G40" s="6" t="s">
        <v>1755</v>
      </c>
      <c r="H40" s="70">
        <v>50</v>
      </c>
      <c r="I40" s="72">
        <f>FastenersPriceList345[[#This Row],[Quantity (kg)]]/FastenersPriceList345[[#This Row],[SINGLE PC. WT.]]</f>
        <v>2538.0710659898477</v>
      </c>
      <c r="J40" s="3">
        <v>175</v>
      </c>
      <c r="K40" s="3">
        <f>FastenersPriceList345[[#This Row],[1000 PCS/WT.]]*FastenersPriceList345[[#This Row],[Rate / PER kg (₹)]]</f>
        <v>3447.5</v>
      </c>
      <c r="L40" s="4">
        <f>FastenersPriceList345[[#This Row],[Rate / PER kg (₹)]]*FastenersPriceList345[[#This Row],[Quantity (kg)]]</f>
        <v>8750</v>
      </c>
      <c r="M40" s="4">
        <f>FastenersPriceList345[[#This Row],[SINGLE PC. WT.]]*FastenersPriceList345[[#This Row],[Rate / PER kg (₹)]]</f>
        <v>3.4474999999999998</v>
      </c>
    </row>
    <row r="41" spans="1:13" ht="22.05" customHeight="1" x14ac:dyDescent="0.3">
      <c r="A41" s="2" t="s">
        <v>2216</v>
      </c>
      <c r="B41" s="12" t="s">
        <v>8</v>
      </c>
      <c r="C41" s="12">
        <v>12.9</v>
      </c>
      <c r="D41" s="2">
        <v>21.7</v>
      </c>
      <c r="E41" s="2">
        <f>FastenersPriceList345[[#This Row],[1000 PCS/WT.]]/1000</f>
        <v>2.1700000000000001E-2</v>
      </c>
      <c r="F41" s="2" t="s">
        <v>47</v>
      </c>
      <c r="G41" s="6" t="s">
        <v>1755</v>
      </c>
      <c r="H41" s="70">
        <v>50</v>
      </c>
      <c r="I41" s="72">
        <f>FastenersPriceList345[[#This Row],[Quantity (kg)]]/FastenersPriceList345[[#This Row],[SINGLE PC. WT.]]</f>
        <v>2304.147465437788</v>
      </c>
      <c r="J41" s="3">
        <v>175</v>
      </c>
      <c r="K41" s="3">
        <f>FastenersPriceList345[[#This Row],[1000 PCS/WT.]]*FastenersPriceList345[[#This Row],[Rate / PER kg (₹)]]</f>
        <v>3797.5</v>
      </c>
      <c r="L41" s="4">
        <f>FastenersPriceList345[[#This Row],[Rate / PER kg (₹)]]*FastenersPriceList345[[#This Row],[Quantity (kg)]]</f>
        <v>8750</v>
      </c>
      <c r="M41" s="4">
        <f>FastenersPriceList345[[#This Row],[SINGLE PC. WT.]]*FastenersPriceList345[[#This Row],[Rate / PER kg (₹)]]</f>
        <v>3.7974999999999999</v>
      </c>
    </row>
    <row r="42" spans="1:13" ht="22.05" customHeight="1" x14ac:dyDescent="0.3">
      <c r="A42" s="2" t="s">
        <v>2217</v>
      </c>
      <c r="B42" s="12" t="s">
        <v>8</v>
      </c>
      <c r="C42" s="12">
        <v>12.9</v>
      </c>
      <c r="D42" s="2">
        <v>23.7</v>
      </c>
      <c r="E42" s="2">
        <f>FastenersPriceList345[[#This Row],[1000 PCS/WT.]]/1000</f>
        <v>2.3699999999999999E-2</v>
      </c>
      <c r="F42" s="2" t="s">
        <v>48</v>
      </c>
      <c r="G42" s="6" t="s">
        <v>1755</v>
      </c>
      <c r="H42" s="70">
        <v>50</v>
      </c>
      <c r="I42" s="72">
        <f>FastenersPriceList345[[#This Row],[Quantity (kg)]]/FastenersPriceList345[[#This Row],[SINGLE PC. WT.]]</f>
        <v>2109.7046413502112</v>
      </c>
      <c r="J42" s="3">
        <v>175</v>
      </c>
      <c r="K42" s="3">
        <f>FastenersPriceList345[[#This Row],[1000 PCS/WT.]]*FastenersPriceList345[[#This Row],[Rate / PER kg (₹)]]</f>
        <v>4147.5</v>
      </c>
      <c r="L42" s="4">
        <f>FastenersPriceList345[[#This Row],[Rate / PER kg (₹)]]*FastenersPriceList345[[#This Row],[Quantity (kg)]]</f>
        <v>8750</v>
      </c>
      <c r="M42" s="4">
        <f>FastenersPriceList345[[#This Row],[SINGLE PC. WT.]]*FastenersPriceList345[[#This Row],[Rate / PER kg (₹)]]</f>
        <v>4.1475</v>
      </c>
    </row>
    <row r="43" spans="1:13" ht="22.05" customHeight="1" x14ac:dyDescent="0.3">
      <c r="A43" s="2" t="s">
        <v>2218</v>
      </c>
      <c r="B43" s="12" t="s">
        <v>8</v>
      </c>
      <c r="C43" s="12">
        <v>12.9</v>
      </c>
      <c r="D43" s="2">
        <v>25.7</v>
      </c>
      <c r="E43" s="2">
        <f>FastenersPriceList345[[#This Row],[1000 PCS/WT.]]/1000</f>
        <v>2.5700000000000001E-2</v>
      </c>
      <c r="F43" s="2" t="s">
        <v>49</v>
      </c>
      <c r="G43" s="6" t="s">
        <v>1755</v>
      </c>
      <c r="H43" s="70">
        <v>50</v>
      </c>
      <c r="I43" s="72">
        <f>FastenersPriceList345[[#This Row],[Quantity (kg)]]/FastenersPriceList345[[#This Row],[SINGLE PC. WT.]]</f>
        <v>1945.5252918287938</v>
      </c>
      <c r="J43" s="3">
        <v>175</v>
      </c>
      <c r="K43" s="3">
        <f>FastenersPriceList345[[#This Row],[1000 PCS/WT.]]*FastenersPriceList345[[#This Row],[Rate / PER kg (₹)]]</f>
        <v>4497.5</v>
      </c>
      <c r="L43" s="4">
        <f>FastenersPriceList345[[#This Row],[Rate / PER kg (₹)]]*FastenersPriceList345[[#This Row],[Quantity (kg)]]</f>
        <v>8750</v>
      </c>
      <c r="M43" s="4">
        <f>FastenersPriceList345[[#This Row],[SINGLE PC. WT.]]*FastenersPriceList345[[#This Row],[Rate / PER kg (₹)]]</f>
        <v>4.4975000000000005</v>
      </c>
    </row>
    <row r="44" spans="1:13" ht="22.05" customHeight="1" x14ac:dyDescent="0.3">
      <c r="A44" s="2" t="s">
        <v>2219</v>
      </c>
      <c r="B44" s="12" t="s">
        <v>8</v>
      </c>
      <c r="C44" s="12">
        <v>12.9</v>
      </c>
      <c r="D44" s="2">
        <v>27.7</v>
      </c>
      <c r="E44" s="2">
        <f>FastenersPriceList345[[#This Row],[1000 PCS/WT.]]/1000</f>
        <v>2.7699999999999999E-2</v>
      </c>
      <c r="F44" s="2" t="s">
        <v>50</v>
      </c>
      <c r="G44" s="6" t="s">
        <v>1755</v>
      </c>
      <c r="H44" s="70">
        <v>50</v>
      </c>
      <c r="I44" s="72">
        <f>FastenersPriceList345[[#This Row],[Quantity (kg)]]/FastenersPriceList345[[#This Row],[SINGLE PC. WT.]]</f>
        <v>1805.0541516245487</v>
      </c>
      <c r="J44" s="3">
        <v>175</v>
      </c>
      <c r="K44" s="3">
        <f>FastenersPriceList345[[#This Row],[1000 PCS/WT.]]*FastenersPriceList345[[#This Row],[Rate / PER kg (₹)]]</f>
        <v>4847.5</v>
      </c>
      <c r="L44" s="4">
        <f>FastenersPriceList345[[#This Row],[Rate / PER kg (₹)]]*FastenersPriceList345[[#This Row],[Quantity (kg)]]</f>
        <v>8750</v>
      </c>
      <c r="M44" s="4">
        <f>FastenersPriceList345[[#This Row],[SINGLE PC. WT.]]*FastenersPriceList345[[#This Row],[Rate / PER kg (₹)]]</f>
        <v>4.8475000000000001</v>
      </c>
    </row>
    <row r="45" spans="1:13" ht="22.05" customHeight="1" x14ac:dyDescent="0.3">
      <c r="A45" s="2" t="s">
        <v>2220</v>
      </c>
      <c r="B45" s="12" t="s">
        <v>8</v>
      </c>
      <c r="C45" s="12">
        <v>12.9</v>
      </c>
      <c r="D45" s="2">
        <v>29.7</v>
      </c>
      <c r="E45" s="2">
        <f>FastenersPriceList345[[#This Row],[1000 PCS/WT.]]/1000</f>
        <v>2.9700000000000001E-2</v>
      </c>
      <c r="F45" s="2" t="s">
        <v>51</v>
      </c>
      <c r="G45" s="6" t="s">
        <v>1755</v>
      </c>
      <c r="H45" s="70">
        <v>50</v>
      </c>
      <c r="I45" s="72">
        <f>FastenersPriceList345[[#This Row],[Quantity (kg)]]/FastenersPriceList345[[#This Row],[SINGLE PC. WT.]]</f>
        <v>1683.5016835016834</v>
      </c>
      <c r="J45" s="3">
        <v>175</v>
      </c>
      <c r="K45" s="3">
        <f>FastenersPriceList345[[#This Row],[1000 PCS/WT.]]*FastenersPriceList345[[#This Row],[Rate / PER kg (₹)]]</f>
        <v>5197.5</v>
      </c>
      <c r="L45" s="4">
        <f>FastenersPriceList345[[#This Row],[Rate / PER kg (₹)]]*FastenersPriceList345[[#This Row],[Quantity (kg)]]</f>
        <v>8750</v>
      </c>
      <c r="M45" s="4">
        <f>FastenersPriceList345[[#This Row],[SINGLE PC. WT.]]*FastenersPriceList345[[#This Row],[Rate / PER kg (₹)]]</f>
        <v>5.1974999999999998</v>
      </c>
    </row>
    <row r="46" spans="1:13" ht="22.05" customHeight="1" x14ac:dyDescent="0.3">
      <c r="A46" s="2" t="s">
        <v>2221</v>
      </c>
      <c r="B46" s="12" t="s">
        <v>8</v>
      </c>
      <c r="C46" s="12">
        <v>12.9</v>
      </c>
      <c r="D46" s="2">
        <v>31.7</v>
      </c>
      <c r="E46" s="2">
        <f>FastenersPriceList345[[#This Row],[1000 PCS/WT.]]/1000</f>
        <v>3.1699999999999999E-2</v>
      </c>
      <c r="F46" s="2" t="s">
        <v>52</v>
      </c>
      <c r="G46" s="6" t="s">
        <v>1755</v>
      </c>
      <c r="H46" s="70">
        <v>50</v>
      </c>
      <c r="I46" s="72">
        <f>FastenersPriceList345[[#This Row],[Quantity (kg)]]/FastenersPriceList345[[#This Row],[SINGLE PC. WT.]]</f>
        <v>1577.2870662460568</v>
      </c>
      <c r="J46" s="3">
        <v>175</v>
      </c>
      <c r="K46" s="3">
        <f>FastenersPriceList345[[#This Row],[1000 PCS/WT.]]*FastenersPriceList345[[#This Row],[Rate / PER kg (₹)]]</f>
        <v>5547.5</v>
      </c>
      <c r="L46" s="4">
        <f>FastenersPriceList345[[#This Row],[Rate / PER kg (₹)]]*FastenersPriceList345[[#This Row],[Quantity (kg)]]</f>
        <v>8750</v>
      </c>
      <c r="M46" s="4">
        <f>FastenersPriceList345[[#This Row],[SINGLE PC. WT.]]*FastenersPriceList345[[#This Row],[Rate / PER kg (₹)]]</f>
        <v>5.5474999999999994</v>
      </c>
    </row>
    <row r="47" spans="1:13" ht="22.05" customHeight="1" x14ac:dyDescent="0.3">
      <c r="A47" s="2" t="s">
        <v>2222</v>
      </c>
      <c r="B47" s="12" t="s">
        <v>8</v>
      </c>
      <c r="C47" s="12">
        <v>12.9</v>
      </c>
      <c r="D47" s="2">
        <v>33.700000000000003</v>
      </c>
      <c r="E47" s="2">
        <f>FastenersPriceList345[[#This Row],[1000 PCS/WT.]]/1000</f>
        <v>3.3700000000000001E-2</v>
      </c>
      <c r="F47" s="2" t="s">
        <v>53</v>
      </c>
      <c r="G47" s="6" t="s">
        <v>1755</v>
      </c>
      <c r="H47" s="70">
        <v>50</v>
      </c>
      <c r="I47" s="72">
        <f>FastenersPriceList345[[#This Row],[Quantity (kg)]]/FastenersPriceList345[[#This Row],[SINGLE PC. WT.]]</f>
        <v>1483.679525222552</v>
      </c>
      <c r="J47" s="3">
        <v>175</v>
      </c>
      <c r="K47" s="3">
        <f>FastenersPriceList345[[#This Row],[1000 PCS/WT.]]*FastenersPriceList345[[#This Row],[Rate / PER kg (₹)]]</f>
        <v>5897.5000000000009</v>
      </c>
      <c r="L47" s="4">
        <f>FastenersPriceList345[[#This Row],[Rate / PER kg (₹)]]*FastenersPriceList345[[#This Row],[Quantity (kg)]]</f>
        <v>8750</v>
      </c>
      <c r="M47" s="4">
        <f>FastenersPriceList345[[#This Row],[SINGLE PC. WT.]]*FastenersPriceList345[[#This Row],[Rate / PER kg (₹)]]</f>
        <v>5.8975</v>
      </c>
    </row>
    <row r="48" spans="1:13" ht="22.05" customHeight="1" x14ac:dyDescent="0.3">
      <c r="A48" s="2" t="s">
        <v>2223</v>
      </c>
      <c r="B48" s="12" t="s">
        <v>8</v>
      </c>
      <c r="C48" s="12">
        <v>12.9</v>
      </c>
      <c r="D48" s="2">
        <v>35.700000000000003</v>
      </c>
      <c r="E48" s="2">
        <f>FastenersPriceList345[[#This Row],[1000 PCS/WT.]]/1000</f>
        <v>3.5700000000000003E-2</v>
      </c>
      <c r="F48" s="2" t="s">
        <v>54</v>
      </c>
      <c r="G48" s="6" t="s">
        <v>1755</v>
      </c>
      <c r="H48" s="70">
        <v>50</v>
      </c>
      <c r="I48" s="72">
        <f>FastenersPriceList345[[#This Row],[Quantity (kg)]]/FastenersPriceList345[[#This Row],[SINGLE PC. WT.]]</f>
        <v>1400.5602240896358</v>
      </c>
      <c r="J48" s="3">
        <v>175</v>
      </c>
      <c r="K48" s="3">
        <f>FastenersPriceList345[[#This Row],[1000 PCS/WT.]]*FastenersPriceList345[[#This Row],[Rate / PER kg (₹)]]</f>
        <v>6247.5000000000009</v>
      </c>
      <c r="L48" s="4">
        <f>FastenersPriceList345[[#This Row],[Rate / PER kg (₹)]]*FastenersPriceList345[[#This Row],[Quantity (kg)]]</f>
        <v>8750</v>
      </c>
      <c r="M48" s="4">
        <f>FastenersPriceList345[[#This Row],[SINGLE PC. WT.]]*FastenersPriceList345[[#This Row],[Rate / PER kg (₹)]]</f>
        <v>6.2475000000000005</v>
      </c>
    </row>
    <row r="49" spans="1:13" ht="22.05" customHeight="1" x14ac:dyDescent="0.3">
      <c r="A49" s="2" t="s">
        <v>2224</v>
      </c>
      <c r="B49" s="12" t="s">
        <v>8</v>
      </c>
      <c r="C49" s="12">
        <v>12.9</v>
      </c>
      <c r="D49" s="2">
        <v>37.700000000000003</v>
      </c>
      <c r="E49" s="2">
        <f>FastenersPriceList345[[#This Row],[1000 PCS/WT.]]/1000</f>
        <v>3.7700000000000004E-2</v>
      </c>
      <c r="F49" s="2" t="s">
        <v>55</v>
      </c>
      <c r="G49" s="6" t="s">
        <v>1755</v>
      </c>
      <c r="H49" s="70">
        <v>50</v>
      </c>
      <c r="I49" s="72">
        <f>FastenersPriceList345[[#This Row],[Quantity (kg)]]/FastenersPriceList345[[#This Row],[SINGLE PC. WT.]]</f>
        <v>1326.259946949602</v>
      </c>
      <c r="J49" s="3">
        <v>175</v>
      </c>
      <c r="K49" s="3">
        <f>FastenersPriceList345[[#This Row],[1000 PCS/WT.]]*FastenersPriceList345[[#This Row],[Rate / PER kg (₹)]]</f>
        <v>6597.5000000000009</v>
      </c>
      <c r="L49" s="4">
        <f>FastenersPriceList345[[#This Row],[Rate / PER kg (₹)]]*FastenersPriceList345[[#This Row],[Quantity (kg)]]</f>
        <v>8750</v>
      </c>
      <c r="M49" s="4">
        <f>FastenersPriceList345[[#This Row],[SINGLE PC. WT.]]*FastenersPriceList345[[#This Row],[Rate / PER kg (₹)]]</f>
        <v>6.597500000000001</v>
      </c>
    </row>
    <row r="50" spans="1:13" ht="22.05" customHeight="1" x14ac:dyDescent="0.3">
      <c r="A50" s="2" t="s">
        <v>2225</v>
      </c>
      <c r="B50" s="12" t="s">
        <v>8</v>
      </c>
      <c r="C50" s="12">
        <v>12.9</v>
      </c>
      <c r="D50" s="2">
        <v>39.700000000000003</v>
      </c>
      <c r="E50" s="2">
        <f>FastenersPriceList345[[#This Row],[1000 PCS/WT.]]/1000</f>
        <v>3.9700000000000006E-2</v>
      </c>
      <c r="F50" s="2" t="s">
        <v>56</v>
      </c>
      <c r="G50" s="6" t="s">
        <v>1755</v>
      </c>
      <c r="H50" s="70">
        <v>50</v>
      </c>
      <c r="I50" s="72">
        <f>FastenersPriceList345[[#This Row],[Quantity (kg)]]/FastenersPriceList345[[#This Row],[SINGLE PC. WT.]]</f>
        <v>1259.4458438287152</v>
      </c>
      <c r="J50" s="3">
        <v>175</v>
      </c>
      <c r="K50" s="3">
        <f>FastenersPriceList345[[#This Row],[1000 PCS/WT.]]*FastenersPriceList345[[#This Row],[Rate / PER kg (₹)]]</f>
        <v>6947.5000000000009</v>
      </c>
      <c r="L50" s="4">
        <f>FastenersPriceList345[[#This Row],[Rate / PER kg (₹)]]*FastenersPriceList345[[#This Row],[Quantity (kg)]]</f>
        <v>8750</v>
      </c>
      <c r="M50" s="4">
        <f>FastenersPriceList345[[#This Row],[SINGLE PC. WT.]]*FastenersPriceList345[[#This Row],[Rate / PER kg (₹)]]</f>
        <v>6.9475000000000007</v>
      </c>
    </row>
    <row r="51" spans="1:13" ht="22.05" customHeight="1" x14ac:dyDescent="0.3">
      <c r="A51" s="2" t="s">
        <v>2226</v>
      </c>
      <c r="B51" s="12" t="s">
        <v>8</v>
      </c>
      <c r="C51" s="12">
        <v>12.9</v>
      </c>
      <c r="D51" s="2">
        <v>41.7</v>
      </c>
      <c r="E51" s="2">
        <f>FastenersPriceList345[[#This Row],[1000 PCS/WT.]]/1000</f>
        <v>4.1700000000000001E-2</v>
      </c>
      <c r="F51" s="2" t="s">
        <v>57</v>
      </c>
      <c r="G51" s="6" t="s">
        <v>1755</v>
      </c>
      <c r="H51" s="70">
        <v>50</v>
      </c>
      <c r="I51" s="72">
        <f>FastenersPriceList345[[#This Row],[Quantity (kg)]]/FastenersPriceList345[[#This Row],[SINGLE PC. WT.]]</f>
        <v>1199.0407673860911</v>
      </c>
      <c r="J51" s="3">
        <v>175</v>
      </c>
      <c r="K51" s="3">
        <f>FastenersPriceList345[[#This Row],[1000 PCS/WT.]]*FastenersPriceList345[[#This Row],[Rate / PER kg (₹)]]</f>
        <v>7297.5000000000009</v>
      </c>
      <c r="L51" s="4">
        <f>FastenersPriceList345[[#This Row],[Rate / PER kg (₹)]]*FastenersPriceList345[[#This Row],[Quantity (kg)]]</f>
        <v>8750</v>
      </c>
      <c r="M51" s="4">
        <f>FastenersPriceList345[[#This Row],[SINGLE PC. WT.]]*FastenersPriceList345[[#This Row],[Rate / PER kg (₹)]]</f>
        <v>7.2975000000000003</v>
      </c>
    </row>
    <row r="52" spans="1:13" ht="22.05" customHeight="1" x14ac:dyDescent="0.3">
      <c r="A52" s="2" t="s">
        <v>2227</v>
      </c>
      <c r="B52" s="12" t="s">
        <v>8</v>
      </c>
      <c r="C52" s="12">
        <v>12.9</v>
      </c>
      <c r="D52" s="2">
        <v>43.7</v>
      </c>
      <c r="E52" s="2">
        <f>FastenersPriceList345[[#This Row],[1000 PCS/WT.]]/1000</f>
        <v>4.3700000000000003E-2</v>
      </c>
      <c r="F52" s="2" t="s">
        <v>58</v>
      </c>
      <c r="G52" s="6" t="s">
        <v>1755</v>
      </c>
      <c r="H52" s="70">
        <v>50</v>
      </c>
      <c r="I52" s="72">
        <f>FastenersPriceList345[[#This Row],[Quantity (kg)]]/FastenersPriceList345[[#This Row],[SINGLE PC. WT.]]</f>
        <v>1144.1647597254005</v>
      </c>
      <c r="J52" s="3">
        <v>175</v>
      </c>
      <c r="K52" s="3">
        <f>FastenersPriceList345[[#This Row],[1000 PCS/WT.]]*FastenersPriceList345[[#This Row],[Rate / PER kg (₹)]]</f>
        <v>7647.5000000000009</v>
      </c>
      <c r="L52" s="4">
        <f>FastenersPriceList345[[#This Row],[Rate / PER kg (₹)]]*FastenersPriceList345[[#This Row],[Quantity (kg)]]</f>
        <v>8750</v>
      </c>
      <c r="M52" s="4">
        <f>FastenersPriceList345[[#This Row],[SINGLE PC. WT.]]*FastenersPriceList345[[#This Row],[Rate / PER kg (₹)]]</f>
        <v>7.6475000000000009</v>
      </c>
    </row>
    <row r="53" spans="1:13" ht="22.05" customHeight="1" x14ac:dyDescent="0.3">
      <c r="A53" s="2" t="s">
        <v>2228</v>
      </c>
      <c r="B53" s="12" t="s">
        <v>8</v>
      </c>
      <c r="C53" s="12">
        <v>12.9</v>
      </c>
      <c r="D53" s="2">
        <v>23.2</v>
      </c>
      <c r="E53" s="2">
        <f>FastenersPriceList345[[#This Row],[1000 PCS/WT.]]/1000</f>
        <v>2.3199999999999998E-2</v>
      </c>
      <c r="F53" s="2" t="s">
        <v>59</v>
      </c>
      <c r="G53" s="6" t="s">
        <v>1755</v>
      </c>
      <c r="H53" s="70">
        <v>50</v>
      </c>
      <c r="I53" s="72">
        <f>FastenersPriceList345[[#This Row],[Quantity (kg)]]/FastenersPriceList345[[#This Row],[SINGLE PC. WT.]]</f>
        <v>2155.1724137931037</v>
      </c>
      <c r="J53" s="3">
        <v>170</v>
      </c>
      <c r="K53" s="3">
        <f>FastenersPriceList345[[#This Row],[1000 PCS/WT.]]*FastenersPriceList345[[#This Row],[Rate / PER kg (₹)]]</f>
        <v>3944</v>
      </c>
      <c r="L53" s="4">
        <f>FastenersPriceList345[[#This Row],[Rate / PER kg (₹)]]*FastenersPriceList345[[#This Row],[Quantity (kg)]]</f>
        <v>8500</v>
      </c>
      <c r="M53" s="4">
        <f>FastenersPriceList345[[#This Row],[SINGLE PC. WT.]]*FastenersPriceList345[[#This Row],[Rate / PER kg (₹)]]</f>
        <v>3.944</v>
      </c>
    </row>
    <row r="54" spans="1:13" ht="22.05" customHeight="1" x14ac:dyDescent="0.3">
      <c r="A54" s="2" t="s">
        <v>2229</v>
      </c>
      <c r="B54" s="12" t="s">
        <v>8</v>
      </c>
      <c r="C54" s="12">
        <v>12.9</v>
      </c>
      <c r="D54" s="2">
        <v>25.9</v>
      </c>
      <c r="E54" s="2">
        <f>FastenersPriceList345[[#This Row],[1000 PCS/WT.]]/1000</f>
        <v>2.5899999999999999E-2</v>
      </c>
      <c r="F54" s="2" t="s">
        <v>60</v>
      </c>
      <c r="G54" s="6" t="s">
        <v>1755</v>
      </c>
      <c r="H54" s="70">
        <v>50</v>
      </c>
      <c r="I54" s="72">
        <f>FastenersPriceList345[[#This Row],[Quantity (kg)]]/FastenersPriceList345[[#This Row],[SINGLE PC. WT.]]</f>
        <v>1930.5019305019305</v>
      </c>
      <c r="J54" s="3">
        <v>170</v>
      </c>
      <c r="K54" s="3">
        <f>FastenersPriceList345[[#This Row],[1000 PCS/WT.]]*FastenersPriceList345[[#This Row],[Rate / PER kg (₹)]]</f>
        <v>4403</v>
      </c>
      <c r="L54" s="4">
        <f>FastenersPriceList345[[#This Row],[Rate / PER kg (₹)]]*FastenersPriceList345[[#This Row],[Quantity (kg)]]</f>
        <v>8500</v>
      </c>
      <c r="M54" s="4">
        <f>FastenersPriceList345[[#This Row],[SINGLE PC. WT.]]*FastenersPriceList345[[#This Row],[Rate / PER kg (₹)]]</f>
        <v>4.4029999999999996</v>
      </c>
    </row>
    <row r="55" spans="1:13" ht="22.05" customHeight="1" x14ac:dyDescent="0.3">
      <c r="A55" s="2" t="s">
        <v>2230</v>
      </c>
      <c r="B55" s="12" t="s">
        <v>8</v>
      </c>
      <c r="C55" s="12">
        <v>12.9</v>
      </c>
      <c r="D55" s="2">
        <v>28.5</v>
      </c>
      <c r="E55" s="2">
        <f>FastenersPriceList345[[#This Row],[1000 PCS/WT.]]/1000</f>
        <v>2.8500000000000001E-2</v>
      </c>
      <c r="F55" s="2" t="s">
        <v>61</v>
      </c>
      <c r="G55" s="6" t="s">
        <v>1755</v>
      </c>
      <c r="H55" s="70">
        <v>50</v>
      </c>
      <c r="I55" s="72">
        <f>FastenersPriceList345[[#This Row],[Quantity (kg)]]/FastenersPriceList345[[#This Row],[SINGLE PC. WT.]]</f>
        <v>1754.3859649122805</v>
      </c>
      <c r="J55" s="3">
        <v>170</v>
      </c>
      <c r="K55" s="3">
        <f>FastenersPriceList345[[#This Row],[1000 PCS/WT.]]*FastenersPriceList345[[#This Row],[Rate / PER kg (₹)]]</f>
        <v>4845</v>
      </c>
      <c r="L55" s="4">
        <f>FastenersPriceList345[[#This Row],[Rate / PER kg (₹)]]*FastenersPriceList345[[#This Row],[Quantity (kg)]]</f>
        <v>8500</v>
      </c>
      <c r="M55" s="4">
        <f>FastenersPriceList345[[#This Row],[SINGLE PC. WT.]]*FastenersPriceList345[[#This Row],[Rate / PER kg (₹)]]</f>
        <v>4.8449999999999998</v>
      </c>
    </row>
    <row r="56" spans="1:13" ht="22.05" customHeight="1" x14ac:dyDescent="0.3">
      <c r="A56" s="2" t="s">
        <v>2231</v>
      </c>
      <c r="B56" s="12" t="s">
        <v>8</v>
      </c>
      <c r="C56" s="12">
        <v>12.9</v>
      </c>
      <c r="D56" s="2">
        <v>31.3</v>
      </c>
      <c r="E56" s="2">
        <f>FastenersPriceList345[[#This Row],[1000 PCS/WT.]]/1000</f>
        <v>3.1300000000000001E-2</v>
      </c>
      <c r="F56" s="2" t="s">
        <v>62</v>
      </c>
      <c r="G56" s="6" t="s">
        <v>1755</v>
      </c>
      <c r="H56" s="70">
        <v>50</v>
      </c>
      <c r="I56" s="72">
        <f>FastenersPriceList345[[#This Row],[Quantity (kg)]]/FastenersPriceList345[[#This Row],[SINGLE PC. WT.]]</f>
        <v>1597.4440894568688</v>
      </c>
      <c r="J56" s="3">
        <v>170</v>
      </c>
      <c r="K56" s="3">
        <f>FastenersPriceList345[[#This Row],[1000 PCS/WT.]]*FastenersPriceList345[[#This Row],[Rate / PER kg (₹)]]</f>
        <v>5321</v>
      </c>
      <c r="L56" s="4">
        <f>FastenersPriceList345[[#This Row],[Rate / PER kg (₹)]]*FastenersPriceList345[[#This Row],[Quantity (kg)]]</f>
        <v>8500</v>
      </c>
      <c r="M56" s="4">
        <f>FastenersPriceList345[[#This Row],[SINGLE PC. WT.]]*FastenersPriceList345[[#This Row],[Rate / PER kg (₹)]]</f>
        <v>5.3210000000000006</v>
      </c>
    </row>
    <row r="57" spans="1:13" ht="22.05" customHeight="1" x14ac:dyDescent="0.3">
      <c r="A57" s="2" t="s">
        <v>2232</v>
      </c>
      <c r="B57" s="12" t="s">
        <v>8</v>
      </c>
      <c r="C57" s="12">
        <v>12.9</v>
      </c>
      <c r="D57" s="2">
        <v>34.4</v>
      </c>
      <c r="E57" s="2">
        <f>FastenersPriceList345[[#This Row],[1000 PCS/WT.]]/1000</f>
        <v>3.44E-2</v>
      </c>
      <c r="F57" s="2" t="s">
        <v>63</v>
      </c>
      <c r="G57" s="6" t="s">
        <v>1755</v>
      </c>
      <c r="H57" s="70">
        <v>50</v>
      </c>
      <c r="I57" s="72">
        <f>FastenersPriceList345[[#This Row],[Quantity (kg)]]/FastenersPriceList345[[#This Row],[SINGLE PC. WT.]]</f>
        <v>1453.4883720930231</v>
      </c>
      <c r="J57" s="3">
        <v>170</v>
      </c>
      <c r="K57" s="3">
        <f>FastenersPriceList345[[#This Row],[1000 PCS/WT.]]*FastenersPriceList345[[#This Row],[Rate / PER kg (₹)]]</f>
        <v>5848</v>
      </c>
      <c r="L57" s="4">
        <f>FastenersPriceList345[[#This Row],[Rate / PER kg (₹)]]*FastenersPriceList345[[#This Row],[Quantity (kg)]]</f>
        <v>8500</v>
      </c>
      <c r="M57" s="4">
        <f>FastenersPriceList345[[#This Row],[SINGLE PC. WT.]]*FastenersPriceList345[[#This Row],[Rate / PER kg (₹)]]</f>
        <v>5.8479999999999999</v>
      </c>
    </row>
    <row r="58" spans="1:13" ht="22.05" customHeight="1" x14ac:dyDescent="0.3">
      <c r="A58" s="2" t="s">
        <v>2233</v>
      </c>
      <c r="B58" s="12" t="s">
        <v>8</v>
      </c>
      <c r="C58" s="12">
        <v>12.9</v>
      </c>
      <c r="D58" s="2">
        <v>37.5</v>
      </c>
      <c r="E58" s="2">
        <f>FastenersPriceList345[[#This Row],[1000 PCS/WT.]]/1000</f>
        <v>3.7499999999999999E-2</v>
      </c>
      <c r="F58" s="2" t="s">
        <v>64</v>
      </c>
      <c r="G58" s="6" t="s">
        <v>1755</v>
      </c>
      <c r="H58" s="70">
        <v>50</v>
      </c>
      <c r="I58" s="72">
        <f>FastenersPriceList345[[#This Row],[Quantity (kg)]]/FastenersPriceList345[[#This Row],[SINGLE PC. WT.]]</f>
        <v>1333.3333333333335</v>
      </c>
      <c r="J58" s="3">
        <v>170</v>
      </c>
      <c r="K58" s="3">
        <f>FastenersPriceList345[[#This Row],[1000 PCS/WT.]]*FastenersPriceList345[[#This Row],[Rate / PER kg (₹)]]</f>
        <v>6375</v>
      </c>
      <c r="L58" s="4">
        <f>FastenersPriceList345[[#This Row],[Rate / PER kg (₹)]]*FastenersPriceList345[[#This Row],[Quantity (kg)]]</f>
        <v>8500</v>
      </c>
      <c r="M58" s="4">
        <f>FastenersPriceList345[[#This Row],[SINGLE PC. WT.]]*FastenersPriceList345[[#This Row],[Rate / PER kg (₹)]]</f>
        <v>6.375</v>
      </c>
    </row>
    <row r="59" spans="1:13" ht="22.05" customHeight="1" x14ac:dyDescent="0.3">
      <c r="A59" s="2" t="s">
        <v>2234</v>
      </c>
      <c r="B59" s="12" t="s">
        <v>8</v>
      </c>
      <c r="C59" s="12">
        <v>12.9</v>
      </c>
      <c r="D59" s="2">
        <v>40.6</v>
      </c>
      <c r="E59" s="2">
        <f>FastenersPriceList345[[#This Row],[1000 PCS/WT.]]/1000</f>
        <v>4.0600000000000004E-2</v>
      </c>
      <c r="F59" s="2" t="s">
        <v>65</v>
      </c>
      <c r="G59" s="6" t="s">
        <v>1755</v>
      </c>
      <c r="H59" s="70">
        <v>50</v>
      </c>
      <c r="I59" s="72">
        <f>FastenersPriceList345[[#This Row],[Quantity (kg)]]/FastenersPriceList345[[#This Row],[SINGLE PC. WT.]]</f>
        <v>1231.5270935960589</v>
      </c>
      <c r="J59" s="3">
        <v>170</v>
      </c>
      <c r="K59" s="3">
        <f>FastenersPriceList345[[#This Row],[1000 PCS/WT.]]*FastenersPriceList345[[#This Row],[Rate / PER kg (₹)]]</f>
        <v>6902</v>
      </c>
      <c r="L59" s="4">
        <f>FastenersPriceList345[[#This Row],[Rate / PER kg (₹)]]*FastenersPriceList345[[#This Row],[Quantity (kg)]]</f>
        <v>8500</v>
      </c>
      <c r="M59" s="4">
        <f>FastenersPriceList345[[#This Row],[SINGLE PC. WT.]]*FastenersPriceList345[[#This Row],[Rate / PER kg (₹)]]</f>
        <v>6.902000000000001</v>
      </c>
    </row>
    <row r="60" spans="1:13" ht="22.05" customHeight="1" x14ac:dyDescent="0.3">
      <c r="A60" s="2" t="s">
        <v>2235</v>
      </c>
      <c r="B60" s="12" t="s">
        <v>8</v>
      </c>
      <c r="C60" s="12">
        <v>12.9</v>
      </c>
      <c r="D60" s="2">
        <v>43.7</v>
      </c>
      <c r="E60" s="2">
        <f>FastenersPriceList345[[#This Row],[1000 PCS/WT.]]/1000</f>
        <v>4.3700000000000003E-2</v>
      </c>
      <c r="F60" s="2" t="s">
        <v>66</v>
      </c>
      <c r="G60" s="6" t="s">
        <v>1755</v>
      </c>
      <c r="H60" s="70">
        <v>50</v>
      </c>
      <c r="I60" s="72">
        <f>FastenersPriceList345[[#This Row],[Quantity (kg)]]/FastenersPriceList345[[#This Row],[SINGLE PC. WT.]]</f>
        <v>1144.1647597254005</v>
      </c>
      <c r="J60" s="3">
        <v>170</v>
      </c>
      <c r="K60" s="3">
        <f>FastenersPriceList345[[#This Row],[1000 PCS/WT.]]*FastenersPriceList345[[#This Row],[Rate / PER kg (₹)]]</f>
        <v>7429.0000000000009</v>
      </c>
      <c r="L60" s="4">
        <f>FastenersPriceList345[[#This Row],[Rate / PER kg (₹)]]*FastenersPriceList345[[#This Row],[Quantity (kg)]]</f>
        <v>8500</v>
      </c>
      <c r="M60" s="4">
        <f>FastenersPriceList345[[#This Row],[SINGLE PC. WT.]]*FastenersPriceList345[[#This Row],[Rate / PER kg (₹)]]</f>
        <v>7.4290000000000003</v>
      </c>
    </row>
    <row r="61" spans="1:13" ht="22.05" customHeight="1" x14ac:dyDescent="0.3">
      <c r="A61" s="2" t="s">
        <v>2236</v>
      </c>
      <c r="B61" s="12" t="s">
        <v>8</v>
      </c>
      <c r="C61" s="12">
        <v>12.9</v>
      </c>
      <c r="D61" s="2">
        <v>46.8</v>
      </c>
      <c r="E61" s="2">
        <f>FastenersPriceList345[[#This Row],[1000 PCS/WT.]]/1000</f>
        <v>4.6799999999999994E-2</v>
      </c>
      <c r="F61" s="2" t="s">
        <v>67</v>
      </c>
      <c r="G61" s="6" t="s">
        <v>1755</v>
      </c>
      <c r="H61" s="70">
        <v>50</v>
      </c>
      <c r="I61" s="72">
        <f>FastenersPriceList345[[#This Row],[Quantity (kg)]]/FastenersPriceList345[[#This Row],[SINGLE PC. WT.]]</f>
        <v>1068.3760683760686</v>
      </c>
      <c r="J61" s="3">
        <v>170</v>
      </c>
      <c r="K61" s="3">
        <f>FastenersPriceList345[[#This Row],[1000 PCS/WT.]]*FastenersPriceList345[[#This Row],[Rate / PER kg (₹)]]</f>
        <v>7955.9999999999991</v>
      </c>
      <c r="L61" s="4">
        <f>FastenersPriceList345[[#This Row],[Rate / PER kg (₹)]]*FastenersPriceList345[[#This Row],[Quantity (kg)]]</f>
        <v>8500</v>
      </c>
      <c r="M61" s="4">
        <f>FastenersPriceList345[[#This Row],[SINGLE PC. WT.]]*FastenersPriceList345[[#This Row],[Rate / PER kg (₹)]]</f>
        <v>7.9559999999999986</v>
      </c>
    </row>
    <row r="62" spans="1:13" ht="22.05" customHeight="1" x14ac:dyDescent="0.3">
      <c r="A62" s="2" t="s">
        <v>2237</v>
      </c>
      <c r="B62" s="12" t="s">
        <v>8</v>
      </c>
      <c r="C62" s="12">
        <v>12.9</v>
      </c>
      <c r="D62" s="2">
        <v>49.9</v>
      </c>
      <c r="E62" s="2">
        <f>FastenersPriceList345[[#This Row],[1000 PCS/WT.]]/1000</f>
        <v>4.99E-2</v>
      </c>
      <c r="F62" s="2" t="s">
        <v>68</v>
      </c>
      <c r="G62" s="6" t="s">
        <v>1755</v>
      </c>
      <c r="H62" s="70">
        <v>50</v>
      </c>
      <c r="I62" s="72">
        <f>FastenersPriceList345[[#This Row],[Quantity (kg)]]/FastenersPriceList345[[#This Row],[SINGLE PC. WT.]]</f>
        <v>1002.0040080160321</v>
      </c>
      <c r="J62" s="3">
        <v>170</v>
      </c>
      <c r="K62" s="3">
        <f>FastenersPriceList345[[#This Row],[1000 PCS/WT.]]*FastenersPriceList345[[#This Row],[Rate / PER kg (₹)]]</f>
        <v>8483</v>
      </c>
      <c r="L62" s="4">
        <f>FastenersPriceList345[[#This Row],[Rate / PER kg (₹)]]*FastenersPriceList345[[#This Row],[Quantity (kg)]]</f>
        <v>8500</v>
      </c>
      <c r="M62" s="4">
        <f>FastenersPriceList345[[#This Row],[SINGLE PC. WT.]]*FastenersPriceList345[[#This Row],[Rate / PER kg (₹)]]</f>
        <v>8.4830000000000005</v>
      </c>
    </row>
    <row r="63" spans="1:13" ht="22.05" customHeight="1" x14ac:dyDescent="0.3">
      <c r="A63" s="2" t="s">
        <v>2238</v>
      </c>
      <c r="B63" s="12" t="s">
        <v>8</v>
      </c>
      <c r="C63" s="12">
        <v>12.9</v>
      </c>
      <c r="D63" s="2">
        <v>53</v>
      </c>
      <c r="E63" s="2">
        <f>FastenersPriceList345[[#This Row],[1000 PCS/WT.]]/1000</f>
        <v>5.2999999999999999E-2</v>
      </c>
      <c r="F63" s="2" t="s">
        <v>69</v>
      </c>
      <c r="G63" s="6" t="s">
        <v>1755</v>
      </c>
      <c r="H63" s="70">
        <v>50</v>
      </c>
      <c r="I63" s="72">
        <f>FastenersPriceList345[[#This Row],[Quantity (kg)]]/FastenersPriceList345[[#This Row],[SINGLE PC. WT.]]</f>
        <v>943.39622641509436</v>
      </c>
      <c r="J63" s="3">
        <v>170</v>
      </c>
      <c r="K63" s="3">
        <f>FastenersPriceList345[[#This Row],[1000 PCS/WT.]]*FastenersPriceList345[[#This Row],[Rate / PER kg (₹)]]</f>
        <v>9010</v>
      </c>
      <c r="L63" s="4">
        <f>FastenersPriceList345[[#This Row],[Rate / PER kg (₹)]]*FastenersPriceList345[[#This Row],[Quantity (kg)]]</f>
        <v>8500</v>
      </c>
      <c r="M63" s="4">
        <f>FastenersPriceList345[[#This Row],[SINGLE PC. WT.]]*FastenersPriceList345[[#This Row],[Rate / PER kg (₹)]]</f>
        <v>9.01</v>
      </c>
    </row>
    <row r="64" spans="1:13" ht="22.05" customHeight="1" x14ac:dyDescent="0.3">
      <c r="A64" s="2" t="s">
        <v>2239</v>
      </c>
      <c r="B64" s="12" t="s">
        <v>8</v>
      </c>
      <c r="C64" s="12">
        <v>12.9</v>
      </c>
      <c r="D64" s="2">
        <v>56.1</v>
      </c>
      <c r="E64" s="2">
        <f>FastenersPriceList345[[#This Row],[1000 PCS/WT.]]/1000</f>
        <v>5.6100000000000004E-2</v>
      </c>
      <c r="F64" s="2" t="s">
        <v>70</v>
      </c>
      <c r="G64" s="6" t="s">
        <v>1755</v>
      </c>
      <c r="H64" s="70">
        <v>50</v>
      </c>
      <c r="I64" s="72">
        <f>FastenersPriceList345[[#This Row],[Quantity (kg)]]/FastenersPriceList345[[#This Row],[SINGLE PC. WT.]]</f>
        <v>891.26559714795007</v>
      </c>
      <c r="J64" s="3">
        <v>170</v>
      </c>
      <c r="K64" s="3">
        <f>FastenersPriceList345[[#This Row],[1000 PCS/WT.]]*FastenersPriceList345[[#This Row],[Rate / PER kg (₹)]]</f>
        <v>9537</v>
      </c>
      <c r="L64" s="4">
        <f>FastenersPriceList345[[#This Row],[Rate / PER kg (₹)]]*FastenersPriceList345[[#This Row],[Quantity (kg)]]</f>
        <v>8500</v>
      </c>
      <c r="M64" s="4">
        <f>FastenersPriceList345[[#This Row],[SINGLE PC. WT.]]*FastenersPriceList345[[#This Row],[Rate / PER kg (₹)]]</f>
        <v>9.5370000000000008</v>
      </c>
    </row>
    <row r="65" spans="1:13" ht="22.05" customHeight="1" x14ac:dyDescent="0.3">
      <c r="A65" s="2" t="s">
        <v>2240</v>
      </c>
      <c r="B65" s="12" t="s">
        <v>8</v>
      </c>
      <c r="C65" s="12">
        <v>12.9</v>
      </c>
      <c r="D65" s="2">
        <v>59.2</v>
      </c>
      <c r="E65" s="2">
        <f>FastenersPriceList345[[#This Row],[1000 PCS/WT.]]/1000</f>
        <v>5.9200000000000003E-2</v>
      </c>
      <c r="F65" s="2" t="s">
        <v>71</v>
      </c>
      <c r="G65" s="6" t="s">
        <v>1755</v>
      </c>
      <c r="H65" s="70">
        <v>50</v>
      </c>
      <c r="I65" s="72">
        <f>FastenersPriceList345[[#This Row],[Quantity (kg)]]/FastenersPriceList345[[#This Row],[SINGLE PC. WT.]]</f>
        <v>844.59459459459458</v>
      </c>
      <c r="J65" s="3">
        <v>170</v>
      </c>
      <c r="K65" s="3">
        <f>FastenersPriceList345[[#This Row],[1000 PCS/WT.]]*FastenersPriceList345[[#This Row],[Rate / PER kg (₹)]]</f>
        <v>10064</v>
      </c>
      <c r="L65" s="4">
        <f>FastenersPriceList345[[#This Row],[Rate / PER kg (₹)]]*FastenersPriceList345[[#This Row],[Quantity (kg)]]</f>
        <v>8500</v>
      </c>
      <c r="M65" s="4">
        <f>FastenersPriceList345[[#This Row],[SINGLE PC. WT.]]*FastenersPriceList345[[#This Row],[Rate / PER kg (₹)]]</f>
        <v>10.064</v>
      </c>
    </row>
    <row r="66" spans="1:13" ht="22.05" customHeight="1" x14ac:dyDescent="0.3">
      <c r="A66" s="2" t="s">
        <v>2241</v>
      </c>
      <c r="B66" s="12" t="s">
        <v>8</v>
      </c>
      <c r="C66" s="12">
        <v>12.9</v>
      </c>
      <c r="D66" s="2">
        <v>62.3</v>
      </c>
      <c r="E66" s="2">
        <f>FastenersPriceList345[[#This Row],[1000 PCS/WT.]]/1000</f>
        <v>6.2299999999999994E-2</v>
      </c>
      <c r="F66" s="2" t="s">
        <v>72</v>
      </c>
      <c r="G66" s="6" t="s">
        <v>1755</v>
      </c>
      <c r="H66" s="70">
        <v>50</v>
      </c>
      <c r="I66" s="72">
        <f>FastenersPriceList345[[#This Row],[Quantity (kg)]]/FastenersPriceList345[[#This Row],[SINGLE PC. WT.]]</f>
        <v>802.56821829855551</v>
      </c>
      <c r="J66" s="3">
        <v>170</v>
      </c>
      <c r="K66" s="3">
        <f>FastenersPriceList345[[#This Row],[1000 PCS/WT.]]*FastenersPriceList345[[#This Row],[Rate / PER kg (₹)]]</f>
        <v>10591</v>
      </c>
      <c r="L66" s="4">
        <f>FastenersPriceList345[[#This Row],[Rate / PER kg (₹)]]*FastenersPriceList345[[#This Row],[Quantity (kg)]]</f>
        <v>8500</v>
      </c>
      <c r="M66" s="4">
        <f>FastenersPriceList345[[#This Row],[SINGLE PC. WT.]]*FastenersPriceList345[[#This Row],[Rate / PER kg (₹)]]</f>
        <v>10.590999999999999</v>
      </c>
    </row>
    <row r="67" spans="1:13" ht="22.05" customHeight="1" x14ac:dyDescent="0.3">
      <c r="A67" s="2" t="s">
        <v>2242</v>
      </c>
      <c r="B67" s="12" t="s">
        <v>8</v>
      </c>
      <c r="C67" s="12">
        <v>12.9</v>
      </c>
      <c r="D67" s="2">
        <v>65.400000000000006</v>
      </c>
      <c r="E67" s="2">
        <f>FastenersPriceList345[[#This Row],[1000 PCS/WT.]]/1000</f>
        <v>6.54E-2</v>
      </c>
      <c r="F67" s="2" t="s">
        <v>73</v>
      </c>
      <c r="G67" s="6" t="s">
        <v>1755</v>
      </c>
      <c r="H67" s="70">
        <v>50</v>
      </c>
      <c r="I67" s="72">
        <f>FastenersPriceList345[[#This Row],[Quantity (kg)]]/FastenersPriceList345[[#This Row],[SINGLE PC. WT.]]</f>
        <v>764.52599388379201</v>
      </c>
      <c r="J67" s="3">
        <v>170</v>
      </c>
      <c r="K67" s="3">
        <f>FastenersPriceList345[[#This Row],[1000 PCS/WT.]]*FastenersPriceList345[[#This Row],[Rate / PER kg (₹)]]</f>
        <v>11118.000000000002</v>
      </c>
      <c r="L67" s="4">
        <f>FastenersPriceList345[[#This Row],[Rate / PER kg (₹)]]*FastenersPriceList345[[#This Row],[Quantity (kg)]]</f>
        <v>8500</v>
      </c>
      <c r="M67" s="4">
        <f>FastenersPriceList345[[#This Row],[SINGLE PC. WT.]]*FastenersPriceList345[[#This Row],[Rate / PER kg (₹)]]</f>
        <v>11.118</v>
      </c>
    </row>
    <row r="68" spans="1:13" ht="22.05" customHeight="1" x14ac:dyDescent="0.3">
      <c r="A68" s="2" t="s">
        <v>2243</v>
      </c>
      <c r="B68" s="12" t="s">
        <v>8</v>
      </c>
      <c r="C68" s="12">
        <v>12.9</v>
      </c>
      <c r="D68" s="2">
        <v>68.5</v>
      </c>
      <c r="E68" s="2">
        <f>FastenersPriceList345[[#This Row],[1000 PCS/WT.]]/1000</f>
        <v>6.8500000000000005E-2</v>
      </c>
      <c r="F68" s="2" t="s">
        <v>74</v>
      </c>
      <c r="G68" s="6" t="s">
        <v>1755</v>
      </c>
      <c r="H68" s="70">
        <v>50</v>
      </c>
      <c r="I68" s="72">
        <f>FastenersPriceList345[[#This Row],[Quantity (kg)]]/FastenersPriceList345[[#This Row],[SINGLE PC. WT.]]</f>
        <v>729.92700729927003</v>
      </c>
      <c r="J68" s="3">
        <v>170</v>
      </c>
      <c r="K68" s="3">
        <f>FastenersPriceList345[[#This Row],[1000 PCS/WT.]]*FastenersPriceList345[[#This Row],[Rate / PER kg (₹)]]</f>
        <v>11645</v>
      </c>
      <c r="L68" s="4">
        <f>FastenersPriceList345[[#This Row],[Rate / PER kg (₹)]]*FastenersPriceList345[[#This Row],[Quantity (kg)]]</f>
        <v>8500</v>
      </c>
      <c r="M68" s="4">
        <f>FastenersPriceList345[[#This Row],[SINGLE PC. WT.]]*FastenersPriceList345[[#This Row],[Rate / PER kg (₹)]]</f>
        <v>11.645000000000001</v>
      </c>
    </row>
    <row r="69" spans="1:13" ht="22.05" customHeight="1" x14ac:dyDescent="0.3">
      <c r="A69" s="2" t="s">
        <v>2244</v>
      </c>
      <c r="B69" s="12" t="s">
        <v>8</v>
      </c>
      <c r="C69" s="12">
        <v>12.9</v>
      </c>
      <c r="D69" s="2">
        <v>71.599999999999994</v>
      </c>
      <c r="E69" s="2">
        <f>FastenersPriceList345[[#This Row],[1000 PCS/WT.]]/1000</f>
        <v>7.1599999999999997E-2</v>
      </c>
      <c r="F69" s="2" t="s">
        <v>75</v>
      </c>
      <c r="G69" s="6" t="s">
        <v>1755</v>
      </c>
      <c r="H69" s="70">
        <v>50</v>
      </c>
      <c r="I69" s="72">
        <f>FastenersPriceList345[[#This Row],[Quantity (kg)]]/FastenersPriceList345[[#This Row],[SINGLE PC. WT.]]</f>
        <v>698.32402234636879</v>
      </c>
      <c r="J69" s="3">
        <v>170</v>
      </c>
      <c r="K69" s="3">
        <f>FastenersPriceList345[[#This Row],[1000 PCS/WT.]]*FastenersPriceList345[[#This Row],[Rate / PER kg (₹)]]</f>
        <v>12171.999999999998</v>
      </c>
      <c r="L69" s="4">
        <f>FastenersPriceList345[[#This Row],[Rate / PER kg (₹)]]*FastenersPriceList345[[#This Row],[Quantity (kg)]]</f>
        <v>8500</v>
      </c>
      <c r="M69" s="4">
        <f>FastenersPriceList345[[#This Row],[SINGLE PC. WT.]]*FastenersPriceList345[[#This Row],[Rate / PER kg (₹)]]</f>
        <v>12.171999999999999</v>
      </c>
    </row>
    <row r="70" spans="1:13" ht="22.05" customHeight="1" x14ac:dyDescent="0.3">
      <c r="A70" s="2" t="s">
        <v>2245</v>
      </c>
      <c r="B70" s="12" t="s">
        <v>8</v>
      </c>
      <c r="C70" s="12">
        <v>12.9</v>
      </c>
      <c r="D70" s="2">
        <v>77.8</v>
      </c>
      <c r="E70" s="2">
        <f>FastenersPriceList345[[#This Row],[1000 PCS/WT.]]/1000</f>
        <v>7.7799999999999994E-2</v>
      </c>
      <c r="F70" s="2" t="s">
        <v>76</v>
      </c>
      <c r="G70" s="6" t="s">
        <v>1755</v>
      </c>
      <c r="H70" s="70">
        <v>50</v>
      </c>
      <c r="I70" s="72">
        <f>FastenersPriceList345[[#This Row],[Quantity (kg)]]/FastenersPriceList345[[#This Row],[SINGLE PC. WT.]]</f>
        <v>642.67352185089976</v>
      </c>
      <c r="J70" s="3">
        <v>170</v>
      </c>
      <c r="K70" s="3">
        <f>FastenersPriceList345[[#This Row],[1000 PCS/WT.]]*FastenersPriceList345[[#This Row],[Rate / PER kg (₹)]]</f>
        <v>13226</v>
      </c>
      <c r="L70" s="4">
        <f>FastenersPriceList345[[#This Row],[Rate / PER kg (₹)]]*FastenersPriceList345[[#This Row],[Quantity (kg)]]</f>
        <v>8500</v>
      </c>
      <c r="M70" s="4">
        <f>FastenersPriceList345[[#This Row],[SINGLE PC. WT.]]*FastenersPriceList345[[#This Row],[Rate / PER kg (₹)]]</f>
        <v>13.225999999999999</v>
      </c>
    </row>
    <row r="71" spans="1:13" ht="22.05" customHeight="1" x14ac:dyDescent="0.3">
      <c r="A71" s="2" t="s">
        <v>2246</v>
      </c>
      <c r="B71" s="12" t="s">
        <v>8</v>
      </c>
      <c r="C71" s="12">
        <v>12.9</v>
      </c>
      <c r="D71" s="2">
        <v>84</v>
      </c>
      <c r="E71" s="2">
        <f>FastenersPriceList345[[#This Row],[1000 PCS/WT.]]/1000</f>
        <v>8.4000000000000005E-2</v>
      </c>
      <c r="F71" s="2" t="s">
        <v>77</v>
      </c>
      <c r="G71" s="6" t="s">
        <v>1755</v>
      </c>
      <c r="H71" s="70">
        <v>50</v>
      </c>
      <c r="I71" s="72">
        <f>FastenersPriceList345[[#This Row],[Quantity (kg)]]/FastenersPriceList345[[#This Row],[SINGLE PC. WT.]]</f>
        <v>595.23809523809518</v>
      </c>
      <c r="J71" s="3">
        <v>170</v>
      </c>
      <c r="K71" s="3">
        <f>FastenersPriceList345[[#This Row],[1000 PCS/WT.]]*FastenersPriceList345[[#This Row],[Rate / PER kg (₹)]]</f>
        <v>14280</v>
      </c>
      <c r="L71" s="4">
        <f>FastenersPriceList345[[#This Row],[Rate / PER kg (₹)]]*FastenersPriceList345[[#This Row],[Quantity (kg)]]</f>
        <v>8500</v>
      </c>
      <c r="M71" s="4">
        <f>FastenersPriceList345[[#This Row],[SINGLE PC. WT.]]*FastenersPriceList345[[#This Row],[Rate / PER kg (₹)]]</f>
        <v>14.280000000000001</v>
      </c>
    </row>
    <row r="72" spans="1:13" ht="22.05" customHeight="1" x14ac:dyDescent="0.3">
      <c r="A72" s="2" t="s">
        <v>2603</v>
      </c>
      <c r="B72" s="12" t="s">
        <v>8</v>
      </c>
      <c r="C72" s="12">
        <v>12.9</v>
      </c>
      <c r="D72" s="2">
        <v>90.2</v>
      </c>
      <c r="E72" s="2">
        <f>FastenersPriceList345[[#This Row],[1000 PCS/WT.]]/1000</f>
        <v>9.0200000000000002E-2</v>
      </c>
      <c r="F72" s="2" t="s">
        <v>1324</v>
      </c>
      <c r="G72" s="6" t="s">
        <v>1755</v>
      </c>
      <c r="H72" s="70">
        <v>50</v>
      </c>
      <c r="I72" s="72">
        <f>FastenersPriceList345[[#This Row],[Quantity (kg)]]/FastenersPriceList345[[#This Row],[SINGLE PC. WT.]]</f>
        <v>554.32372505543231</v>
      </c>
      <c r="J72" s="3">
        <v>170</v>
      </c>
      <c r="K72" s="3">
        <f>FastenersPriceList345[[#This Row],[1000 PCS/WT.]]*FastenersPriceList345[[#This Row],[Rate / PER kg (₹)]]</f>
        <v>15334</v>
      </c>
      <c r="L72" s="4">
        <f>FastenersPriceList345[[#This Row],[Rate / PER kg (₹)]]*FastenersPriceList345[[#This Row],[Quantity (kg)]]</f>
        <v>8500</v>
      </c>
      <c r="M72" s="4">
        <f>FastenersPriceList345[[#This Row],[SINGLE PC. WT.]]*FastenersPriceList345[[#This Row],[Rate / PER kg (₹)]]</f>
        <v>15.334</v>
      </c>
    </row>
    <row r="73" spans="1:13" ht="22.05" customHeight="1" x14ac:dyDescent="0.3">
      <c r="A73" s="2" t="s">
        <v>2247</v>
      </c>
      <c r="B73" s="12" t="s">
        <v>8</v>
      </c>
      <c r="C73" s="12">
        <v>12.9</v>
      </c>
      <c r="D73" s="2">
        <v>96.4</v>
      </c>
      <c r="E73" s="2">
        <f>FastenersPriceList345[[#This Row],[1000 PCS/WT.]]/1000</f>
        <v>9.64E-2</v>
      </c>
      <c r="F73" s="2" t="s">
        <v>78</v>
      </c>
      <c r="G73" s="6" t="s">
        <v>1755</v>
      </c>
      <c r="H73" s="70">
        <v>50</v>
      </c>
      <c r="I73" s="72">
        <f>FastenersPriceList345[[#This Row],[Quantity (kg)]]/FastenersPriceList345[[#This Row],[SINGLE PC. WT.]]</f>
        <v>518.67219917012449</v>
      </c>
      <c r="J73" s="3">
        <v>170</v>
      </c>
      <c r="K73" s="3">
        <f>FastenersPriceList345[[#This Row],[1000 PCS/WT.]]*FastenersPriceList345[[#This Row],[Rate / PER kg (₹)]]</f>
        <v>16388</v>
      </c>
      <c r="L73" s="4">
        <f>FastenersPriceList345[[#This Row],[Rate / PER kg (₹)]]*FastenersPriceList345[[#This Row],[Quantity (kg)]]</f>
        <v>8500</v>
      </c>
      <c r="M73" s="4">
        <f>FastenersPriceList345[[#This Row],[SINGLE PC. WT.]]*FastenersPriceList345[[#This Row],[Rate / PER kg (₹)]]</f>
        <v>16.388000000000002</v>
      </c>
    </row>
    <row r="74" spans="1:13" ht="22.05" customHeight="1" x14ac:dyDescent="0.3">
      <c r="A74" s="2" t="s">
        <v>2248</v>
      </c>
      <c r="B74" s="12" t="s">
        <v>8</v>
      </c>
      <c r="C74" s="12">
        <v>12.9</v>
      </c>
      <c r="D74" s="2">
        <v>102.6</v>
      </c>
      <c r="E74" s="2">
        <f>FastenersPriceList345[[#This Row],[1000 PCS/WT.]]/1000</f>
        <v>0.1026</v>
      </c>
      <c r="F74" s="2" t="s">
        <v>79</v>
      </c>
      <c r="G74" s="6" t="s">
        <v>1755</v>
      </c>
      <c r="H74" s="70">
        <v>50</v>
      </c>
      <c r="I74" s="72">
        <f>FastenersPriceList345[[#This Row],[Quantity (kg)]]/FastenersPriceList345[[#This Row],[SINGLE PC. WT.]]</f>
        <v>487.32943469785579</v>
      </c>
      <c r="J74" s="3">
        <v>170</v>
      </c>
      <c r="K74" s="3">
        <f>FastenersPriceList345[[#This Row],[1000 PCS/WT.]]*FastenersPriceList345[[#This Row],[Rate / PER kg (₹)]]</f>
        <v>17442</v>
      </c>
      <c r="L74" s="4">
        <f>FastenersPriceList345[[#This Row],[Rate / PER kg (₹)]]*FastenersPriceList345[[#This Row],[Quantity (kg)]]</f>
        <v>8500</v>
      </c>
      <c r="M74" s="4">
        <f>FastenersPriceList345[[#This Row],[SINGLE PC. WT.]]*FastenersPriceList345[[#This Row],[Rate / PER kg (₹)]]</f>
        <v>17.442</v>
      </c>
    </row>
    <row r="75" spans="1:13" ht="22.05" customHeight="1" x14ac:dyDescent="0.3">
      <c r="A75" s="2" t="s">
        <v>2249</v>
      </c>
      <c r="B75" s="12" t="s">
        <v>8</v>
      </c>
      <c r="C75" s="12">
        <v>12.9</v>
      </c>
      <c r="D75" s="2">
        <v>36.869999999999997</v>
      </c>
      <c r="E75" s="2">
        <f>FastenersPriceList345[[#This Row],[1000 PCS/WT.]]/1000</f>
        <v>3.687E-2</v>
      </c>
      <c r="F75" s="2" t="s">
        <v>80</v>
      </c>
      <c r="G75" s="6" t="s">
        <v>1755</v>
      </c>
      <c r="H75" s="70">
        <v>50</v>
      </c>
      <c r="I75" s="72">
        <f>FastenersPriceList345[[#This Row],[Quantity (kg)]]/FastenersPriceList345[[#This Row],[SINGLE PC. WT.]]</f>
        <v>1356.1160835367507</v>
      </c>
      <c r="J75" s="3">
        <v>165</v>
      </c>
      <c r="K75" s="3">
        <f>FastenersPriceList345[[#This Row],[1000 PCS/WT.]]*FastenersPriceList345[[#This Row],[Rate / PER kg (₹)]]</f>
        <v>6083.5499999999993</v>
      </c>
      <c r="L75" s="4">
        <f>FastenersPriceList345[[#This Row],[Rate / PER kg (₹)]]*FastenersPriceList345[[#This Row],[Quantity (kg)]]</f>
        <v>8250</v>
      </c>
      <c r="M75" s="4">
        <f>FastenersPriceList345[[#This Row],[SINGLE PC. WT.]]*FastenersPriceList345[[#This Row],[Rate / PER kg (₹)]]</f>
        <v>6.0835499999999998</v>
      </c>
    </row>
    <row r="76" spans="1:13" ht="22.05" customHeight="1" x14ac:dyDescent="0.3">
      <c r="A76" s="2" t="s">
        <v>2250</v>
      </c>
      <c r="B76" s="12" t="s">
        <v>8</v>
      </c>
      <c r="C76" s="12">
        <v>12.9</v>
      </c>
      <c r="D76" s="2">
        <v>40.22</v>
      </c>
      <c r="E76" s="2">
        <f>FastenersPriceList345[[#This Row],[1000 PCS/WT.]]/1000</f>
        <v>4.0219999999999999E-2</v>
      </c>
      <c r="F76" s="2" t="s">
        <v>81</v>
      </c>
      <c r="G76" s="6" t="s">
        <v>1755</v>
      </c>
      <c r="H76" s="70">
        <v>50</v>
      </c>
      <c r="I76" s="72">
        <f>FastenersPriceList345[[#This Row],[Quantity (kg)]]/FastenersPriceList345[[#This Row],[SINGLE PC. WT.]]</f>
        <v>1243.1626056688215</v>
      </c>
      <c r="J76" s="3">
        <v>165</v>
      </c>
      <c r="K76" s="3">
        <f>FastenersPriceList345[[#This Row],[1000 PCS/WT.]]*FastenersPriceList345[[#This Row],[Rate / PER kg (₹)]]</f>
        <v>6636.3</v>
      </c>
      <c r="L76" s="4">
        <f>FastenersPriceList345[[#This Row],[Rate / PER kg (₹)]]*FastenersPriceList345[[#This Row],[Quantity (kg)]]</f>
        <v>8250</v>
      </c>
      <c r="M76" s="4">
        <f>FastenersPriceList345[[#This Row],[SINGLE PC. WT.]]*FastenersPriceList345[[#This Row],[Rate / PER kg (₹)]]</f>
        <v>6.6362999999999994</v>
      </c>
    </row>
    <row r="77" spans="1:13" ht="22.05" customHeight="1" x14ac:dyDescent="0.3">
      <c r="A77" s="2" t="s">
        <v>2251</v>
      </c>
      <c r="B77" s="12" t="s">
        <v>8</v>
      </c>
      <c r="C77" s="12">
        <v>12.9</v>
      </c>
      <c r="D77" s="2">
        <v>43.82</v>
      </c>
      <c r="E77" s="2">
        <f>FastenersPriceList345[[#This Row],[1000 PCS/WT.]]/1000</f>
        <v>4.3819999999999998E-2</v>
      </c>
      <c r="F77" s="2" t="s">
        <v>82</v>
      </c>
      <c r="G77" s="6" t="s">
        <v>1755</v>
      </c>
      <c r="H77" s="70">
        <v>50</v>
      </c>
      <c r="I77" s="72">
        <f>FastenersPriceList345[[#This Row],[Quantity (kg)]]/FastenersPriceList345[[#This Row],[SINGLE PC. WT.]]</f>
        <v>1141.0314924691922</v>
      </c>
      <c r="J77" s="3">
        <v>165</v>
      </c>
      <c r="K77" s="3">
        <f>FastenersPriceList345[[#This Row],[1000 PCS/WT.]]*FastenersPriceList345[[#This Row],[Rate / PER kg (₹)]]</f>
        <v>7230.3</v>
      </c>
      <c r="L77" s="4">
        <f>FastenersPriceList345[[#This Row],[Rate / PER kg (₹)]]*FastenersPriceList345[[#This Row],[Quantity (kg)]]</f>
        <v>8250</v>
      </c>
      <c r="M77" s="4">
        <f>FastenersPriceList345[[#This Row],[SINGLE PC. WT.]]*FastenersPriceList345[[#This Row],[Rate / PER kg (₹)]]</f>
        <v>7.2302999999999997</v>
      </c>
    </row>
    <row r="78" spans="1:13" ht="22.05" customHeight="1" x14ac:dyDescent="0.3">
      <c r="A78" s="2" t="s">
        <v>2252</v>
      </c>
      <c r="B78" s="12" t="s">
        <v>8</v>
      </c>
      <c r="C78" s="12">
        <v>12.9</v>
      </c>
      <c r="D78" s="2">
        <v>48.22</v>
      </c>
      <c r="E78" s="2">
        <f>FastenersPriceList345[[#This Row],[1000 PCS/WT.]]/1000</f>
        <v>4.8219999999999999E-2</v>
      </c>
      <c r="F78" s="2" t="s">
        <v>83</v>
      </c>
      <c r="G78" s="6" t="s">
        <v>1755</v>
      </c>
      <c r="H78" s="70">
        <v>50</v>
      </c>
      <c r="I78" s="72">
        <f>FastenersPriceList345[[#This Row],[Quantity (kg)]]/FastenersPriceList345[[#This Row],[SINGLE PC. WT.]]</f>
        <v>1036.9141435089175</v>
      </c>
      <c r="J78" s="3">
        <v>165</v>
      </c>
      <c r="K78" s="3">
        <f>FastenersPriceList345[[#This Row],[1000 PCS/WT.]]*FastenersPriceList345[[#This Row],[Rate / PER kg (₹)]]</f>
        <v>7956.3</v>
      </c>
      <c r="L78" s="4">
        <f>FastenersPriceList345[[#This Row],[Rate / PER kg (₹)]]*FastenersPriceList345[[#This Row],[Quantity (kg)]]</f>
        <v>8250</v>
      </c>
      <c r="M78" s="4">
        <f>FastenersPriceList345[[#This Row],[SINGLE PC. WT.]]*FastenersPriceList345[[#This Row],[Rate / PER kg (₹)]]</f>
        <v>7.9562999999999997</v>
      </c>
    </row>
    <row r="79" spans="1:13" ht="22.05" customHeight="1" x14ac:dyDescent="0.3">
      <c r="A79" s="2" t="s">
        <v>2253</v>
      </c>
      <c r="B79" s="12" t="s">
        <v>8</v>
      </c>
      <c r="C79" s="12">
        <v>12.9</v>
      </c>
      <c r="D79" s="2">
        <v>52.62</v>
      </c>
      <c r="E79" s="2">
        <f>FastenersPriceList345[[#This Row],[1000 PCS/WT.]]/1000</f>
        <v>5.262E-2</v>
      </c>
      <c r="F79" s="2" t="s">
        <v>84</v>
      </c>
      <c r="G79" s="6" t="s">
        <v>1755</v>
      </c>
      <c r="H79" s="70">
        <v>50</v>
      </c>
      <c r="I79" s="72">
        <f>FastenersPriceList345[[#This Row],[Quantity (kg)]]/FastenersPriceList345[[#This Row],[SINGLE PC. WT.]]</f>
        <v>950.20904599011783</v>
      </c>
      <c r="J79" s="3">
        <v>165</v>
      </c>
      <c r="K79" s="3">
        <f>FastenersPriceList345[[#This Row],[1000 PCS/WT.]]*FastenersPriceList345[[#This Row],[Rate / PER kg (₹)]]</f>
        <v>8682.2999999999993</v>
      </c>
      <c r="L79" s="4">
        <f>FastenersPriceList345[[#This Row],[Rate / PER kg (₹)]]*FastenersPriceList345[[#This Row],[Quantity (kg)]]</f>
        <v>8250</v>
      </c>
      <c r="M79" s="4">
        <f>FastenersPriceList345[[#This Row],[SINGLE PC. WT.]]*FastenersPriceList345[[#This Row],[Rate / PER kg (₹)]]</f>
        <v>8.6822999999999997</v>
      </c>
    </row>
    <row r="80" spans="1:13" ht="22.05" customHeight="1" x14ac:dyDescent="0.3">
      <c r="A80" s="2" t="s">
        <v>2254</v>
      </c>
      <c r="B80" s="12" t="s">
        <v>8</v>
      </c>
      <c r="C80" s="12">
        <v>12.9</v>
      </c>
      <c r="D80" s="2">
        <v>57.02</v>
      </c>
      <c r="E80" s="2">
        <f>FastenersPriceList345[[#This Row],[1000 PCS/WT.]]/1000</f>
        <v>5.7020000000000001E-2</v>
      </c>
      <c r="F80" s="2" t="s">
        <v>85</v>
      </c>
      <c r="G80" s="6" t="s">
        <v>1755</v>
      </c>
      <c r="H80" s="70">
        <v>50</v>
      </c>
      <c r="I80" s="72">
        <f>FastenersPriceList345[[#This Row],[Quantity (kg)]]/FastenersPriceList345[[#This Row],[SINGLE PC. WT.]]</f>
        <v>876.885303402315</v>
      </c>
      <c r="J80" s="3">
        <v>165</v>
      </c>
      <c r="K80" s="3">
        <f>FastenersPriceList345[[#This Row],[1000 PCS/WT.]]*FastenersPriceList345[[#This Row],[Rate / PER kg (₹)]]</f>
        <v>9408.3000000000011</v>
      </c>
      <c r="L80" s="4">
        <f>FastenersPriceList345[[#This Row],[Rate / PER kg (₹)]]*FastenersPriceList345[[#This Row],[Quantity (kg)]]</f>
        <v>8250</v>
      </c>
      <c r="M80" s="4">
        <f>FastenersPriceList345[[#This Row],[SINGLE PC. WT.]]*FastenersPriceList345[[#This Row],[Rate / PER kg (₹)]]</f>
        <v>9.4083000000000006</v>
      </c>
    </row>
    <row r="81" spans="1:13" ht="22.05" customHeight="1" x14ac:dyDescent="0.3">
      <c r="A81" s="2" t="s">
        <v>2255</v>
      </c>
      <c r="B81" s="12" t="s">
        <v>8</v>
      </c>
      <c r="C81" s="12">
        <v>12.9</v>
      </c>
      <c r="D81" s="2">
        <v>61.42</v>
      </c>
      <c r="E81" s="2">
        <f>FastenersPriceList345[[#This Row],[1000 PCS/WT.]]/1000</f>
        <v>6.1420000000000002E-2</v>
      </c>
      <c r="F81" s="2" t="s">
        <v>86</v>
      </c>
      <c r="G81" s="6" t="s">
        <v>1755</v>
      </c>
      <c r="H81" s="70">
        <v>50</v>
      </c>
      <c r="I81" s="72">
        <f>FastenersPriceList345[[#This Row],[Quantity (kg)]]/FastenersPriceList345[[#This Row],[SINGLE PC. WT.]]</f>
        <v>814.06707912732008</v>
      </c>
      <c r="J81" s="3">
        <v>165</v>
      </c>
      <c r="K81" s="3">
        <f>FastenersPriceList345[[#This Row],[1000 PCS/WT.]]*FastenersPriceList345[[#This Row],[Rate / PER kg (₹)]]</f>
        <v>10134.300000000001</v>
      </c>
      <c r="L81" s="4">
        <f>FastenersPriceList345[[#This Row],[Rate / PER kg (₹)]]*FastenersPriceList345[[#This Row],[Quantity (kg)]]</f>
        <v>8250</v>
      </c>
      <c r="M81" s="4">
        <f>FastenersPriceList345[[#This Row],[SINGLE PC. WT.]]*FastenersPriceList345[[#This Row],[Rate / PER kg (₹)]]</f>
        <v>10.1343</v>
      </c>
    </row>
    <row r="82" spans="1:13" ht="22.05" customHeight="1" x14ac:dyDescent="0.3">
      <c r="A82" s="2" t="s">
        <v>2256</v>
      </c>
      <c r="B82" s="12" t="s">
        <v>8</v>
      </c>
      <c r="C82" s="12">
        <v>12.9</v>
      </c>
      <c r="D82" s="2">
        <v>65.819999999999993</v>
      </c>
      <c r="E82" s="2">
        <f>FastenersPriceList345[[#This Row],[1000 PCS/WT.]]/1000</f>
        <v>6.581999999999999E-2</v>
      </c>
      <c r="F82" s="2" t="s">
        <v>87</v>
      </c>
      <c r="G82" s="6" t="s">
        <v>1755</v>
      </c>
      <c r="H82" s="70">
        <v>50</v>
      </c>
      <c r="I82" s="72">
        <f>FastenersPriceList345[[#This Row],[Quantity (kg)]]/FastenersPriceList345[[#This Row],[SINGLE PC. WT.]]</f>
        <v>759.6475235490733</v>
      </c>
      <c r="J82" s="3">
        <v>165</v>
      </c>
      <c r="K82" s="3">
        <f>FastenersPriceList345[[#This Row],[1000 PCS/WT.]]*FastenersPriceList345[[#This Row],[Rate / PER kg (₹)]]</f>
        <v>10860.3</v>
      </c>
      <c r="L82" s="4">
        <f>FastenersPriceList345[[#This Row],[Rate / PER kg (₹)]]*FastenersPriceList345[[#This Row],[Quantity (kg)]]</f>
        <v>8250</v>
      </c>
      <c r="M82" s="4">
        <f>FastenersPriceList345[[#This Row],[SINGLE PC. WT.]]*FastenersPriceList345[[#This Row],[Rate / PER kg (₹)]]</f>
        <v>10.860299999999999</v>
      </c>
    </row>
    <row r="83" spans="1:13" ht="22.05" customHeight="1" x14ac:dyDescent="0.3">
      <c r="A83" s="2" t="s">
        <v>2257</v>
      </c>
      <c r="B83" s="12" t="s">
        <v>8</v>
      </c>
      <c r="C83" s="12">
        <v>12.9</v>
      </c>
      <c r="D83" s="2">
        <v>70.22</v>
      </c>
      <c r="E83" s="2">
        <f>FastenersPriceList345[[#This Row],[1000 PCS/WT.]]/1000</f>
        <v>7.0220000000000005E-2</v>
      </c>
      <c r="F83" s="2" t="s">
        <v>88</v>
      </c>
      <c r="G83" s="6" t="s">
        <v>1755</v>
      </c>
      <c r="H83" s="70">
        <v>50</v>
      </c>
      <c r="I83" s="72">
        <f>FastenersPriceList345[[#This Row],[Quantity (kg)]]/FastenersPriceList345[[#This Row],[SINGLE PC. WT.]]</f>
        <v>712.0478496154941</v>
      </c>
      <c r="J83" s="3">
        <v>165</v>
      </c>
      <c r="K83" s="3">
        <f>FastenersPriceList345[[#This Row],[1000 PCS/WT.]]*FastenersPriceList345[[#This Row],[Rate / PER kg (₹)]]</f>
        <v>11586.3</v>
      </c>
      <c r="L83" s="4">
        <f>FastenersPriceList345[[#This Row],[Rate / PER kg (₹)]]*FastenersPriceList345[[#This Row],[Quantity (kg)]]</f>
        <v>8250</v>
      </c>
      <c r="M83" s="4">
        <f>FastenersPriceList345[[#This Row],[SINGLE PC. WT.]]*FastenersPriceList345[[#This Row],[Rate / PER kg (₹)]]</f>
        <v>11.586300000000001</v>
      </c>
    </row>
    <row r="84" spans="1:13" ht="22.05" customHeight="1" x14ac:dyDescent="0.3">
      <c r="A84" s="2" t="s">
        <v>2258</v>
      </c>
      <c r="B84" s="12" t="s">
        <v>8</v>
      </c>
      <c r="C84" s="12">
        <v>12.9</v>
      </c>
      <c r="D84" s="2">
        <v>74.62</v>
      </c>
      <c r="E84" s="2">
        <f>FastenersPriceList345[[#This Row],[1000 PCS/WT.]]/1000</f>
        <v>7.4620000000000006E-2</v>
      </c>
      <c r="F84" s="2" t="s">
        <v>89</v>
      </c>
      <c r="G84" s="6" t="s">
        <v>1755</v>
      </c>
      <c r="H84" s="70">
        <v>50</v>
      </c>
      <c r="I84" s="72">
        <f>FastenersPriceList345[[#This Row],[Quantity (kg)]]/FastenersPriceList345[[#This Row],[SINGLE PC. WT.]]</f>
        <v>670.06164567140172</v>
      </c>
      <c r="J84" s="3">
        <v>165</v>
      </c>
      <c r="K84" s="3">
        <f>FastenersPriceList345[[#This Row],[1000 PCS/WT.]]*FastenersPriceList345[[#This Row],[Rate / PER kg (₹)]]</f>
        <v>12312.300000000001</v>
      </c>
      <c r="L84" s="4">
        <f>FastenersPriceList345[[#This Row],[Rate / PER kg (₹)]]*FastenersPriceList345[[#This Row],[Quantity (kg)]]</f>
        <v>8250</v>
      </c>
      <c r="M84" s="4">
        <f>FastenersPriceList345[[#This Row],[SINGLE PC. WT.]]*FastenersPriceList345[[#This Row],[Rate / PER kg (₹)]]</f>
        <v>12.3123</v>
      </c>
    </row>
    <row r="85" spans="1:13" ht="22.05" customHeight="1" x14ac:dyDescent="0.3">
      <c r="A85" s="2" t="s">
        <v>2259</v>
      </c>
      <c r="B85" s="12" t="s">
        <v>8</v>
      </c>
      <c r="C85" s="12">
        <v>12.9</v>
      </c>
      <c r="D85" s="2">
        <v>79.02</v>
      </c>
      <c r="E85" s="2">
        <f>FastenersPriceList345[[#This Row],[1000 PCS/WT.]]/1000</f>
        <v>7.9019999999999993E-2</v>
      </c>
      <c r="F85" s="2" t="s">
        <v>90</v>
      </c>
      <c r="G85" s="6" t="s">
        <v>1755</v>
      </c>
      <c r="H85" s="70">
        <v>50</v>
      </c>
      <c r="I85" s="72">
        <f>FastenersPriceList345[[#This Row],[Quantity (kg)]]/FastenersPriceList345[[#This Row],[SINGLE PC. WT.]]</f>
        <v>632.75120222728424</v>
      </c>
      <c r="J85" s="3">
        <v>165</v>
      </c>
      <c r="K85" s="3">
        <f>FastenersPriceList345[[#This Row],[1000 PCS/WT.]]*FastenersPriceList345[[#This Row],[Rate / PER kg (₹)]]</f>
        <v>13038.3</v>
      </c>
      <c r="L85" s="4">
        <f>FastenersPriceList345[[#This Row],[Rate / PER kg (₹)]]*FastenersPriceList345[[#This Row],[Quantity (kg)]]</f>
        <v>8250</v>
      </c>
      <c r="M85" s="4">
        <f>FastenersPriceList345[[#This Row],[SINGLE PC. WT.]]*FastenersPriceList345[[#This Row],[Rate / PER kg (₹)]]</f>
        <v>13.0383</v>
      </c>
    </row>
    <row r="86" spans="1:13" ht="22.05" customHeight="1" x14ac:dyDescent="0.3">
      <c r="A86" s="2" t="s">
        <v>2260</v>
      </c>
      <c r="B86" s="12" t="s">
        <v>8</v>
      </c>
      <c r="C86" s="12">
        <v>12.9</v>
      </c>
      <c r="D86" s="2">
        <v>83.42</v>
      </c>
      <c r="E86" s="2">
        <f>FastenersPriceList345[[#This Row],[1000 PCS/WT.]]/1000</f>
        <v>8.3420000000000008E-2</v>
      </c>
      <c r="F86" s="2" t="s">
        <v>91</v>
      </c>
      <c r="G86" s="6" t="s">
        <v>1755</v>
      </c>
      <c r="H86" s="70">
        <v>50</v>
      </c>
      <c r="I86" s="72">
        <f>FastenersPriceList345[[#This Row],[Quantity (kg)]]/FastenersPriceList345[[#This Row],[SINGLE PC. WT.]]</f>
        <v>599.37664828578272</v>
      </c>
      <c r="J86" s="3">
        <v>165</v>
      </c>
      <c r="K86" s="3">
        <f>FastenersPriceList345[[#This Row],[1000 PCS/WT.]]*FastenersPriceList345[[#This Row],[Rate / PER kg (₹)]]</f>
        <v>13764.300000000001</v>
      </c>
      <c r="L86" s="4">
        <f>FastenersPriceList345[[#This Row],[Rate / PER kg (₹)]]*FastenersPriceList345[[#This Row],[Quantity (kg)]]</f>
        <v>8250</v>
      </c>
      <c r="M86" s="4">
        <f>FastenersPriceList345[[#This Row],[SINGLE PC. WT.]]*FastenersPriceList345[[#This Row],[Rate / PER kg (₹)]]</f>
        <v>13.764300000000002</v>
      </c>
    </row>
    <row r="87" spans="1:13" ht="22.05" customHeight="1" x14ac:dyDescent="0.3">
      <c r="A87" s="2" t="s">
        <v>2261</v>
      </c>
      <c r="B87" s="12" t="s">
        <v>8</v>
      </c>
      <c r="C87" s="12">
        <v>12.9</v>
      </c>
      <c r="D87" s="2">
        <v>87.82</v>
      </c>
      <c r="E87" s="2">
        <f>FastenersPriceList345[[#This Row],[1000 PCS/WT.]]/1000</f>
        <v>8.7819999999999995E-2</v>
      </c>
      <c r="F87" s="2" t="s">
        <v>92</v>
      </c>
      <c r="G87" s="6" t="s">
        <v>1755</v>
      </c>
      <c r="H87" s="70">
        <v>50</v>
      </c>
      <c r="I87" s="72">
        <f>FastenersPriceList345[[#This Row],[Quantity (kg)]]/FastenersPriceList345[[#This Row],[SINGLE PC. WT.]]</f>
        <v>569.34639034388522</v>
      </c>
      <c r="J87" s="3">
        <v>165</v>
      </c>
      <c r="K87" s="3">
        <f>FastenersPriceList345[[#This Row],[1000 PCS/WT.]]*FastenersPriceList345[[#This Row],[Rate / PER kg (₹)]]</f>
        <v>14490.3</v>
      </c>
      <c r="L87" s="4">
        <f>FastenersPriceList345[[#This Row],[Rate / PER kg (₹)]]*FastenersPriceList345[[#This Row],[Quantity (kg)]]</f>
        <v>8250</v>
      </c>
      <c r="M87" s="4">
        <f>FastenersPriceList345[[#This Row],[SINGLE PC. WT.]]*FastenersPriceList345[[#This Row],[Rate / PER kg (₹)]]</f>
        <v>14.4903</v>
      </c>
    </row>
    <row r="88" spans="1:13" ht="22.05" customHeight="1" x14ac:dyDescent="0.3">
      <c r="A88" s="2" t="s">
        <v>2262</v>
      </c>
      <c r="B88" s="12" t="s">
        <v>8</v>
      </c>
      <c r="C88" s="12">
        <v>12.9</v>
      </c>
      <c r="D88" s="2">
        <v>92.22</v>
      </c>
      <c r="E88" s="2">
        <f>FastenersPriceList345[[#This Row],[1000 PCS/WT.]]/1000</f>
        <v>9.2219999999999996E-2</v>
      </c>
      <c r="F88" s="2" t="s">
        <v>93</v>
      </c>
      <c r="G88" s="6" t="s">
        <v>1755</v>
      </c>
      <c r="H88" s="70">
        <v>50</v>
      </c>
      <c r="I88" s="72">
        <f>FastenersPriceList345[[#This Row],[Quantity (kg)]]/FastenersPriceList345[[#This Row],[SINGLE PC. WT.]]</f>
        <v>542.18173931901981</v>
      </c>
      <c r="J88" s="3">
        <v>165</v>
      </c>
      <c r="K88" s="3">
        <f>FastenersPriceList345[[#This Row],[1000 PCS/WT.]]*FastenersPriceList345[[#This Row],[Rate / PER kg (₹)]]</f>
        <v>15216.3</v>
      </c>
      <c r="L88" s="4">
        <f>FastenersPriceList345[[#This Row],[Rate / PER kg (₹)]]*FastenersPriceList345[[#This Row],[Quantity (kg)]]</f>
        <v>8250</v>
      </c>
      <c r="M88" s="4">
        <f>FastenersPriceList345[[#This Row],[SINGLE PC. WT.]]*FastenersPriceList345[[#This Row],[Rate / PER kg (₹)]]</f>
        <v>15.216299999999999</v>
      </c>
    </row>
    <row r="89" spans="1:13" ht="22.05" customHeight="1" x14ac:dyDescent="0.3">
      <c r="A89" s="2" t="s">
        <v>2263</v>
      </c>
      <c r="B89" s="12" t="s">
        <v>8</v>
      </c>
      <c r="C89" s="12">
        <v>12.9</v>
      </c>
      <c r="D89" s="2">
        <v>96.62</v>
      </c>
      <c r="E89" s="2">
        <f>FastenersPriceList345[[#This Row],[1000 PCS/WT.]]/1000</f>
        <v>9.6620000000000011E-2</v>
      </c>
      <c r="F89" s="2" t="s">
        <v>94</v>
      </c>
      <c r="G89" s="6" t="s">
        <v>1755</v>
      </c>
      <c r="H89" s="70">
        <v>50</v>
      </c>
      <c r="I89" s="72">
        <f>FastenersPriceList345[[#This Row],[Quantity (kg)]]/FastenersPriceList345[[#This Row],[SINGLE PC. WT.]]</f>
        <v>517.49120264955491</v>
      </c>
      <c r="J89" s="3">
        <v>165</v>
      </c>
      <c r="K89" s="3">
        <f>FastenersPriceList345[[#This Row],[1000 PCS/WT.]]*FastenersPriceList345[[#This Row],[Rate / PER kg (₹)]]</f>
        <v>15942.300000000001</v>
      </c>
      <c r="L89" s="4">
        <f>FastenersPriceList345[[#This Row],[Rate / PER kg (₹)]]*FastenersPriceList345[[#This Row],[Quantity (kg)]]</f>
        <v>8250</v>
      </c>
      <c r="M89" s="4">
        <f>FastenersPriceList345[[#This Row],[SINGLE PC. WT.]]*FastenersPriceList345[[#This Row],[Rate / PER kg (₹)]]</f>
        <v>15.942300000000001</v>
      </c>
    </row>
    <row r="90" spans="1:13" ht="22.05" customHeight="1" x14ac:dyDescent="0.3">
      <c r="A90" s="2" t="s">
        <v>2264</v>
      </c>
      <c r="B90" s="12" t="s">
        <v>8</v>
      </c>
      <c r="C90" s="12">
        <v>12.9</v>
      </c>
      <c r="D90" s="2">
        <v>101.02</v>
      </c>
      <c r="E90" s="2">
        <f>FastenersPriceList345[[#This Row],[1000 PCS/WT.]]/1000</f>
        <v>0.10102</v>
      </c>
      <c r="F90" s="2" t="s">
        <v>95</v>
      </c>
      <c r="G90" s="6" t="s">
        <v>1755</v>
      </c>
      <c r="H90" s="70">
        <v>50</v>
      </c>
      <c r="I90" s="72">
        <f>FastenersPriceList345[[#This Row],[Quantity (kg)]]/FastenersPriceList345[[#This Row],[SINGLE PC. WT.]]</f>
        <v>494.95149475351417</v>
      </c>
      <c r="J90" s="3">
        <v>165</v>
      </c>
      <c r="K90" s="3">
        <f>FastenersPriceList345[[#This Row],[1000 PCS/WT.]]*FastenersPriceList345[[#This Row],[Rate / PER kg (₹)]]</f>
        <v>16668.3</v>
      </c>
      <c r="L90" s="4">
        <f>FastenersPriceList345[[#This Row],[Rate / PER kg (₹)]]*FastenersPriceList345[[#This Row],[Quantity (kg)]]</f>
        <v>8250</v>
      </c>
      <c r="M90" s="4">
        <f>FastenersPriceList345[[#This Row],[SINGLE PC. WT.]]*FastenersPriceList345[[#This Row],[Rate / PER kg (₹)]]</f>
        <v>16.668299999999999</v>
      </c>
    </row>
    <row r="91" spans="1:13" ht="22.05" customHeight="1" x14ac:dyDescent="0.3">
      <c r="A91" s="2" t="s">
        <v>2265</v>
      </c>
      <c r="B91" s="12" t="s">
        <v>8</v>
      </c>
      <c r="C91" s="12">
        <v>12.9</v>
      </c>
      <c r="D91" s="2">
        <v>110</v>
      </c>
      <c r="E91" s="2">
        <f>FastenersPriceList345[[#This Row],[1000 PCS/WT.]]/1000</f>
        <v>0.11</v>
      </c>
      <c r="F91" s="2" t="s">
        <v>96</v>
      </c>
      <c r="G91" s="6" t="s">
        <v>1755</v>
      </c>
      <c r="H91" s="70">
        <v>50</v>
      </c>
      <c r="I91" s="72">
        <f>FastenersPriceList345[[#This Row],[Quantity (kg)]]/FastenersPriceList345[[#This Row],[SINGLE PC. WT.]]</f>
        <v>454.54545454545456</v>
      </c>
      <c r="J91" s="3">
        <v>165</v>
      </c>
      <c r="K91" s="3">
        <f>FastenersPriceList345[[#This Row],[1000 PCS/WT.]]*FastenersPriceList345[[#This Row],[Rate / PER kg (₹)]]</f>
        <v>18150</v>
      </c>
      <c r="L91" s="4">
        <f>FastenersPriceList345[[#This Row],[Rate / PER kg (₹)]]*FastenersPriceList345[[#This Row],[Quantity (kg)]]</f>
        <v>8250</v>
      </c>
      <c r="M91" s="4">
        <f>FastenersPriceList345[[#This Row],[SINGLE PC. WT.]]*FastenersPriceList345[[#This Row],[Rate / PER kg (₹)]]</f>
        <v>18.149999999999999</v>
      </c>
    </row>
    <row r="92" spans="1:13" ht="22.05" customHeight="1" x14ac:dyDescent="0.3">
      <c r="A92" s="2" t="s">
        <v>2266</v>
      </c>
      <c r="B92" s="12" t="s">
        <v>8</v>
      </c>
      <c r="C92" s="12">
        <v>12.9</v>
      </c>
      <c r="D92" s="2">
        <v>119</v>
      </c>
      <c r="E92" s="2">
        <f>FastenersPriceList345[[#This Row],[1000 PCS/WT.]]/1000</f>
        <v>0.11899999999999999</v>
      </c>
      <c r="F92" s="2" t="s">
        <v>97</v>
      </c>
      <c r="G92" s="6" t="s">
        <v>1755</v>
      </c>
      <c r="H92" s="70">
        <v>50</v>
      </c>
      <c r="I92" s="72">
        <f>FastenersPriceList345[[#This Row],[Quantity (kg)]]/FastenersPriceList345[[#This Row],[SINGLE PC. WT.]]</f>
        <v>420.1680672268908</v>
      </c>
      <c r="J92" s="3">
        <v>165</v>
      </c>
      <c r="K92" s="3">
        <f>FastenersPriceList345[[#This Row],[1000 PCS/WT.]]*FastenersPriceList345[[#This Row],[Rate / PER kg (₹)]]</f>
        <v>19635</v>
      </c>
      <c r="L92" s="4">
        <f>FastenersPriceList345[[#This Row],[Rate / PER kg (₹)]]*FastenersPriceList345[[#This Row],[Quantity (kg)]]</f>
        <v>8250</v>
      </c>
      <c r="M92" s="4">
        <f>FastenersPriceList345[[#This Row],[SINGLE PC. WT.]]*FastenersPriceList345[[#This Row],[Rate / PER kg (₹)]]</f>
        <v>19.634999999999998</v>
      </c>
    </row>
    <row r="93" spans="1:13" ht="22.05" customHeight="1" x14ac:dyDescent="0.3">
      <c r="A93" s="2" t="s">
        <v>2267</v>
      </c>
      <c r="B93" s="12" t="s">
        <v>8</v>
      </c>
      <c r="C93" s="12">
        <v>12.9</v>
      </c>
      <c r="D93" s="2">
        <v>127.8</v>
      </c>
      <c r="E93" s="2">
        <f>FastenersPriceList345[[#This Row],[1000 PCS/WT.]]/1000</f>
        <v>0.1278</v>
      </c>
      <c r="F93" s="2" t="s">
        <v>635</v>
      </c>
      <c r="G93" s="6" t="s">
        <v>1755</v>
      </c>
      <c r="H93" s="70">
        <v>50</v>
      </c>
      <c r="I93" s="72">
        <f>FastenersPriceList345[[#This Row],[Quantity (kg)]]/FastenersPriceList345[[#This Row],[SINGLE PC. WT.]]</f>
        <v>391.23630672926447</v>
      </c>
      <c r="J93" s="3">
        <v>165</v>
      </c>
      <c r="K93" s="3">
        <f>FastenersPriceList345[[#This Row],[1000 PCS/WT.]]*FastenersPriceList345[[#This Row],[Rate / PER kg (₹)]]</f>
        <v>21087</v>
      </c>
      <c r="L93" s="4">
        <f>FastenersPriceList345[[#This Row],[Rate / PER kg (₹)]]*FastenersPriceList345[[#This Row],[Quantity (kg)]]</f>
        <v>8250</v>
      </c>
      <c r="M93" s="4">
        <f>FastenersPriceList345[[#This Row],[SINGLE PC. WT.]]*FastenersPriceList345[[#This Row],[Rate / PER kg (₹)]]</f>
        <v>21.087</v>
      </c>
    </row>
    <row r="94" spans="1:13" ht="22.05" customHeight="1" x14ac:dyDescent="0.3">
      <c r="A94" s="2" t="s">
        <v>2268</v>
      </c>
      <c r="B94" s="12" t="s">
        <v>8</v>
      </c>
      <c r="C94" s="12">
        <v>12.9</v>
      </c>
      <c r="D94" s="2">
        <v>136.6</v>
      </c>
      <c r="E94" s="2">
        <f>FastenersPriceList345[[#This Row],[1000 PCS/WT.]]/1000</f>
        <v>0.1366</v>
      </c>
      <c r="F94" s="2" t="s">
        <v>98</v>
      </c>
      <c r="G94" s="6" t="s">
        <v>1755</v>
      </c>
      <c r="H94" s="70">
        <v>50</v>
      </c>
      <c r="I94" s="72">
        <f>FastenersPriceList345[[#This Row],[Quantity (kg)]]/FastenersPriceList345[[#This Row],[SINGLE PC. WT.]]</f>
        <v>366.03221083455344</v>
      </c>
      <c r="J94" s="3">
        <v>165</v>
      </c>
      <c r="K94" s="3">
        <f>FastenersPriceList345[[#This Row],[1000 PCS/WT.]]*FastenersPriceList345[[#This Row],[Rate / PER kg (₹)]]</f>
        <v>22539</v>
      </c>
      <c r="L94" s="4">
        <f>FastenersPriceList345[[#This Row],[Rate / PER kg (₹)]]*FastenersPriceList345[[#This Row],[Quantity (kg)]]</f>
        <v>8250</v>
      </c>
      <c r="M94" s="4">
        <f>FastenersPriceList345[[#This Row],[SINGLE PC. WT.]]*FastenersPriceList345[[#This Row],[Rate / PER kg (₹)]]</f>
        <v>22.539000000000001</v>
      </c>
    </row>
    <row r="95" spans="1:13" ht="22.05" customHeight="1" x14ac:dyDescent="0.3">
      <c r="A95" s="2" t="s">
        <v>2269</v>
      </c>
      <c r="B95" s="12" t="s">
        <v>8</v>
      </c>
      <c r="C95" s="12">
        <v>12.9</v>
      </c>
      <c r="D95" s="2">
        <v>145.4</v>
      </c>
      <c r="E95" s="2">
        <f>FastenersPriceList345[[#This Row],[1000 PCS/WT.]]/1000</f>
        <v>0.1454</v>
      </c>
      <c r="F95" s="2" t="s">
        <v>99</v>
      </c>
      <c r="G95" s="6" t="s">
        <v>1755</v>
      </c>
      <c r="H95" s="70">
        <v>50</v>
      </c>
      <c r="I95" s="72">
        <f>FastenersPriceList345[[#This Row],[Quantity (kg)]]/FastenersPriceList345[[#This Row],[SINGLE PC. WT.]]</f>
        <v>343.87895460797802</v>
      </c>
      <c r="J95" s="3">
        <v>165</v>
      </c>
      <c r="K95" s="3">
        <f>FastenersPriceList345[[#This Row],[1000 PCS/WT.]]*FastenersPriceList345[[#This Row],[Rate / PER kg (₹)]]</f>
        <v>23991</v>
      </c>
      <c r="L95" s="4">
        <f>FastenersPriceList345[[#This Row],[Rate / PER kg (₹)]]*FastenersPriceList345[[#This Row],[Quantity (kg)]]</f>
        <v>8250</v>
      </c>
      <c r="M95" s="4">
        <f>FastenersPriceList345[[#This Row],[SINGLE PC. WT.]]*FastenersPriceList345[[#This Row],[Rate / PER kg (₹)]]</f>
        <v>23.991</v>
      </c>
    </row>
    <row r="96" spans="1:13" ht="22.05" customHeight="1" x14ac:dyDescent="0.3">
      <c r="A96" s="2" t="s">
        <v>2270</v>
      </c>
      <c r="B96" s="12" t="s">
        <v>8</v>
      </c>
      <c r="C96" s="12">
        <v>12.9</v>
      </c>
      <c r="D96" s="2">
        <v>154.19999999999999</v>
      </c>
      <c r="E96" s="2">
        <f>FastenersPriceList345[[#This Row],[1000 PCS/WT.]]/1000</f>
        <v>0.15419999999999998</v>
      </c>
      <c r="F96" s="2" t="s">
        <v>100</v>
      </c>
      <c r="G96" s="6" t="s">
        <v>1755</v>
      </c>
      <c r="H96" s="70">
        <v>50</v>
      </c>
      <c r="I96" s="72">
        <f>FastenersPriceList345[[#This Row],[Quantity (kg)]]/FastenersPriceList345[[#This Row],[SINGLE PC. WT.]]</f>
        <v>324.254215304799</v>
      </c>
      <c r="J96" s="3">
        <v>165</v>
      </c>
      <c r="K96" s="3">
        <f>FastenersPriceList345[[#This Row],[1000 PCS/WT.]]*FastenersPriceList345[[#This Row],[Rate / PER kg (₹)]]</f>
        <v>25442.999999999996</v>
      </c>
      <c r="L96" s="4">
        <f>FastenersPriceList345[[#This Row],[Rate / PER kg (₹)]]*FastenersPriceList345[[#This Row],[Quantity (kg)]]</f>
        <v>8250</v>
      </c>
      <c r="M96" s="4">
        <f>FastenersPriceList345[[#This Row],[SINGLE PC. WT.]]*FastenersPriceList345[[#This Row],[Rate / PER kg (₹)]]</f>
        <v>25.442999999999994</v>
      </c>
    </row>
    <row r="97" spans="1:13" ht="22.05" customHeight="1" x14ac:dyDescent="0.3">
      <c r="A97" s="2" t="s">
        <v>2271</v>
      </c>
      <c r="B97" s="12" t="s">
        <v>8</v>
      </c>
      <c r="C97" s="12">
        <v>12.9</v>
      </c>
      <c r="D97" s="2">
        <v>163</v>
      </c>
      <c r="E97" s="2">
        <f>FastenersPriceList345[[#This Row],[1000 PCS/WT.]]/1000</f>
        <v>0.16300000000000001</v>
      </c>
      <c r="F97" s="2" t="s">
        <v>101</v>
      </c>
      <c r="G97" s="6" t="s">
        <v>1755</v>
      </c>
      <c r="H97" s="70">
        <v>50</v>
      </c>
      <c r="I97" s="72">
        <f>FastenersPriceList345[[#This Row],[Quantity (kg)]]/FastenersPriceList345[[#This Row],[SINGLE PC. WT.]]</f>
        <v>306.74846625766872</v>
      </c>
      <c r="J97" s="3">
        <v>165</v>
      </c>
      <c r="K97" s="3">
        <f>FastenersPriceList345[[#This Row],[1000 PCS/WT.]]*FastenersPriceList345[[#This Row],[Rate / PER kg (₹)]]</f>
        <v>26895</v>
      </c>
      <c r="L97" s="4">
        <f>FastenersPriceList345[[#This Row],[Rate / PER kg (₹)]]*FastenersPriceList345[[#This Row],[Quantity (kg)]]</f>
        <v>8250</v>
      </c>
      <c r="M97" s="4">
        <f>FastenersPriceList345[[#This Row],[SINGLE PC. WT.]]*FastenersPriceList345[[#This Row],[Rate / PER kg (₹)]]</f>
        <v>26.895</v>
      </c>
    </row>
    <row r="98" spans="1:13" ht="22.05" customHeight="1" x14ac:dyDescent="0.3">
      <c r="A98" s="2" t="s">
        <v>2272</v>
      </c>
      <c r="B98" s="12" t="s">
        <v>8</v>
      </c>
      <c r="C98" s="12">
        <v>12.9</v>
      </c>
      <c r="D98" s="2">
        <v>172</v>
      </c>
      <c r="E98" s="2">
        <f>FastenersPriceList345[[#This Row],[1000 PCS/WT.]]/1000</f>
        <v>0.17199999999999999</v>
      </c>
      <c r="F98" s="2" t="s">
        <v>102</v>
      </c>
      <c r="G98" s="6" t="s">
        <v>1755</v>
      </c>
      <c r="H98" s="70">
        <v>50</v>
      </c>
      <c r="I98" s="72">
        <f>FastenersPriceList345[[#This Row],[Quantity (kg)]]/FastenersPriceList345[[#This Row],[SINGLE PC. WT.]]</f>
        <v>290.69767441860466</v>
      </c>
      <c r="J98" s="3">
        <v>165</v>
      </c>
      <c r="K98" s="3">
        <f>FastenersPriceList345[[#This Row],[1000 PCS/WT.]]*FastenersPriceList345[[#This Row],[Rate / PER kg (₹)]]</f>
        <v>28380</v>
      </c>
      <c r="L98" s="4">
        <f>FastenersPriceList345[[#This Row],[Rate / PER kg (₹)]]*FastenersPriceList345[[#This Row],[Quantity (kg)]]</f>
        <v>8250</v>
      </c>
      <c r="M98" s="4">
        <f>FastenersPriceList345[[#This Row],[SINGLE PC. WT.]]*FastenersPriceList345[[#This Row],[Rate / PER kg (₹)]]</f>
        <v>28.38</v>
      </c>
    </row>
    <row r="99" spans="1:13" ht="22.05" customHeight="1" x14ac:dyDescent="0.3">
      <c r="A99" s="2" t="s">
        <v>2273</v>
      </c>
      <c r="B99" s="12" t="s">
        <v>8</v>
      </c>
      <c r="C99" s="12">
        <v>12.9</v>
      </c>
      <c r="D99" s="2">
        <v>181</v>
      </c>
      <c r="E99" s="2">
        <f>FastenersPriceList345[[#This Row],[1000 PCS/WT.]]/1000</f>
        <v>0.18099999999999999</v>
      </c>
      <c r="F99" s="2" t="s">
        <v>103</v>
      </c>
      <c r="G99" s="6" t="s">
        <v>1755</v>
      </c>
      <c r="H99" s="70">
        <v>50</v>
      </c>
      <c r="I99" s="72">
        <f>FastenersPriceList345[[#This Row],[Quantity (kg)]]/FastenersPriceList345[[#This Row],[SINGLE PC. WT.]]</f>
        <v>276.24309392265195</v>
      </c>
      <c r="J99" s="3">
        <v>165</v>
      </c>
      <c r="K99" s="3">
        <f>FastenersPriceList345[[#This Row],[1000 PCS/WT.]]*FastenersPriceList345[[#This Row],[Rate / PER kg (₹)]]</f>
        <v>29865</v>
      </c>
      <c r="L99" s="4">
        <f>FastenersPriceList345[[#This Row],[Rate / PER kg (₹)]]*FastenersPriceList345[[#This Row],[Quantity (kg)]]</f>
        <v>8250</v>
      </c>
      <c r="M99" s="4">
        <f>FastenersPriceList345[[#This Row],[SINGLE PC. WT.]]*FastenersPriceList345[[#This Row],[Rate / PER kg (₹)]]</f>
        <v>29.864999999999998</v>
      </c>
    </row>
    <row r="100" spans="1:13" ht="22.05" customHeight="1" x14ac:dyDescent="0.3">
      <c r="A100" s="2" t="s">
        <v>2274</v>
      </c>
      <c r="B100" s="12" t="s">
        <v>8</v>
      </c>
      <c r="C100" s="12">
        <v>12.9</v>
      </c>
      <c r="D100" s="2">
        <v>190</v>
      </c>
      <c r="E100" s="2">
        <f>FastenersPriceList345[[#This Row],[1000 PCS/WT.]]/1000</f>
        <v>0.19</v>
      </c>
      <c r="F100" s="2" t="s">
        <v>104</v>
      </c>
      <c r="G100" s="6" t="s">
        <v>1755</v>
      </c>
      <c r="H100" s="70">
        <v>50</v>
      </c>
      <c r="I100" s="72">
        <f>FastenersPriceList345[[#This Row],[Quantity (kg)]]/FastenersPriceList345[[#This Row],[SINGLE PC. WT.]]</f>
        <v>263.15789473684208</v>
      </c>
      <c r="J100" s="3">
        <v>165</v>
      </c>
      <c r="K100" s="3">
        <f>FastenersPriceList345[[#This Row],[1000 PCS/WT.]]*FastenersPriceList345[[#This Row],[Rate / PER kg (₹)]]</f>
        <v>31350</v>
      </c>
      <c r="L100" s="4">
        <f>FastenersPriceList345[[#This Row],[Rate / PER kg (₹)]]*FastenersPriceList345[[#This Row],[Quantity (kg)]]</f>
        <v>8250</v>
      </c>
      <c r="M100" s="4">
        <f>FastenersPriceList345[[#This Row],[SINGLE PC. WT.]]*FastenersPriceList345[[#This Row],[Rate / PER kg (₹)]]</f>
        <v>31.35</v>
      </c>
    </row>
    <row r="101" spans="1:13" ht="22.05" customHeight="1" x14ac:dyDescent="0.3">
      <c r="A101" s="2" t="s">
        <v>2275</v>
      </c>
      <c r="B101" s="12" t="s">
        <v>8</v>
      </c>
      <c r="C101" s="12">
        <v>12.9</v>
      </c>
      <c r="D101" s="2">
        <v>53.02</v>
      </c>
      <c r="E101" s="2">
        <f>FastenersPriceList345[[#This Row],[1000 PCS/WT.]]/1000</f>
        <v>5.3020000000000005E-2</v>
      </c>
      <c r="F101" s="2" t="s">
        <v>105</v>
      </c>
      <c r="G101" s="6" t="s">
        <v>1755</v>
      </c>
      <c r="H101" s="70">
        <v>50</v>
      </c>
      <c r="I101" s="72">
        <f>FastenersPriceList345[[#This Row],[Quantity (kg)]]/FastenersPriceList345[[#This Row],[SINGLE PC. WT.]]</f>
        <v>943.04036212749895</v>
      </c>
      <c r="J101" s="3">
        <v>165</v>
      </c>
      <c r="K101" s="3">
        <f>FastenersPriceList345[[#This Row],[1000 PCS/WT.]]*FastenersPriceList345[[#This Row],[Rate / PER kg (₹)]]</f>
        <v>8748.3000000000011</v>
      </c>
      <c r="L101" s="4">
        <f>FastenersPriceList345[[#This Row],[Rate / PER kg (₹)]]*FastenersPriceList345[[#This Row],[Quantity (kg)]]</f>
        <v>8250</v>
      </c>
      <c r="M101" s="4">
        <f>FastenersPriceList345[[#This Row],[SINGLE PC. WT.]]*FastenersPriceList345[[#This Row],[Rate / PER kg (₹)]]</f>
        <v>8.7483000000000004</v>
      </c>
    </row>
    <row r="102" spans="1:13" ht="22.05" customHeight="1" x14ac:dyDescent="0.3">
      <c r="A102" s="2" t="s">
        <v>2276</v>
      </c>
      <c r="B102" s="12" t="s">
        <v>8</v>
      </c>
      <c r="C102" s="12">
        <v>12.9</v>
      </c>
      <c r="D102" s="2">
        <v>57.94</v>
      </c>
      <c r="E102" s="2">
        <f>FastenersPriceList345[[#This Row],[1000 PCS/WT.]]/1000</f>
        <v>5.7939999999999998E-2</v>
      </c>
      <c r="F102" s="2" t="s">
        <v>106</v>
      </c>
      <c r="G102" s="6" t="s">
        <v>1755</v>
      </c>
      <c r="H102" s="70">
        <v>50</v>
      </c>
      <c r="I102" s="72">
        <f>FastenersPriceList345[[#This Row],[Quantity (kg)]]/FastenersPriceList345[[#This Row],[SINGLE PC. WT.]]</f>
        <v>862.9616845012082</v>
      </c>
      <c r="J102" s="3">
        <v>165</v>
      </c>
      <c r="K102" s="3">
        <f>FastenersPriceList345[[#This Row],[1000 PCS/WT.]]*FastenersPriceList345[[#This Row],[Rate / PER kg (₹)]]</f>
        <v>9560.1</v>
      </c>
      <c r="L102" s="4">
        <f>FastenersPriceList345[[#This Row],[Rate / PER kg (₹)]]*FastenersPriceList345[[#This Row],[Quantity (kg)]]</f>
        <v>8250</v>
      </c>
      <c r="M102" s="4">
        <f>FastenersPriceList345[[#This Row],[SINGLE PC. WT.]]*FastenersPriceList345[[#This Row],[Rate / PER kg (₹)]]</f>
        <v>9.5601000000000003</v>
      </c>
    </row>
    <row r="103" spans="1:13" ht="22.05" customHeight="1" x14ac:dyDescent="0.3">
      <c r="A103" s="2" t="s">
        <v>2277</v>
      </c>
      <c r="B103" s="12" t="s">
        <v>8</v>
      </c>
      <c r="C103" s="12">
        <v>12.9</v>
      </c>
      <c r="D103" s="2">
        <v>62.97</v>
      </c>
      <c r="E103" s="2">
        <f>FastenersPriceList345[[#This Row],[1000 PCS/WT.]]/1000</f>
        <v>6.2969999999999998E-2</v>
      </c>
      <c r="F103" s="2" t="s">
        <v>107</v>
      </c>
      <c r="G103" s="6" t="s">
        <v>1755</v>
      </c>
      <c r="H103" s="70">
        <v>50</v>
      </c>
      <c r="I103" s="72">
        <f>FastenersPriceList345[[#This Row],[Quantity (kg)]]/FastenersPriceList345[[#This Row],[SINGLE PC. WT.]]</f>
        <v>794.02890265205656</v>
      </c>
      <c r="J103" s="3">
        <v>165</v>
      </c>
      <c r="K103" s="3">
        <f>FastenersPriceList345[[#This Row],[1000 PCS/WT.]]*FastenersPriceList345[[#This Row],[Rate / PER kg (₹)]]</f>
        <v>10390.049999999999</v>
      </c>
      <c r="L103" s="4">
        <f>FastenersPriceList345[[#This Row],[Rate / PER kg (₹)]]*FastenersPriceList345[[#This Row],[Quantity (kg)]]</f>
        <v>8250</v>
      </c>
      <c r="M103" s="4">
        <f>FastenersPriceList345[[#This Row],[SINGLE PC. WT.]]*FastenersPriceList345[[#This Row],[Rate / PER kg (₹)]]</f>
        <v>10.39005</v>
      </c>
    </row>
    <row r="104" spans="1:13" ht="22.05" customHeight="1" x14ac:dyDescent="0.3">
      <c r="A104" s="2" t="s">
        <v>2278</v>
      </c>
      <c r="B104" s="12" t="s">
        <v>8</v>
      </c>
      <c r="C104" s="12">
        <v>12.9</v>
      </c>
      <c r="D104" s="2">
        <v>67.930000000000007</v>
      </c>
      <c r="E104" s="2">
        <f>FastenersPriceList345[[#This Row],[1000 PCS/WT.]]/1000</f>
        <v>6.7930000000000004E-2</v>
      </c>
      <c r="F104" s="2" t="s">
        <v>108</v>
      </c>
      <c r="G104" s="6" t="s">
        <v>1755</v>
      </c>
      <c r="H104" s="70">
        <v>50</v>
      </c>
      <c r="I104" s="72">
        <f>FastenersPriceList345[[#This Row],[Quantity (kg)]]/FastenersPriceList345[[#This Row],[SINGLE PC. WT.]]</f>
        <v>736.05181804799054</v>
      </c>
      <c r="J104" s="3">
        <v>165</v>
      </c>
      <c r="K104" s="3">
        <f>FastenersPriceList345[[#This Row],[1000 PCS/WT.]]*FastenersPriceList345[[#This Row],[Rate / PER kg (₹)]]</f>
        <v>11208.45</v>
      </c>
      <c r="L104" s="4">
        <f>FastenersPriceList345[[#This Row],[Rate / PER kg (₹)]]*FastenersPriceList345[[#This Row],[Quantity (kg)]]</f>
        <v>8250</v>
      </c>
      <c r="M104" s="4">
        <f>FastenersPriceList345[[#This Row],[SINGLE PC. WT.]]*FastenersPriceList345[[#This Row],[Rate / PER kg (₹)]]</f>
        <v>11.208450000000001</v>
      </c>
    </row>
    <row r="105" spans="1:13" ht="22.05" customHeight="1" x14ac:dyDescent="0.3">
      <c r="A105" s="2" t="s">
        <v>2279</v>
      </c>
      <c r="B105" s="12" t="s">
        <v>8</v>
      </c>
      <c r="C105" s="12">
        <v>12.9</v>
      </c>
      <c r="D105" s="2">
        <v>72.97</v>
      </c>
      <c r="E105" s="2">
        <f>FastenersPriceList345[[#This Row],[1000 PCS/WT.]]/1000</f>
        <v>7.2969999999999993E-2</v>
      </c>
      <c r="F105" s="2" t="s">
        <v>109</v>
      </c>
      <c r="G105" s="6" t="s">
        <v>1755</v>
      </c>
      <c r="H105" s="70">
        <v>50</v>
      </c>
      <c r="I105" s="72">
        <f>FastenersPriceList345[[#This Row],[Quantity (kg)]]/FastenersPriceList345[[#This Row],[SINGLE PC. WT.]]</f>
        <v>685.21310127449647</v>
      </c>
      <c r="J105" s="3">
        <v>165</v>
      </c>
      <c r="K105" s="3">
        <f>FastenersPriceList345[[#This Row],[1000 PCS/WT.]]*FastenersPriceList345[[#This Row],[Rate / PER kg (₹)]]</f>
        <v>12040.05</v>
      </c>
      <c r="L105" s="4">
        <f>FastenersPriceList345[[#This Row],[Rate / PER kg (₹)]]*FastenersPriceList345[[#This Row],[Quantity (kg)]]</f>
        <v>8250</v>
      </c>
      <c r="M105" s="4">
        <f>FastenersPriceList345[[#This Row],[SINGLE PC. WT.]]*FastenersPriceList345[[#This Row],[Rate / PER kg (₹)]]</f>
        <v>12.040049999999999</v>
      </c>
    </row>
    <row r="106" spans="1:13" ht="22.05" customHeight="1" x14ac:dyDescent="0.3">
      <c r="A106" s="2" t="s">
        <v>2280</v>
      </c>
      <c r="B106" s="12" t="s">
        <v>8</v>
      </c>
      <c r="C106" s="12">
        <v>12.9</v>
      </c>
      <c r="D106" s="2">
        <v>78.010000000000005</v>
      </c>
      <c r="E106" s="2">
        <f>FastenersPriceList345[[#This Row],[1000 PCS/WT.]]/1000</f>
        <v>7.801000000000001E-2</v>
      </c>
      <c r="F106" s="2" t="s">
        <v>110</v>
      </c>
      <c r="G106" s="6" t="s">
        <v>1755</v>
      </c>
      <c r="H106" s="70">
        <v>50</v>
      </c>
      <c r="I106" s="72">
        <f>FastenersPriceList345[[#This Row],[Quantity (kg)]]/FastenersPriceList345[[#This Row],[SINGLE PC. WT.]]</f>
        <v>640.94346878605302</v>
      </c>
      <c r="J106" s="3">
        <v>165</v>
      </c>
      <c r="K106" s="3">
        <f>FastenersPriceList345[[#This Row],[1000 PCS/WT.]]*FastenersPriceList345[[#This Row],[Rate / PER kg (₹)]]</f>
        <v>12871.650000000001</v>
      </c>
      <c r="L106" s="4">
        <f>FastenersPriceList345[[#This Row],[Rate / PER kg (₹)]]*FastenersPriceList345[[#This Row],[Quantity (kg)]]</f>
        <v>8250</v>
      </c>
      <c r="M106" s="4">
        <f>FastenersPriceList345[[#This Row],[SINGLE PC. WT.]]*FastenersPriceList345[[#This Row],[Rate / PER kg (₹)]]</f>
        <v>12.871650000000002</v>
      </c>
    </row>
    <row r="107" spans="1:13" ht="22.05" customHeight="1" x14ac:dyDescent="0.3">
      <c r="A107" s="2" t="s">
        <v>2281</v>
      </c>
      <c r="B107" s="12" t="s">
        <v>8</v>
      </c>
      <c r="C107" s="12">
        <v>12.9</v>
      </c>
      <c r="D107" s="2">
        <v>83.05</v>
      </c>
      <c r="E107" s="2">
        <f>FastenersPriceList345[[#This Row],[1000 PCS/WT.]]/1000</f>
        <v>8.3049999999999999E-2</v>
      </c>
      <c r="F107" s="2" t="s">
        <v>111</v>
      </c>
      <c r="G107" s="6" t="s">
        <v>1755</v>
      </c>
      <c r="H107" s="70">
        <v>50</v>
      </c>
      <c r="I107" s="72">
        <f>FastenersPriceList345[[#This Row],[Quantity (kg)]]/FastenersPriceList345[[#This Row],[SINGLE PC. WT.]]</f>
        <v>602.04695966285374</v>
      </c>
      <c r="J107" s="3">
        <v>165</v>
      </c>
      <c r="K107" s="3">
        <f>FastenersPriceList345[[#This Row],[1000 PCS/WT.]]*FastenersPriceList345[[#This Row],[Rate / PER kg (₹)]]</f>
        <v>13703.25</v>
      </c>
      <c r="L107" s="4">
        <f>FastenersPriceList345[[#This Row],[Rate / PER kg (₹)]]*FastenersPriceList345[[#This Row],[Quantity (kg)]]</f>
        <v>8250</v>
      </c>
      <c r="M107" s="4">
        <f>FastenersPriceList345[[#This Row],[SINGLE PC. WT.]]*FastenersPriceList345[[#This Row],[Rate / PER kg (₹)]]</f>
        <v>13.703250000000001</v>
      </c>
    </row>
    <row r="108" spans="1:13" ht="22.05" customHeight="1" x14ac:dyDescent="0.3">
      <c r="A108" s="2" t="s">
        <v>2282</v>
      </c>
      <c r="B108" s="12" t="s">
        <v>8</v>
      </c>
      <c r="C108" s="12">
        <v>12.9</v>
      </c>
      <c r="D108" s="2">
        <v>88.09</v>
      </c>
      <c r="E108" s="2">
        <f>FastenersPriceList345[[#This Row],[1000 PCS/WT.]]/1000</f>
        <v>8.8090000000000002E-2</v>
      </c>
      <c r="F108" s="2" t="s">
        <v>112</v>
      </c>
      <c r="G108" s="6" t="s">
        <v>1755</v>
      </c>
      <c r="H108" s="70">
        <v>50</v>
      </c>
      <c r="I108" s="72">
        <f>FastenersPriceList345[[#This Row],[Quantity (kg)]]/FastenersPriceList345[[#This Row],[SINGLE PC. WT.]]</f>
        <v>567.60131683505506</v>
      </c>
      <c r="J108" s="3">
        <v>165</v>
      </c>
      <c r="K108" s="3">
        <f>FastenersPriceList345[[#This Row],[1000 PCS/WT.]]*FastenersPriceList345[[#This Row],[Rate / PER kg (₹)]]</f>
        <v>14534.85</v>
      </c>
      <c r="L108" s="4">
        <f>FastenersPriceList345[[#This Row],[Rate / PER kg (₹)]]*FastenersPriceList345[[#This Row],[Quantity (kg)]]</f>
        <v>8250</v>
      </c>
      <c r="M108" s="4">
        <f>FastenersPriceList345[[#This Row],[SINGLE PC. WT.]]*FastenersPriceList345[[#This Row],[Rate / PER kg (₹)]]</f>
        <v>14.53485</v>
      </c>
    </row>
    <row r="109" spans="1:13" ht="22.05" customHeight="1" x14ac:dyDescent="0.3">
      <c r="A109" s="2" t="s">
        <v>2283</v>
      </c>
      <c r="B109" s="12" t="s">
        <v>8</v>
      </c>
      <c r="C109" s="12">
        <v>12.9</v>
      </c>
      <c r="D109" s="2">
        <v>93.13</v>
      </c>
      <c r="E109" s="2">
        <f>FastenersPriceList345[[#This Row],[1000 PCS/WT.]]/1000</f>
        <v>9.3129999999999991E-2</v>
      </c>
      <c r="F109" s="2" t="s">
        <v>113</v>
      </c>
      <c r="G109" s="6" t="s">
        <v>1755</v>
      </c>
      <c r="H109" s="70">
        <v>50</v>
      </c>
      <c r="I109" s="72">
        <f>FastenersPriceList345[[#This Row],[Quantity (kg)]]/FastenersPriceList345[[#This Row],[SINGLE PC. WT.]]</f>
        <v>536.88392569526479</v>
      </c>
      <c r="J109" s="3">
        <v>165</v>
      </c>
      <c r="K109" s="3">
        <f>FastenersPriceList345[[#This Row],[1000 PCS/WT.]]*FastenersPriceList345[[#This Row],[Rate / PER kg (₹)]]</f>
        <v>15366.449999999999</v>
      </c>
      <c r="L109" s="4">
        <f>FastenersPriceList345[[#This Row],[Rate / PER kg (₹)]]*FastenersPriceList345[[#This Row],[Quantity (kg)]]</f>
        <v>8250</v>
      </c>
      <c r="M109" s="4">
        <f>FastenersPriceList345[[#This Row],[SINGLE PC. WT.]]*FastenersPriceList345[[#This Row],[Rate / PER kg (₹)]]</f>
        <v>15.366449999999999</v>
      </c>
    </row>
    <row r="110" spans="1:13" ht="22.05" customHeight="1" x14ac:dyDescent="0.3">
      <c r="A110" s="2" t="s">
        <v>2284</v>
      </c>
      <c r="B110" s="12" t="s">
        <v>8</v>
      </c>
      <c r="C110" s="12">
        <v>12.9</v>
      </c>
      <c r="D110" s="2">
        <v>98.17</v>
      </c>
      <c r="E110" s="2">
        <f>FastenersPriceList345[[#This Row],[1000 PCS/WT.]]/1000</f>
        <v>9.8170000000000007E-2</v>
      </c>
      <c r="F110" s="2" t="s">
        <v>114</v>
      </c>
      <c r="G110" s="6" t="s">
        <v>1755</v>
      </c>
      <c r="H110" s="70">
        <v>50</v>
      </c>
      <c r="I110" s="72">
        <f>FastenersPriceList345[[#This Row],[Quantity (kg)]]/FastenersPriceList345[[#This Row],[SINGLE PC. WT.]]</f>
        <v>509.32056636446976</v>
      </c>
      <c r="J110" s="3">
        <v>165</v>
      </c>
      <c r="K110" s="3">
        <f>FastenersPriceList345[[#This Row],[1000 PCS/WT.]]*FastenersPriceList345[[#This Row],[Rate / PER kg (₹)]]</f>
        <v>16198.050000000001</v>
      </c>
      <c r="L110" s="4">
        <f>FastenersPriceList345[[#This Row],[Rate / PER kg (₹)]]*FastenersPriceList345[[#This Row],[Quantity (kg)]]</f>
        <v>8250</v>
      </c>
      <c r="M110" s="4">
        <f>FastenersPriceList345[[#This Row],[SINGLE PC. WT.]]*FastenersPriceList345[[#This Row],[Rate / PER kg (₹)]]</f>
        <v>16.198050000000002</v>
      </c>
    </row>
    <row r="111" spans="1:13" ht="22.05" customHeight="1" x14ac:dyDescent="0.3">
      <c r="A111" s="2" t="s">
        <v>2285</v>
      </c>
      <c r="B111" s="12" t="s">
        <v>8</v>
      </c>
      <c r="C111" s="12">
        <v>12.9</v>
      </c>
      <c r="D111" s="2">
        <v>103.21</v>
      </c>
      <c r="E111" s="2">
        <f>FastenersPriceList345[[#This Row],[1000 PCS/WT.]]/1000</f>
        <v>0.10321</v>
      </c>
      <c r="F111" s="2" t="s">
        <v>115</v>
      </c>
      <c r="G111" s="6" t="s">
        <v>1755</v>
      </c>
      <c r="H111" s="70">
        <v>50</v>
      </c>
      <c r="I111" s="72">
        <f>FastenersPriceList345[[#This Row],[Quantity (kg)]]/FastenersPriceList345[[#This Row],[SINGLE PC. WT.]]</f>
        <v>484.44918128088364</v>
      </c>
      <c r="J111" s="3">
        <v>165</v>
      </c>
      <c r="K111" s="3">
        <f>FastenersPriceList345[[#This Row],[1000 PCS/WT.]]*FastenersPriceList345[[#This Row],[Rate / PER kg (₹)]]</f>
        <v>17029.649999999998</v>
      </c>
      <c r="L111" s="4">
        <f>FastenersPriceList345[[#This Row],[Rate / PER kg (₹)]]*FastenersPriceList345[[#This Row],[Quantity (kg)]]</f>
        <v>8250</v>
      </c>
      <c r="M111" s="4">
        <f>FastenersPriceList345[[#This Row],[SINGLE PC. WT.]]*FastenersPriceList345[[#This Row],[Rate / PER kg (₹)]]</f>
        <v>17.02965</v>
      </c>
    </row>
    <row r="112" spans="1:13" ht="22.05" customHeight="1" x14ac:dyDescent="0.3">
      <c r="A112" s="2" t="s">
        <v>2286</v>
      </c>
      <c r="B112" s="12" t="s">
        <v>8</v>
      </c>
      <c r="C112" s="12">
        <v>12.9</v>
      </c>
      <c r="D112" s="2">
        <v>108.25</v>
      </c>
      <c r="E112" s="2">
        <f>FastenersPriceList345[[#This Row],[1000 PCS/WT.]]/1000</f>
        <v>0.10825</v>
      </c>
      <c r="F112" s="2" t="s">
        <v>116</v>
      </c>
      <c r="G112" s="6" t="s">
        <v>1755</v>
      </c>
      <c r="H112" s="70">
        <v>50</v>
      </c>
      <c r="I112" s="72">
        <f>FastenersPriceList345[[#This Row],[Quantity (kg)]]/FastenersPriceList345[[#This Row],[SINGLE PC. WT.]]</f>
        <v>461.89376443418013</v>
      </c>
      <c r="J112" s="3">
        <v>165</v>
      </c>
      <c r="K112" s="3">
        <f>FastenersPriceList345[[#This Row],[1000 PCS/WT.]]*FastenersPriceList345[[#This Row],[Rate / PER kg (₹)]]</f>
        <v>17861.25</v>
      </c>
      <c r="L112" s="4">
        <f>FastenersPriceList345[[#This Row],[Rate / PER kg (₹)]]*FastenersPriceList345[[#This Row],[Quantity (kg)]]</f>
        <v>8250</v>
      </c>
      <c r="M112" s="4">
        <f>FastenersPriceList345[[#This Row],[SINGLE PC. WT.]]*FastenersPriceList345[[#This Row],[Rate / PER kg (₹)]]</f>
        <v>17.861249999999998</v>
      </c>
    </row>
    <row r="113" spans="1:13" ht="22.05" customHeight="1" x14ac:dyDescent="0.3">
      <c r="A113" s="2" t="s">
        <v>2287</v>
      </c>
      <c r="B113" s="12" t="s">
        <v>8</v>
      </c>
      <c r="C113" s="12">
        <v>12.9</v>
      </c>
      <c r="D113" s="2">
        <v>113.29</v>
      </c>
      <c r="E113" s="2">
        <f>FastenersPriceList345[[#This Row],[1000 PCS/WT.]]/1000</f>
        <v>0.11329</v>
      </c>
      <c r="F113" s="2" t="s">
        <v>117</v>
      </c>
      <c r="G113" s="6" t="s">
        <v>1755</v>
      </c>
      <c r="H113" s="70">
        <v>50</v>
      </c>
      <c r="I113" s="72">
        <f>FastenersPriceList345[[#This Row],[Quantity (kg)]]/FastenersPriceList345[[#This Row],[SINGLE PC. WT.]]</f>
        <v>441.34522023126488</v>
      </c>
      <c r="J113" s="3">
        <v>165</v>
      </c>
      <c r="K113" s="3">
        <f>FastenersPriceList345[[#This Row],[1000 PCS/WT.]]*FastenersPriceList345[[#This Row],[Rate / PER kg (₹)]]</f>
        <v>18692.850000000002</v>
      </c>
      <c r="L113" s="4">
        <f>FastenersPriceList345[[#This Row],[Rate / PER kg (₹)]]*FastenersPriceList345[[#This Row],[Quantity (kg)]]</f>
        <v>8250</v>
      </c>
      <c r="M113" s="4">
        <f>FastenersPriceList345[[#This Row],[SINGLE PC. WT.]]*FastenersPriceList345[[#This Row],[Rate / PER kg (₹)]]</f>
        <v>18.69285</v>
      </c>
    </row>
    <row r="114" spans="1:13" ht="22.05" customHeight="1" x14ac:dyDescent="0.3">
      <c r="A114" s="2" t="s">
        <v>2288</v>
      </c>
      <c r="B114" s="12" t="s">
        <v>8</v>
      </c>
      <c r="C114" s="12">
        <v>12.9</v>
      </c>
      <c r="D114" s="2">
        <v>118.33</v>
      </c>
      <c r="E114" s="2">
        <f>FastenersPriceList345[[#This Row],[1000 PCS/WT.]]/1000</f>
        <v>0.11833</v>
      </c>
      <c r="F114" s="2" t="s">
        <v>118</v>
      </c>
      <c r="G114" s="6" t="s">
        <v>1755</v>
      </c>
      <c r="H114" s="70">
        <v>50</v>
      </c>
      <c r="I114" s="72">
        <f>FastenersPriceList345[[#This Row],[Quantity (kg)]]/FastenersPriceList345[[#This Row],[SINGLE PC. WT.]]</f>
        <v>422.54711400321133</v>
      </c>
      <c r="J114" s="3">
        <v>165</v>
      </c>
      <c r="K114" s="3">
        <f>FastenersPriceList345[[#This Row],[1000 PCS/WT.]]*FastenersPriceList345[[#This Row],[Rate / PER kg (₹)]]</f>
        <v>19524.45</v>
      </c>
      <c r="L114" s="4">
        <f>FastenersPriceList345[[#This Row],[Rate / PER kg (₹)]]*FastenersPriceList345[[#This Row],[Quantity (kg)]]</f>
        <v>8250</v>
      </c>
      <c r="M114" s="4">
        <f>FastenersPriceList345[[#This Row],[SINGLE PC. WT.]]*FastenersPriceList345[[#This Row],[Rate / PER kg (₹)]]</f>
        <v>19.524450000000002</v>
      </c>
    </row>
    <row r="115" spans="1:13" ht="22.05" customHeight="1" x14ac:dyDescent="0.3">
      <c r="A115" s="2" t="s">
        <v>2289</v>
      </c>
      <c r="B115" s="12" t="s">
        <v>8</v>
      </c>
      <c r="C115" s="12">
        <v>12.9</v>
      </c>
      <c r="D115" s="2">
        <v>123.37</v>
      </c>
      <c r="E115" s="2">
        <f>FastenersPriceList345[[#This Row],[1000 PCS/WT.]]/1000</f>
        <v>0.12337000000000001</v>
      </c>
      <c r="F115" s="2" t="s">
        <v>119</v>
      </c>
      <c r="G115" s="6" t="s">
        <v>1755</v>
      </c>
      <c r="H115" s="70">
        <v>50</v>
      </c>
      <c r="I115" s="72">
        <f>FastenersPriceList345[[#This Row],[Quantity (kg)]]/FastenersPriceList345[[#This Row],[SINGLE PC. WT.]]</f>
        <v>405.28491529545266</v>
      </c>
      <c r="J115" s="3">
        <v>165</v>
      </c>
      <c r="K115" s="3">
        <f>FastenersPriceList345[[#This Row],[1000 PCS/WT.]]*FastenersPriceList345[[#This Row],[Rate / PER kg (₹)]]</f>
        <v>20356.05</v>
      </c>
      <c r="L115" s="4">
        <f>FastenersPriceList345[[#This Row],[Rate / PER kg (₹)]]*FastenersPriceList345[[#This Row],[Quantity (kg)]]</f>
        <v>8250</v>
      </c>
      <c r="M115" s="4">
        <f>FastenersPriceList345[[#This Row],[SINGLE PC. WT.]]*FastenersPriceList345[[#This Row],[Rate / PER kg (₹)]]</f>
        <v>20.35605</v>
      </c>
    </row>
    <row r="116" spans="1:13" ht="22.05" customHeight="1" x14ac:dyDescent="0.3">
      <c r="A116" s="2" t="s">
        <v>2290</v>
      </c>
      <c r="B116" s="12" t="s">
        <v>8</v>
      </c>
      <c r="C116" s="12">
        <v>12.9</v>
      </c>
      <c r="D116" s="2">
        <v>128.41</v>
      </c>
      <c r="E116" s="2">
        <f>FastenersPriceList345[[#This Row],[1000 PCS/WT.]]/1000</f>
        <v>0.12841</v>
      </c>
      <c r="F116" s="2" t="s">
        <v>120</v>
      </c>
      <c r="G116" s="6" t="s">
        <v>1755</v>
      </c>
      <c r="H116" s="70">
        <v>50</v>
      </c>
      <c r="I116" s="72">
        <f>FastenersPriceList345[[#This Row],[Quantity (kg)]]/FastenersPriceList345[[#This Row],[SINGLE PC. WT.]]</f>
        <v>389.37777431664199</v>
      </c>
      <c r="J116" s="3">
        <v>165</v>
      </c>
      <c r="K116" s="3">
        <f>FastenersPriceList345[[#This Row],[1000 PCS/WT.]]*FastenersPriceList345[[#This Row],[Rate / PER kg (₹)]]</f>
        <v>21187.649999999998</v>
      </c>
      <c r="L116" s="4">
        <f>FastenersPriceList345[[#This Row],[Rate / PER kg (₹)]]*FastenersPriceList345[[#This Row],[Quantity (kg)]]</f>
        <v>8250</v>
      </c>
      <c r="M116" s="4">
        <f>FastenersPriceList345[[#This Row],[SINGLE PC. WT.]]*FastenersPriceList345[[#This Row],[Rate / PER kg (₹)]]</f>
        <v>21.187649999999998</v>
      </c>
    </row>
    <row r="117" spans="1:13" ht="22.05" customHeight="1" x14ac:dyDescent="0.3">
      <c r="A117" s="2" t="s">
        <v>2291</v>
      </c>
      <c r="B117" s="12" t="s">
        <v>8</v>
      </c>
      <c r="C117" s="12">
        <v>12.9</v>
      </c>
      <c r="D117" s="2">
        <v>138.49</v>
      </c>
      <c r="E117" s="2">
        <f>FastenersPriceList345[[#This Row],[1000 PCS/WT.]]/1000</f>
        <v>0.13849</v>
      </c>
      <c r="F117" s="2" t="s">
        <v>121</v>
      </c>
      <c r="G117" s="6" t="s">
        <v>1755</v>
      </c>
      <c r="H117" s="70">
        <v>50</v>
      </c>
      <c r="I117" s="72">
        <f>FastenersPriceList345[[#This Row],[Quantity (kg)]]/FastenersPriceList345[[#This Row],[SINGLE PC. WT.]]</f>
        <v>361.03689797097263</v>
      </c>
      <c r="J117" s="3">
        <v>165</v>
      </c>
      <c r="K117" s="3">
        <f>FastenersPriceList345[[#This Row],[1000 PCS/WT.]]*FastenersPriceList345[[#This Row],[Rate / PER kg (₹)]]</f>
        <v>22850.850000000002</v>
      </c>
      <c r="L117" s="4">
        <f>FastenersPriceList345[[#This Row],[Rate / PER kg (₹)]]*FastenersPriceList345[[#This Row],[Quantity (kg)]]</f>
        <v>8250</v>
      </c>
      <c r="M117" s="4">
        <f>FastenersPriceList345[[#This Row],[SINGLE PC. WT.]]*FastenersPriceList345[[#This Row],[Rate / PER kg (₹)]]</f>
        <v>22.850850000000001</v>
      </c>
    </row>
    <row r="118" spans="1:13" ht="22.05" customHeight="1" x14ac:dyDescent="0.3">
      <c r="A118" s="2" t="s">
        <v>2292</v>
      </c>
      <c r="B118" s="12" t="s">
        <v>8</v>
      </c>
      <c r="C118" s="12">
        <v>12.9</v>
      </c>
      <c r="D118" s="2">
        <v>148.57</v>
      </c>
      <c r="E118" s="2">
        <f>FastenersPriceList345[[#This Row],[1000 PCS/WT.]]/1000</f>
        <v>0.14856999999999998</v>
      </c>
      <c r="F118" s="2" t="s">
        <v>122</v>
      </c>
      <c r="G118" s="6" t="s">
        <v>1755</v>
      </c>
      <c r="H118" s="70">
        <v>50</v>
      </c>
      <c r="I118" s="72">
        <f>FastenersPriceList345[[#This Row],[Quantity (kg)]]/FastenersPriceList345[[#This Row],[SINGLE PC. WT.]]</f>
        <v>336.5416975163223</v>
      </c>
      <c r="J118" s="3">
        <v>165</v>
      </c>
      <c r="K118" s="3">
        <f>FastenersPriceList345[[#This Row],[1000 PCS/WT.]]*FastenersPriceList345[[#This Row],[Rate / PER kg (₹)]]</f>
        <v>24514.05</v>
      </c>
      <c r="L118" s="4">
        <f>FastenersPriceList345[[#This Row],[Rate / PER kg (₹)]]*FastenersPriceList345[[#This Row],[Quantity (kg)]]</f>
        <v>8250</v>
      </c>
      <c r="M118" s="4">
        <f>FastenersPriceList345[[#This Row],[SINGLE PC. WT.]]*FastenersPriceList345[[#This Row],[Rate / PER kg (₹)]]</f>
        <v>24.514049999999997</v>
      </c>
    </row>
    <row r="119" spans="1:13" ht="22.05" customHeight="1" x14ac:dyDescent="0.3">
      <c r="A119" s="2" t="s">
        <v>2604</v>
      </c>
      <c r="B119" s="12" t="s">
        <v>8</v>
      </c>
      <c r="C119" s="12">
        <v>12.9</v>
      </c>
      <c r="D119" s="2">
        <v>158.65</v>
      </c>
      <c r="E119" s="2">
        <f>FastenersPriceList345[[#This Row],[1000 PCS/WT.]]/1000</f>
        <v>0.15865000000000001</v>
      </c>
      <c r="F119" s="2" t="s">
        <v>1326</v>
      </c>
      <c r="G119" s="6" t="s">
        <v>1755</v>
      </c>
      <c r="H119" s="70">
        <v>50</v>
      </c>
      <c r="I119" s="72">
        <f>FastenersPriceList345[[#This Row],[Quantity (kg)]]/FastenersPriceList345[[#This Row],[SINGLE PC. WT.]]</f>
        <v>315.15915537346359</v>
      </c>
      <c r="J119" s="3">
        <v>165</v>
      </c>
      <c r="K119" s="3">
        <f>FastenersPriceList345[[#This Row],[1000 PCS/WT.]]*FastenersPriceList345[[#This Row],[Rate / PER kg (₹)]]</f>
        <v>26177.25</v>
      </c>
      <c r="L119" s="4">
        <f>FastenersPriceList345[[#This Row],[Rate / PER kg (₹)]]*FastenersPriceList345[[#This Row],[Quantity (kg)]]</f>
        <v>8250</v>
      </c>
      <c r="M119" s="4">
        <f>FastenersPriceList345[[#This Row],[SINGLE PC. WT.]]*FastenersPriceList345[[#This Row],[Rate / PER kg (₹)]]</f>
        <v>26.177250000000001</v>
      </c>
    </row>
    <row r="120" spans="1:13" ht="22.05" customHeight="1" x14ac:dyDescent="0.3">
      <c r="A120" s="2" t="s">
        <v>2293</v>
      </c>
      <c r="B120" s="12" t="s">
        <v>8</v>
      </c>
      <c r="C120" s="12">
        <v>12.9</v>
      </c>
      <c r="D120" s="2">
        <v>168.73</v>
      </c>
      <c r="E120" s="2">
        <f>FastenersPriceList345[[#This Row],[1000 PCS/WT.]]/1000</f>
        <v>0.16872999999999999</v>
      </c>
      <c r="F120" s="2" t="s">
        <v>123</v>
      </c>
      <c r="G120" s="6" t="s">
        <v>1755</v>
      </c>
      <c r="H120" s="70">
        <v>50</v>
      </c>
      <c r="I120" s="72">
        <f>FastenersPriceList345[[#This Row],[Quantity (kg)]]/FastenersPriceList345[[#This Row],[SINGLE PC. WT.]]</f>
        <v>296.33141705683636</v>
      </c>
      <c r="J120" s="3">
        <v>165</v>
      </c>
      <c r="K120" s="3">
        <f>FastenersPriceList345[[#This Row],[1000 PCS/WT.]]*FastenersPriceList345[[#This Row],[Rate / PER kg (₹)]]</f>
        <v>27840.449999999997</v>
      </c>
      <c r="L120" s="4">
        <f>FastenersPriceList345[[#This Row],[Rate / PER kg (₹)]]*FastenersPriceList345[[#This Row],[Quantity (kg)]]</f>
        <v>8250</v>
      </c>
      <c r="M120" s="4">
        <f>FastenersPriceList345[[#This Row],[SINGLE PC. WT.]]*FastenersPriceList345[[#This Row],[Rate / PER kg (₹)]]</f>
        <v>27.840449999999997</v>
      </c>
    </row>
    <row r="121" spans="1:13" ht="22.05" customHeight="1" x14ac:dyDescent="0.3">
      <c r="A121" s="2" t="s">
        <v>2294</v>
      </c>
      <c r="B121" s="12" t="s">
        <v>8</v>
      </c>
      <c r="C121" s="12">
        <v>12.9</v>
      </c>
      <c r="D121" s="2">
        <v>178.81</v>
      </c>
      <c r="E121" s="2">
        <f>FastenersPriceList345[[#This Row],[1000 PCS/WT.]]/1000</f>
        <v>0.17881</v>
      </c>
      <c r="F121" s="2" t="s">
        <v>124</v>
      </c>
      <c r="G121" s="6" t="s">
        <v>1755</v>
      </c>
      <c r="H121" s="70">
        <v>50</v>
      </c>
      <c r="I121" s="72">
        <f>FastenersPriceList345[[#This Row],[Quantity (kg)]]/FastenersPriceList345[[#This Row],[SINGLE PC. WT.]]</f>
        <v>279.62641910407694</v>
      </c>
      <c r="J121" s="3">
        <v>165</v>
      </c>
      <c r="K121" s="3">
        <f>FastenersPriceList345[[#This Row],[1000 PCS/WT.]]*FastenersPriceList345[[#This Row],[Rate / PER kg (₹)]]</f>
        <v>29503.65</v>
      </c>
      <c r="L121" s="4">
        <f>FastenersPriceList345[[#This Row],[Rate / PER kg (₹)]]*FastenersPriceList345[[#This Row],[Quantity (kg)]]</f>
        <v>8250</v>
      </c>
      <c r="M121" s="4">
        <f>FastenersPriceList345[[#This Row],[SINGLE PC. WT.]]*FastenersPriceList345[[#This Row],[Rate / PER kg (₹)]]</f>
        <v>29.50365</v>
      </c>
    </row>
    <row r="122" spans="1:13" ht="22.05" customHeight="1" x14ac:dyDescent="0.3">
      <c r="A122" s="2" t="s">
        <v>2295</v>
      </c>
      <c r="B122" s="12" t="s">
        <v>8</v>
      </c>
      <c r="C122" s="12">
        <v>12.9</v>
      </c>
      <c r="D122" s="2">
        <v>188.89</v>
      </c>
      <c r="E122" s="2">
        <f>FastenersPriceList345[[#This Row],[1000 PCS/WT.]]/1000</f>
        <v>0.18888999999999997</v>
      </c>
      <c r="F122" s="2" t="s">
        <v>125</v>
      </c>
      <c r="G122" s="6" t="s">
        <v>1755</v>
      </c>
      <c r="H122" s="70">
        <v>50</v>
      </c>
      <c r="I122" s="72">
        <f>FastenersPriceList345[[#This Row],[Quantity (kg)]]/FastenersPriceList345[[#This Row],[SINGLE PC. WT.]]</f>
        <v>264.70432526867495</v>
      </c>
      <c r="J122" s="3">
        <v>165</v>
      </c>
      <c r="K122" s="3">
        <f>FastenersPriceList345[[#This Row],[1000 PCS/WT.]]*FastenersPriceList345[[#This Row],[Rate / PER kg (₹)]]</f>
        <v>31166.85</v>
      </c>
      <c r="L122" s="4">
        <f>FastenersPriceList345[[#This Row],[Rate / PER kg (₹)]]*FastenersPriceList345[[#This Row],[Quantity (kg)]]</f>
        <v>8250</v>
      </c>
      <c r="M122" s="4">
        <f>FastenersPriceList345[[#This Row],[SINGLE PC. WT.]]*FastenersPriceList345[[#This Row],[Rate / PER kg (₹)]]</f>
        <v>31.166849999999997</v>
      </c>
    </row>
    <row r="123" spans="1:13" ht="22.05" customHeight="1" x14ac:dyDescent="0.3">
      <c r="A123" s="2" t="s">
        <v>2296</v>
      </c>
      <c r="B123" s="12" t="s">
        <v>8</v>
      </c>
      <c r="C123" s="12">
        <v>12.9</v>
      </c>
      <c r="D123" s="2">
        <v>198.97</v>
      </c>
      <c r="E123" s="2">
        <f>FastenersPriceList345[[#This Row],[1000 PCS/WT.]]/1000</f>
        <v>0.19897000000000001</v>
      </c>
      <c r="F123" s="2" t="s">
        <v>126</v>
      </c>
      <c r="G123" s="6" t="s">
        <v>1755</v>
      </c>
      <c r="H123" s="70">
        <v>50</v>
      </c>
      <c r="I123" s="72">
        <f>FastenersPriceList345[[#This Row],[Quantity (kg)]]/FastenersPriceList345[[#This Row],[SINGLE PC. WT.]]</f>
        <v>251.29416494948987</v>
      </c>
      <c r="J123" s="3">
        <v>165</v>
      </c>
      <c r="K123" s="3">
        <f>FastenersPriceList345[[#This Row],[1000 PCS/WT.]]*FastenersPriceList345[[#This Row],[Rate / PER kg (₹)]]</f>
        <v>32830.050000000003</v>
      </c>
      <c r="L123" s="4">
        <f>FastenersPriceList345[[#This Row],[Rate / PER kg (₹)]]*FastenersPriceList345[[#This Row],[Quantity (kg)]]</f>
        <v>8250</v>
      </c>
      <c r="M123" s="4">
        <f>FastenersPriceList345[[#This Row],[SINGLE PC. WT.]]*FastenersPriceList345[[#This Row],[Rate / PER kg (₹)]]</f>
        <v>32.83005</v>
      </c>
    </row>
    <row r="124" spans="1:13" ht="22.05" customHeight="1" x14ac:dyDescent="0.3">
      <c r="A124" s="2" t="s">
        <v>2297</v>
      </c>
      <c r="B124" s="12" t="s">
        <v>8</v>
      </c>
      <c r="C124" s="12">
        <v>12.9</v>
      </c>
      <c r="D124" s="2">
        <v>209.05</v>
      </c>
      <c r="E124" s="2">
        <f>FastenersPriceList345[[#This Row],[1000 PCS/WT.]]/1000</f>
        <v>0.20905000000000001</v>
      </c>
      <c r="F124" s="2" t="s">
        <v>127</v>
      </c>
      <c r="G124" s="6" t="s">
        <v>1755</v>
      </c>
      <c r="H124" s="70">
        <v>50</v>
      </c>
      <c r="I124" s="72">
        <f>FastenersPriceList345[[#This Row],[Quantity (kg)]]/FastenersPriceList345[[#This Row],[SINGLE PC. WT.]]</f>
        <v>239.17723032767279</v>
      </c>
      <c r="J124" s="3">
        <v>165</v>
      </c>
      <c r="K124" s="3">
        <f>FastenersPriceList345[[#This Row],[1000 PCS/WT.]]*FastenersPriceList345[[#This Row],[Rate / PER kg (₹)]]</f>
        <v>34493.25</v>
      </c>
      <c r="L124" s="4">
        <f>FastenersPriceList345[[#This Row],[Rate / PER kg (₹)]]*FastenersPriceList345[[#This Row],[Quantity (kg)]]</f>
        <v>8250</v>
      </c>
      <c r="M124" s="4">
        <f>FastenersPriceList345[[#This Row],[SINGLE PC. WT.]]*FastenersPriceList345[[#This Row],[Rate / PER kg (₹)]]</f>
        <v>34.493250000000003</v>
      </c>
    </row>
    <row r="125" spans="1:13" ht="22.05" customHeight="1" x14ac:dyDescent="0.3">
      <c r="A125" s="2" t="s">
        <v>2298</v>
      </c>
      <c r="B125" s="12" t="s">
        <v>8</v>
      </c>
      <c r="C125" s="12">
        <v>12.9</v>
      </c>
      <c r="D125" s="2">
        <v>219.13</v>
      </c>
      <c r="E125" s="2">
        <f>FastenersPriceList345[[#This Row],[1000 PCS/WT.]]/1000</f>
        <v>0.21912999999999999</v>
      </c>
      <c r="F125" s="2" t="s">
        <v>128</v>
      </c>
      <c r="G125" s="6" t="s">
        <v>1755</v>
      </c>
      <c r="H125" s="70">
        <v>50</v>
      </c>
      <c r="I125" s="72">
        <f>FastenersPriceList345[[#This Row],[Quantity (kg)]]/FastenersPriceList345[[#This Row],[SINGLE PC. WT.]]</f>
        <v>228.17505590288872</v>
      </c>
      <c r="J125" s="3">
        <v>165</v>
      </c>
      <c r="K125" s="3">
        <f>FastenersPriceList345[[#This Row],[1000 PCS/WT.]]*FastenersPriceList345[[#This Row],[Rate / PER kg (₹)]]</f>
        <v>36156.449999999997</v>
      </c>
      <c r="L125" s="4">
        <f>FastenersPriceList345[[#This Row],[Rate / PER kg (₹)]]*FastenersPriceList345[[#This Row],[Quantity (kg)]]</f>
        <v>8250</v>
      </c>
      <c r="M125" s="4">
        <f>FastenersPriceList345[[#This Row],[SINGLE PC. WT.]]*FastenersPriceList345[[#This Row],[Rate / PER kg (₹)]]</f>
        <v>36.15645</v>
      </c>
    </row>
    <row r="126" spans="1:13" ht="22.05" customHeight="1" x14ac:dyDescent="0.3">
      <c r="A126" s="2" t="s">
        <v>2299</v>
      </c>
      <c r="B126" s="12" t="s">
        <v>8</v>
      </c>
      <c r="C126" s="12">
        <v>12.9</v>
      </c>
      <c r="D126" s="2">
        <v>229.21</v>
      </c>
      <c r="E126" s="2">
        <f>FastenersPriceList345[[#This Row],[1000 PCS/WT.]]/1000</f>
        <v>0.22921</v>
      </c>
      <c r="F126" s="2" t="s">
        <v>129</v>
      </c>
      <c r="G126" s="6" t="s">
        <v>1755</v>
      </c>
      <c r="H126" s="70">
        <v>50</v>
      </c>
      <c r="I126" s="72">
        <f>FastenersPriceList345[[#This Row],[Quantity (kg)]]/FastenersPriceList345[[#This Row],[SINGLE PC. WT.]]</f>
        <v>218.14056978316827</v>
      </c>
      <c r="J126" s="3">
        <v>165</v>
      </c>
      <c r="K126" s="3">
        <f>FastenersPriceList345[[#This Row],[1000 PCS/WT.]]*FastenersPriceList345[[#This Row],[Rate / PER kg (₹)]]</f>
        <v>37819.65</v>
      </c>
      <c r="L126" s="4">
        <f>FastenersPriceList345[[#This Row],[Rate / PER kg (₹)]]*FastenersPriceList345[[#This Row],[Quantity (kg)]]</f>
        <v>8250</v>
      </c>
      <c r="M126" s="4">
        <f>FastenersPriceList345[[#This Row],[SINGLE PC. WT.]]*FastenersPriceList345[[#This Row],[Rate / PER kg (₹)]]</f>
        <v>37.819650000000003</v>
      </c>
    </row>
    <row r="127" spans="1:13" ht="22.05" customHeight="1" x14ac:dyDescent="0.3">
      <c r="A127" s="2" t="s">
        <v>2300</v>
      </c>
      <c r="B127" s="12" t="s">
        <v>8</v>
      </c>
      <c r="C127" s="12">
        <v>12.9</v>
      </c>
      <c r="D127" s="2">
        <v>72</v>
      </c>
      <c r="E127" s="2">
        <f>FastenersPriceList345[[#This Row],[1000 PCS/WT.]]/1000</f>
        <v>7.1999999999999995E-2</v>
      </c>
      <c r="F127" s="2" t="s">
        <v>130</v>
      </c>
      <c r="G127" s="6" t="s">
        <v>1755</v>
      </c>
      <c r="H127" s="70">
        <v>50</v>
      </c>
      <c r="I127" s="72">
        <f>FastenersPriceList345[[#This Row],[Quantity (kg)]]/FastenersPriceList345[[#This Row],[SINGLE PC. WT.]]</f>
        <v>694.44444444444446</v>
      </c>
      <c r="J127" s="3">
        <v>160</v>
      </c>
      <c r="K127" s="3">
        <f>FastenersPriceList345[[#This Row],[1000 PCS/WT.]]*FastenersPriceList345[[#This Row],[Rate / PER kg (₹)]]</f>
        <v>11520</v>
      </c>
      <c r="L127" s="4">
        <f>FastenersPriceList345[[#This Row],[Rate / PER kg (₹)]]*FastenersPriceList345[[#This Row],[Quantity (kg)]]</f>
        <v>8000</v>
      </c>
      <c r="M127" s="4">
        <f>FastenersPriceList345[[#This Row],[SINGLE PC. WT.]]*FastenersPriceList345[[#This Row],[Rate / PER kg (₹)]]</f>
        <v>11.52</v>
      </c>
    </row>
    <row r="128" spans="1:13" ht="22.05" customHeight="1" x14ac:dyDescent="0.3">
      <c r="A128" s="2" t="s">
        <v>2301</v>
      </c>
      <c r="B128" s="12" t="s">
        <v>8</v>
      </c>
      <c r="C128" s="12">
        <v>12.9</v>
      </c>
      <c r="D128" s="2">
        <v>79</v>
      </c>
      <c r="E128" s="2">
        <f>FastenersPriceList345[[#This Row],[1000 PCS/WT.]]/1000</f>
        <v>7.9000000000000001E-2</v>
      </c>
      <c r="F128" s="2" t="s">
        <v>131</v>
      </c>
      <c r="G128" s="6" t="s">
        <v>1755</v>
      </c>
      <c r="H128" s="70">
        <v>50</v>
      </c>
      <c r="I128" s="72">
        <f>FastenersPriceList345[[#This Row],[Quantity (kg)]]/FastenersPriceList345[[#This Row],[SINGLE PC. WT.]]</f>
        <v>632.91139240506334</v>
      </c>
      <c r="J128" s="3">
        <v>160</v>
      </c>
      <c r="K128" s="3">
        <f>FastenersPriceList345[[#This Row],[1000 PCS/WT.]]*FastenersPriceList345[[#This Row],[Rate / PER kg (₹)]]</f>
        <v>12640</v>
      </c>
      <c r="L128" s="4">
        <f>FastenersPriceList345[[#This Row],[Rate / PER kg (₹)]]*FastenersPriceList345[[#This Row],[Quantity (kg)]]</f>
        <v>8000</v>
      </c>
      <c r="M128" s="4">
        <f>FastenersPriceList345[[#This Row],[SINGLE PC. WT.]]*FastenersPriceList345[[#This Row],[Rate / PER kg (₹)]]</f>
        <v>12.64</v>
      </c>
    </row>
    <row r="129" spans="1:13" ht="22.05" customHeight="1" x14ac:dyDescent="0.3">
      <c r="A129" s="2" t="s">
        <v>2302</v>
      </c>
      <c r="B129" s="12" t="s">
        <v>8</v>
      </c>
      <c r="C129" s="12">
        <v>12.9</v>
      </c>
      <c r="D129" s="2">
        <v>86</v>
      </c>
      <c r="E129" s="2">
        <f>FastenersPriceList345[[#This Row],[1000 PCS/WT.]]/1000</f>
        <v>8.5999999999999993E-2</v>
      </c>
      <c r="F129" s="2" t="s">
        <v>132</v>
      </c>
      <c r="G129" s="6" t="s">
        <v>1755</v>
      </c>
      <c r="H129" s="70">
        <v>50</v>
      </c>
      <c r="I129" s="72">
        <f>FastenersPriceList345[[#This Row],[Quantity (kg)]]/FastenersPriceList345[[#This Row],[SINGLE PC. WT.]]</f>
        <v>581.39534883720933</v>
      </c>
      <c r="J129" s="3">
        <v>160</v>
      </c>
      <c r="K129" s="3">
        <f>FastenersPriceList345[[#This Row],[1000 PCS/WT.]]*FastenersPriceList345[[#This Row],[Rate / PER kg (₹)]]</f>
        <v>13760</v>
      </c>
      <c r="L129" s="4">
        <f>FastenersPriceList345[[#This Row],[Rate / PER kg (₹)]]*FastenersPriceList345[[#This Row],[Quantity (kg)]]</f>
        <v>8000</v>
      </c>
      <c r="M129" s="4">
        <f>FastenersPriceList345[[#This Row],[SINGLE PC. WT.]]*FastenersPriceList345[[#This Row],[Rate / PER kg (₹)]]</f>
        <v>13.759999999999998</v>
      </c>
    </row>
    <row r="130" spans="1:13" ht="22.05" customHeight="1" x14ac:dyDescent="0.3">
      <c r="A130" s="2" t="s">
        <v>2303</v>
      </c>
      <c r="B130" s="12" t="s">
        <v>8</v>
      </c>
      <c r="C130" s="12">
        <v>12.9</v>
      </c>
      <c r="D130" s="2">
        <v>93</v>
      </c>
      <c r="E130" s="2">
        <f>FastenersPriceList345[[#This Row],[1000 PCS/WT.]]/1000</f>
        <v>9.2999999999999999E-2</v>
      </c>
      <c r="F130" s="2" t="s">
        <v>133</v>
      </c>
      <c r="G130" s="6" t="s">
        <v>1755</v>
      </c>
      <c r="H130" s="70">
        <v>50</v>
      </c>
      <c r="I130" s="72">
        <f>FastenersPriceList345[[#This Row],[Quantity (kg)]]/FastenersPriceList345[[#This Row],[SINGLE PC. WT.]]</f>
        <v>537.63440860215053</v>
      </c>
      <c r="J130" s="3">
        <v>160</v>
      </c>
      <c r="K130" s="3">
        <f>FastenersPriceList345[[#This Row],[1000 PCS/WT.]]*FastenersPriceList345[[#This Row],[Rate / PER kg (₹)]]</f>
        <v>14880</v>
      </c>
      <c r="L130" s="4">
        <f>FastenersPriceList345[[#This Row],[Rate / PER kg (₹)]]*FastenersPriceList345[[#This Row],[Quantity (kg)]]</f>
        <v>8000</v>
      </c>
      <c r="M130" s="4">
        <f>FastenersPriceList345[[#This Row],[SINGLE PC. WT.]]*FastenersPriceList345[[#This Row],[Rate / PER kg (₹)]]</f>
        <v>14.879999999999999</v>
      </c>
    </row>
    <row r="131" spans="1:13" ht="22.05" customHeight="1" x14ac:dyDescent="0.3">
      <c r="A131" s="2" t="s">
        <v>2304</v>
      </c>
      <c r="B131" s="12" t="s">
        <v>8</v>
      </c>
      <c r="C131" s="12">
        <v>12.9</v>
      </c>
      <c r="D131" s="2">
        <v>100</v>
      </c>
      <c r="E131" s="2">
        <f>FastenersPriceList345[[#This Row],[1000 PCS/WT.]]/1000</f>
        <v>0.1</v>
      </c>
      <c r="F131" s="2" t="s">
        <v>134</v>
      </c>
      <c r="G131" s="6" t="s">
        <v>1755</v>
      </c>
      <c r="H131" s="70">
        <v>50</v>
      </c>
      <c r="I131" s="72">
        <f>FastenersPriceList345[[#This Row],[Quantity (kg)]]/FastenersPriceList345[[#This Row],[SINGLE PC. WT.]]</f>
        <v>500</v>
      </c>
      <c r="J131" s="3">
        <v>160</v>
      </c>
      <c r="K131" s="3">
        <f>FastenersPriceList345[[#This Row],[1000 PCS/WT.]]*FastenersPriceList345[[#This Row],[Rate / PER kg (₹)]]</f>
        <v>16000</v>
      </c>
      <c r="L131" s="4">
        <f>FastenersPriceList345[[#This Row],[Rate / PER kg (₹)]]*FastenersPriceList345[[#This Row],[Quantity (kg)]]</f>
        <v>8000</v>
      </c>
      <c r="M131" s="4">
        <f>FastenersPriceList345[[#This Row],[SINGLE PC. WT.]]*FastenersPriceList345[[#This Row],[Rate / PER kg (₹)]]</f>
        <v>16</v>
      </c>
    </row>
    <row r="132" spans="1:13" ht="22.05" customHeight="1" x14ac:dyDescent="0.3">
      <c r="A132" s="2" t="s">
        <v>2305</v>
      </c>
      <c r="B132" s="12" t="s">
        <v>8</v>
      </c>
      <c r="C132" s="12">
        <v>12.9</v>
      </c>
      <c r="D132" s="2">
        <v>107</v>
      </c>
      <c r="E132" s="2">
        <f>FastenersPriceList345[[#This Row],[1000 PCS/WT.]]/1000</f>
        <v>0.107</v>
      </c>
      <c r="F132" s="2" t="s">
        <v>135</v>
      </c>
      <c r="G132" s="6" t="s">
        <v>1755</v>
      </c>
      <c r="H132" s="70">
        <v>50</v>
      </c>
      <c r="I132" s="72">
        <f>FastenersPriceList345[[#This Row],[Quantity (kg)]]/FastenersPriceList345[[#This Row],[SINGLE PC. WT.]]</f>
        <v>467.28971962616822</v>
      </c>
      <c r="J132" s="3">
        <v>160</v>
      </c>
      <c r="K132" s="3">
        <f>FastenersPriceList345[[#This Row],[1000 PCS/WT.]]*FastenersPriceList345[[#This Row],[Rate / PER kg (₹)]]</f>
        <v>17120</v>
      </c>
      <c r="L132" s="4">
        <f>FastenersPriceList345[[#This Row],[Rate / PER kg (₹)]]*FastenersPriceList345[[#This Row],[Quantity (kg)]]</f>
        <v>8000</v>
      </c>
      <c r="M132" s="4">
        <f>FastenersPriceList345[[#This Row],[SINGLE PC. WT.]]*FastenersPriceList345[[#This Row],[Rate / PER kg (₹)]]</f>
        <v>17.12</v>
      </c>
    </row>
    <row r="133" spans="1:13" ht="22.05" customHeight="1" x14ac:dyDescent="0.3">
      <c r="A133" s="2" t="s">
        <v>2306</v>
      </c>
      <c r="B133" s="12" t="s">
        <v>8</v>
      </c>
      <c r="C133" s="12">
        <v>12.9</v>
      </c>
      <c r="D133" s="2">
        <v>114</v>
      </c>
      <c r="E133" s="2">
        <f>FastenersPriceList345[[#This Row],[1000 PCS/WT.]]/1000</f>
        <v>0.114</v>
      </c>
      <c r="F133" s="2" t="s">
        <v>136</v>
      </c>
      <c r="G133" s="6" t="s">
        <v>1755</v>
      </c>
      <c r="H133" s="70">
        <v>50</v>
      </c>
      <c r="I133" s="72">
        <f>FastenersPriceList345[[#This Row],[Quantity (kg)]]/FastenersPriceList345[[#This Row],[SINGLE PC. WT.]]</f>
        <v>438.59649122807014</v>
      </c>
      <c r="J133" s="3">
        <v>160</v>
      </c>
      <c r="K133" s="3">
        <f>FastenersPriceList345[[#This Row],[1000 PCS/WT.]]*FastenersPriceList345[[#This Row],[Rate / PER kg (₹)]]</f>
        <v>18240</v>
      </c>
      <c r="L133" s="4">
        <f>FastenersPriceList345[[#This Row],[Rate / PER kg (₹)]]*FastenersPriceList345[[#This Row],[Quantity (kg)]]</f>
        <v>8000</v>
      </c>
      <c r="M133" s="4">
        <f>FastenersPriceList345[[#This Row],[SINGLE PC. WT.]]*FastenersPriceList345[[#This Row],[Rate / PER kg (₹)]]</f>
        <v>18.240000000000002</v>
      </c>
    </row>
    <row r="134" spans="1:13" ht="22.05" customHeight="1" x14ac:dyDescent="0.3">
      <c r="A134" s="2" t="s">
        <v>2307</v>
      </c>
      <c r="B134" s="12" t="s">
        <v>8</v>
      </c>
      <c r="C134" s="12">
        <v>12.9</v>
      </c>
      <c r="D134" s="2">
        <v>121</v>
      </c>
      <c r="E134" s="2">
        <f>FastenersPriceList345[[#This Row],[1000 PCS/WT.]]/1000</f>
        <v>0.121</v>
      </c>
      <c r="F134" s="2" t="s">
        <v>137</v>
      </c>
      <c r="G134" s="6" t="s">
        <v>1755</v>
      </c>
      <c r="H134" s="70">
        <v>50</v>
      </c>
      <c r="I134" s="72">
        <f>FastenersPriceList345[[#This Row],[Quantity (kg)]]/FastenersPriceList345[[#This Row],[SINGLE PC. WT.]]</f>
        <v>413.22314049586777</v>
      </c>
      <c r="J134" s="3">
        <v>160</v>
      </c>
      <c r="K134" s="3">
        <f>FastenersPriceList345[[#This Row],[1000 PCS/WT.]]*FastenersPriceList345[[#This Row],[Rate / PER kg (₹)]]</f>
        <v>19360</v>
      </c>
      <c r="L134" s="4">
        <f>FastenersPriceList345[[#This Row],[Rate / PER kg (₹)]]*FastenersPriceList345[[#This Row],[Quantity (kg)]]</f>
        <v>8000</v>
      </c>
      <c r="M134" s="4">
        <f>FastenersPriceList345[[#This Row],[SINGLE PC. WT.]]*FastenersPriceList345[[#This Row],[Rate / PER kg (₹)]]</f>
        <v>19.36</v>
      </c>
    </row>
    <row r="135" spans="1:13" ht="22.05" customHeight="1" x14ac:dyDescent="0.3">
      <c r="A135" s="2" t="s">
        <v>2308</v>
      </c>
      <c r="B135" s="12" t="s">
        <v>8</v>
      </c>
      <c r="C135" s="12">
        <v>12.9</v>
      </c>
      <c r="D135" s="2">
        <v>136</v>
      </c>
      <c r="E135" s="2">
        <f>FastenersPriceList345[[#This Row],[1000 PCS/WT.]]/1000</f>
        <v>0.13600000000000001</v>
      </c>
      <c r="F135" s="2" t="s">
        <v>138</v>
      </c>
      <c r="G135" s="6" t="s">
        <v>1755</v>
      </c>
      <c r="H135" s="70">
        <v>50</v>
      </c>
      <c r="I135" s="72">
        <f>FastenersPriceList345[[#This Row],[Quantity (kg)]]/FastenersPriceList345[[#This Row],[SINGLE PC. WT.]]</f>
        <v>367.64705882352939</v>
      </c>
      <c r="J135" s="3">
        <v>160</v>
      </c>
      <c r="K135" s="3">
        <f>FastenersPriceList345[[#This Row],[1000 PCS/WT.]]*FastenersPriceList345[[#This Row],[Rate / PER kg (₹)]]</f>
        <v>21760</v>
      </c>
      <c r="L135" s="4">
        <f>FastenersPriceList345[[#This Row],[Rate / PER kg (₹)]]*FastenersPriceList345[[#This Row],[Quantity (kg)]]</f>
        <v>8000</v>
      </c>
      <c r="M135" s="4">
        <f>FastenersPriceList345[[#This Row],[SINGLE PC. WT.]]*FastenersPriceList345[[#This Row],[Rate / PER kg (₹)]]</f>
        <v>21.76</v>
      </c>
    </row>
    <row r="136" spans="1:13" ht="22.05" customHeight="1" x14ac:dyDescent="0.3">
      <c r="A136" s="2" t="s">
        <v>2309</v>
      </c>
      <c r="B136" s="12" t="s">
        <v>8</v>
      </c>
      <c r="C136" s="12">
        <v>12.9</v>
      </c>
      <c r="D136" s="2">
        <v>144</v>
      </c>
      <c r="E136" s="2">
        <f>FastenersPriceList345[[#This Row],[1000 PCS/WT.]]/1000</f>
        <v>0.14399999999999999</v>
      </c>
      <c r="F136" s="2" t="s">
        <v>139</v>
      </c>
      <c r="G136" s="6" t="s">
        <v>1755</v>
      </c>
      <c r="H136" s="70">
        <v>50</v>
      </c>
      <c r="I136" s="72">
        <f>FastenersPriceList345[[#This Row],[Quantity (kg)]]/FastenersPriceList345[[#This Row],[SINGLE PC. WT.]]</f>
        <v>347.22222222222223</v>
      </c>
      <c r="J136" s="3">
        <v>160</v>
      </c>
      <c r="K136" s="3">
        <f>FastenersPriceList345[[#This Row],[1000 PCS/WT.]]*FastenersPriceList345[[#This Row],[Rate / PER kg (₹)]]</f>
        <v>23040</v>
      </c>
      <c r="L136" s="4">
        <f>FastenersPriceList345[[#This Row],[Rate / PER kg (₹)]]*FastenersPriceList345[[#This Row],[Quantity (kg)]]</f>
        <v>8000</v>
      </c>
      <c r="M136" s="4">
        <f>FastenersPriceList345[[#This Row],[SINGLE PC. WT.]]*FastenersPriceList345[[#This Row],[Rate / PER kg (₹)]]</f>
        <v>23.04</v>
      </c>
    </row>
    <row r="137" spans="1:13" ht="22.05" customHeight="1" x14ac:dyDescent="0.3">
      <c r="A137" s="2" t="s">
        <v>2310</v>
      </c>
      <c r="B137" s="12" t="s">
        <v>8</v>
      </c>
      <c r="C137" s="12">
        <v>12.9</v>
      </c>
      <c r="D137" s="2">
        <v>152</v>
      </c>
      <c r="E137" s="2">
        <f>FastenersPriceList345[[#This Row],[1000 PCS/WT.]]/1000</f>
        <v>0.152</v>
      </c>
      <c r="F137" s="2" t="s">
        <v>140</v>
      </c>
      <c r="G137" s="6" t="s">
        <v>1755</v>
      </c>
      <c r="H137" s="70">
        <v>50</v>
      </c>
      <c r="I137" s="72">
        <f>FastenersPriceList345[[#This Row],[Quantity (kg)]]/FastenersPriceList345[[#This Row],[SINGLE PC. WT.]]</f>
        <v>328.94736842105266</v>
      </c>
      <c r="J137" s="3">
        <v>160</v>
      </c>
      <c r="K137" s="3">
        <f>FastenersPriceList345[[#This Row],[1000 PCS/WT.]]*FastenersPriceList345[[#This Row],[Rate / PER kg (₹)]]</f>
        <v>24320</v>
      </c>
      <c r="L137" s="4">
        <f>FastenersPriceList345[[#This Row],[Rate / PER kg (₹)]]*FastenersPriceList345[[#This Row],[Quantity (kg)]]</f>
        <v>8000</v>
      </c>
      <c r="M137" s="4">
        <f>FastenersPriceList345[[#This Row],[SINGLE PC. WT.]]*FastenersPriceList345[[#This Row],[Rate / PER kg (₹)]]</f>
        <v>24.32</v>
      </c>
    </row>
    <row r="138" spans="1:13" ht="22.05" customHeight="1" x14ac:dyDescent="0.3">
      <c r="A138" s="2" t="s">
        <v>2311</v>
      </c>
      <c r="B138" s="12" t="s">
        <v>8</v>
      </c>
      <c r="C138" s="12">
        <v>12.9</v>
      </c>
      <c r="D138" s="2">
        <v>160</v>
      </c>
      <c r="E138" s="2">
        <f>FastenersPriceList345[[#This Row],[1000 PCS/WT.]]/1000</f>
        <v>0.16</v>
      </c>
      <c r="F138" s="2" t="s">
        <v>141</v>
      </c>
      <c r="G138" s="6" t="s">
        <v>1755</v>
      </c>
      <c r="H138" s="70">
        <v>50</v>
      </c>
      <c r="I138" s="72">
        <f>FastenersPriceList345[[#This Row],[Quantity (kg)]]/FastenersPriceList345[[#This Row],[SINGLE PC. WT.]]</f>
        <v>312.5</v>
      </c>
      <c r="J138" s="3">
        <v>160</v>
      </c>
      <c r="K138" s="3">
        <f>FastenersPriceList345[[#This Row],[1000 PCS/WT.]]*FastenersPriceList345[[#This Row],[Rate / PER kg (₹)]]</f>
        <v>25600</v>
      </c>
      <c r="L138" s="4">
        <f>FastenersPriceList345[[#This Row],[Rate / PER kg (₹)]]*FastenersPriceList345[[#This Row],[Quantity (kg)]]</f>
        <v>8000</v>
      </c>
      <c r="M138" s="4">
        <f>FastenersPriceList345[[#This Row],[SINGLE PC. WT.]]*FastenersPriceList345[[#This Row],[Rate / PER kg (₹)]]</f>
        <v>25.6</v>
      </c>
    </row>
    <row r="139" spans="1:13" ht="22.05" customHeight="1" x14ac:dyDescent="0.3">
      <c r="A139" s="2" t="s">
        <v>2312</v>
      </c>
      <c r="B139" s="12" t="s">
        <v>8</v>
      </c>
      <c r="C139" s="12">
        <v>12.9</v>
      </c>
      <c r="D139" s="2">
        <v>168</v>
      </c>
      <c r="E139" s="2">
        <f>FastenersPriceList345[[#This Row],[1000 PCS/WT.]]/1000</f>
        <v>0.16800000000000001</v>
      </c>
      <c r="F139" s="2" t="s">
        <v>142</v>
      </c>
      <c r="G139" s="6" t="s">
        <v>1755</v>
      </c>
      <c r="H139" s="70">
        <v>50</v>
      </c>
      <c r="I139" s="72">
        <f>FastenersPriceList345[[#This Row],[Quantity (kg)]]/FastenersPriceList345[[#This Row],[SINGLE PC. WT.]]</f>
        <v>297.61904761904759</v>
      </c>
      <c r="J139" s="3">
        <v>160</v>
      </c>
      <c r="K139" s="3">
        <f>FastenersPriceList345[[#This Row],[1000 PCS/WT.]]*FastenersPriceList345[[#This Row],[Rate / PER kg (₹)]]</f>
        <v>26880</v>
      </c>
      <c r="L139" s="4">
        <f>FastenersPriceList345[[#This Row],[Rate / PER kg (₹)]]*FastenersPriceList345[[#This Row],[Quantity (kg)]]</f>
        <v>8000</v>
      </c>
      <c r="M139" s="4">
        <f>FastenersPriceList345[[#This Row],[SINGLE PC. WT.]]*FastenersPriceList345[[#This Row],[Rate / PER kg (₹)]]</f>
        <v>26.880000000000003</v>
      </c>
    </row>
    <row r="140" spans="1:13" ht="22.05" customHeight="1" x14ac:dyDescent="0.3">
      <c r="A140" s="2" t="s">
        <v>2313</v>
      </c>
      <c r="B140" s="12" t="s">
        <v>8</v>
      </c>
      <c r="C140" s="12">
        <v>12.9</v>
      </c>
      <c r="D140" s="2">
        <v>176</v>
      </c>
      <c r="E140" s="2">
        <f>FastenersPriceList345[[#This Row],[1000 PCS/WT.]]/1000</f>
        <v>0.17599999999999999</v>
      </c>
      <c r="F140" s="2" t="s">
        <v>143</v>
      </c>
      <c r="G140" s="6" t="s">
        <v>1755</v>
      </c>
      <c r="H140" s="70">
        <v>50</v>
      </c>
      <c r="I140" s="72">
        <f>FastenersPriceList345[[#This Row],[Quantity (kg)]]/FastenersPriceList345[[#This Row],[SINGLE PC. WT.]]</f>
        <v>284.09090909090912</v>
      </c>
      <c r="J140" s="3">
        <v>160</v>
      </c>
      <c r="K140" s="3">
        <f>FastenersPriceList345[[#This Row],[1000 PCS/WT.]]*FastenersPriceList345[[#This Row],[Rate / PER kg (₹)]]</f>
        <v>28160</v>
      </c>
      <c r="L140" s="4">
        <f>FastenersPriceList345[[#This Row],[Rate / PER kg (₹)]]*FastenersPriceList345[[#This Row],[Quantity (kg)]]</f>
        <v>8000</v>
      </c>
      <c r="M140" s="4">
        <f>FastenersPriceList345[[#This Row],[SINGLE PC. WT.]]*FastenersPriceList345[[#This Row],[Rate / PER kg (₹)]]</f>
        <v>28.159999999999997</v>
      </c>
    </row>
    <row r="141" spans="1:13" ht="22.05" customHeight="1" x14ac:dyDescent="0.3">
      <c r="A141" s="2" t="s">
        <v>2314</v>
      </c>
      <c r="B141" s="12" t="s">
        <v>8</v>
      </c>
      <c r="C141" s="12">
        <v>12.9</v>
      </c>
      <c r="D141" s="2">
        <v>184</v>
      </c>
      <c r="E141" s="2">
        <f>FastenersPriceList345[[#This Row],[1000 PCS/WT.]]/1000</f>
        <v>0.184</v>
      </c>
      <c r="F141" s="2" t="s">
        <v>144</v>
      </c>
      <c r="G141" s="6" t="s">
        <v>1755</v>
      </c>
      <c r="H141" s="70">
        <v>50</v>
      </c>
      <c r="I141" s="72">
        <f>FastenersPriceList345[[#This Row],[Quantity (kg)]]/FastenersPriceList345[[#This Row],[SINGLE PC. WT.]]</f>
        <v>271.73913043478262</v>
      </c>
      <c r="J141" s="3">
        <v>160</v>
      </c>
      <c r="K141" s="3">
        <f>FastenersPriceList345[[#This Row],[1000 PCS/WT.]]*FastenersPriceList345[[#This Row],[Rate / PER kg (₹)]]</f>
        <v>29440</v>
      </c>
      <c r="L141" s="4">
        <f>FastenersPriceList345[[#This Row],[Rate / PER kg (₹)]]*FastenersPriceList345[[#This Row],[Quantity (kg)]]</f>
        <v>8000</v>
      </c>
      <c r="M141" s="4">
        <f>FastenersPriceList345[[#This Row],[SINGLE PC. WT.]]*FastenersPriceList345[[#This Row],[Rate / PER kg (₹)]]</f>
        <v>29.439999999999998</v>
      </c>
    </row>
    <row r="142" spans="1:13" ht="22.05" customHeight="1" x14ac:dyDescent="0.3">
      <c r="A142" s="2" t="s">
        <v>2315</v>
      </c>
      <c r="B142" s="12" t="s">
        <v>8</v>
      </c>
      <c r="C142" s="12">
        <v>12.9</v>
      </c>
      <c r="D142" s="2">
        <v>200</v>
      </c>
      <c r="E142" s="2">
        <f>FastenersPriceList345[[#This Row],[1000 PCS/WT.]]/1000</f>
        <v>0.2</v>
      </c>
      <c r="F142" s="2" t="s">
        <v>145</v>
      </c>
      <c r="G142" s="6" t="s">
        <v>1755</v>
      </c>
      <c r="H142" s="70">
        <v>50</v>
      </c>
      <c r="I142" s="72">
        <f>FastenersPriceList345[[#This Row],[Quantity (kg)]]/FastenersPriceList345[[#This Row],[SINGLE PC. WT.]]</f>
        <v>250</v>
      </c>
      <c r="J142" s="3">
        <v>160</v>
      </c>
      <c r="K142" s="3">
        <f>FastenersPriceList345[[#This Row],[1000 PCS/WT.]]*FastenersPriceList345[[#This Row],[Rate / PER kg (₹)]]</f>
        <v>32000</v>
      </c>
      <c r="L142" s="4">
        <f>FastenersPriceList345[[#This Row],[Rate / PER kg (₹)]]*FastenersPriceList345[[#This Row],[Quantity (kg)]]</f>
        <v>8000</v>
      </c>
      <c r="M142" s="4">
        <f>FastenersPriceList345[[#This Row],[SINGLE PC. WT.]]*FastenersPriceList345[[#This Row],[Rate / PER kg (₹)]]</f>
        <v>32</v>
      </c>
    </row>
    <row r="143" spans="1:13" ht="22.05" customHeight="1" x14ac:dyDescent="0.3">
      <c r="A143" s="2" t="s">
        <v>2316</v>
      </c>
      <c r="B143" s="12" t="s">
        <v>8</v>
      </c>
      <c r="C143" s="12">
        <v>12.9</v>
      </c>
      <c r="D143" s="2">
        <v>216</v>
      </c>
      <c r="E143" s="2">
        <f>FastenersPriceList345[[#This Row],[1000 PCS/WT.]]/1000</f>
        <v>0.216</v>
      </c>
      <c r="F143" s="2" t="s">
        <v>146</v>
      </c>
      <c r="G143" s="6" t="s">
        <v>1755</v>
      </c>
      <c r="H143" s="70">
        <v>50</v>
      </c>
      <c r="I143" s="72">
        <f>FastenersPriceList345[[#This Row],[Quantity (kg)]]/FastenersPriceList345[[#This Row],[SINGLE PC. WT.]]</f>
        <v>231.4814814814815</v>
      </c>
      <c r="J143" s="3">
        <v>160</v>
      </c>
      <c r="K143" s="3">
        <f>FastenersPriceList345[[#This Row],[1000 PCS/WT.]]*FastenersPriceList345[[#This Row],[Rate / PER kg (₹)]]</f>
        <v>34560</v>
      </c>
      <c r="L143" s="4">
        <f>FastenersPriceList345[[#This Row],[Rate / PER kg (₹)]]*FastenersPriceList345[[#This Row],[Quantity (kg)]]</f>
        <v>8000</v>
      </c>
      <c r="M143" s="4">
        <f>FastenersPriceList345[[#This Row],[SINGLE PC. WT.]]*FastenersPriceList345[[#This Row],[Rate / PER kg (₹)]]</f>
        <v>34.56</v>
      </c>
    </row>
    <row r="144" spans="1:13" ht="22.05" customHeight="1" x14ac:dyDescent="0.3">
      <c r="A144" s="2" t="s">
        <v>2317</v>
      </c>
      <c r="B144" s="12" t="s">
        <v>8</v>
      </c>
      <c r="C144" s="12">
        <v>12.9</v>
      </c>
      <c r="D144" s="2">
        <v>232</v>
      </c>
      <c r="E144" s="2">
        <f>FastenersPriceList345[[#This Row],[1000 PCS/WT.]]/1000</f>
        <v>0.23200000000000001</v>
      </c>
      <c r="F144" s="2" t="s">
        <v>147</v>
      </c>
      <c r="G144" s="6" t="s">
        <v>1755</v>
      </c>
      <c r="H144" s="70">
        <v>50</v>
      </c>
      <c r="I144" s="72">
        <f>FastenersPriceList345[[#This Row],[Quantity (kg)]]/FastenersPriceList345[[#This Row],[SINGLE PC. WT.]]</f>
        <v>215.51724137931032</v>
      </c>
      <c r="J144" s="3">
        <v>160</v>
      </c>
      <c r="K144" s="3">
        <f>FastenersPriceList345[[#This Row],[1000 PCS/WT.]]*FastenersPriceList345[[#This Row],[Rate / PER kg (₹)]]</f>
        <v>37120</v>
      </c>
      <c r="L144" s="4">
        <f>FastenersPriceList345[[#This Row],[Rate / PER kg (₹)]]*FastenersPriceList345[[#This Row],[Quantity (kg)]]</f>
        <v>8000</v>
      </c>
      <c r="M144" s="4">
        <f>FastenersPriceList345[[#This Row],[SINGLE PC. WT.]]*FastenersPriceList345[[#This Row],[Rate / PER kg (₹)]]</f>
        <v>37.120000000000005</v>
      </c>
    </row>
    <row r="145" spans="1:13" ht="22.05" customHeight="1" x14ac:dyDescent="0.3">
      <c r="A145" s="2" t="s">
        <v>2318</v>
      </c>
      <c r="B145" s="12" t="s">
        <v>8</v>
      </c>
      <c r="C145" s="12">
        <v>12.9</v>
      </c>
      <c r="D145" s="2">
        <v>248</v>
      </c>
      <c r="E145" s="2">
        <f>FastenersPriceList345[[#This Row],[1000 PCS/WT.]]/1000</f>
        <v>0.248</v>
      </c>
      <c r="F145" s="2" t="s">
        <v>148</v>
      </c>
      <c r="G145" s="6" t="s">
        <v>1755</v>
      </c>
      <c r="H145" s="70">
        <v>50</v>
      </c>
      <c r="I145" s="72">
        <f>FastenersPriceList345[[#This Row],[Quantity (kg)]]/FastenersPriceList345[[#This Row],[SINGLE PC. WT.]]</f>
        <v>201.61290322580646</v>
      </c>
      <c r="J145" s="3">
        <v>160</v>
      </c>
      <c r="K145" s="3">
        <f>FastenersPriceList345[[#This Row],[1000 PCS/WT.]]*FastenersPriceList345[[#This Row],[Rate / PER kg (₹)]]</f>
        <v>39680</v>
      </c>
      <c r="L145" s="4">
        <f>FastenersPriceList345[[#This Row],[Rate / PER kg (₹)]]*FastenersPriceList345[[#This Row],[Quantity (kg)]]</f>
        <v>8000</v>
      </c>
      <c r="M145" s="4">
        <f>FastenersPriceList345[[#This Row],[SINGLE PC. WT.]]*FastenersPriceList345[[#This Row],[Rate / PER kg (₹)]]</f>
        <v>39.68</v>
      </c>
    </row>
    <row r="146" spans="1:13" ht="22.05" customHeight="1" x14ac:dyDescent="0.3">
      <c r="A146" s="2" t="s">
        <v>2319</v>
      </c>
      <c r="B146" s="12" t="s">
        <v>8</v>
      </c>
      <c r="C146" s="12">
        <v>12.9</v>
      </c>
      <c r="D146" s="2">
        <v>264</v>
      </c>
      <c r="E146" s="2">
        <f>FastenersPriceList345[[#This Row],[1000 PCS/WT.]]/1000</f>
        <v>0.26400000000000001</v>
      </c>
      <c r="F146" s="2" t="s">
        <v>149</v>
      </c>
      <c r="G146" s="6" t="s">
        <v>1755</v>
      </c>
      <c r="H146" s="70">
        <v>50</v>
      </c>
      <c r="I146" s="72">
        <f>FastenersPriceList345[[#This Row],[Quantity (kg)]]/FastenersPriceList345[[#This Row],[SINGLE PC. WT.]]</f>
        <v>189.39393939393938</v>
      </c>
      <c r="J146" s="3">
        <v>160</v>
      </c>
      <c r="K146" s="3">
        <f>FastenersPriceList345[[#This Row],[1000 PCS/WT.]]*FastenersPriceList345[[#This Row],[Rate / PER kg (₹)]]</f>
        <v>42240</v>
      </c>
      <c r="L146" s="4">
        <f>FastenersPriceList345[[#This Row],[Rate / PER kg (₹)]]*FastenersPriceList345[[#This Row],[Quantity (kg)]]</f>
        <v>8000</v>
      </c>
      <c r="M146" s="4">
        <f>FastenersPriceList345[[#This Row],[SINGLE PC. WT.]]*FastenersPriceList345[[#This Row],[Rate / PER kg (₹)]]</f>
        <v>42.24</v>
      </c>
    </row>
    <row r="147" spans="1:13" ht="22.05" customHeight="1" x14ac:dyDescent="0.3">
      <c r="A147" s="2" t="s">
        <v>2320</v>
      </c>
      <c r="B147" s="12" t="s">
        <v>8</v>
      </c>
      <c r="C147" s="12">
        <v>12.9</v>
      </c>
      <c r="D147" s="2">
        <v>280</v>
      </c>
      <c r="E147" s="2">
        <f>FastenersPriceList345[[#This Row],[1000 PCS/WT.]]/1000</f>
        <v>0.28000000000000003</v>
      </c>
      <c r="F147" s="2" t="s">
        <v>150</v>
      </c>
      <c r="G147" s="6" t="s">
        <v>1755</v>
      </c>
      <c r="H147" s="70">
        <v>50</v>
      </c>
      <c r="I147" s="72">
        <f>FastenersPriceList345[[#This Row],[Quantity (kg)]]/FastenersPriceList345[[#This Row],[SINGLE PC. WT.]]</f>
        <v>178.57142857142856</v>
      </c>
      <c r="J147" s="3">
        <v>160</v>
      </c>
      <c r="K147" s="3">
        <f>FastenersPriceList345[[#This Row],[1000 PCS/WT.]]*FastenersPriceList345[[#This Row],[Rate / PER kg (₹)]]</f>
        <v>44800</v>
      </c>
      <c r="L147" s="4">
        <f>FastenersPriceList345[[#This Row],[Rate / PER kg (₹)]]*FastenersPriceList345[[#This Row],[Quantity (kg)]]</f>
        <v>8000</v>
      </c>
      <c r="M147" s="4">
        <f>FastenersPriceList345[[#This Row],[SINGLE PC. WT.]]*FastenersPriceList345[[#This Row],[Rate / PER kg (₹)]]</f>
        <v>44.800000000000004</v>
      </c>
    </row>
    <row r="148" spans="1:13" ht="22.05" customHeight="1" x14ac:dyDescent="0.3">
      <c r="A148" s="2" t="s">
        <v>2321</v>
      </c>
      <c r="B148" s="12" t="s">
        <v>8</v>
      </c>
      <c r="C148" s="12">
        <v>12.9</v>
      </c>
      <c r="D148" s="2">
        <v>296</v>
      </c>
      <c r="E148" s="2">
        <f>FastenersPriceList345[[#This Row],[1000 PCS/WT.]]/1000</f>
        <v>0.29599999999999999</v>
      </c>
      <c r="F148" s="2" t="s">
        <v>151</v>
      </c>
      <c r="G148" s="6" t="s">
        <v>1755</v>
      </c>
      <c r="H148" s="70">
        <v>50</v>
      </c>
      <c r="I148" s="72">
        <f>FastenersPriceList345[[#This Row],[Quantity (kg)]]/FastenersPriceList345[[#This Row],[SINGLE PC. WT.]]</f>
        <v>168.91891891891893</v>
      </c>
      <c r="J148" s="3">
        <v>160</v>
      </c>
      <c r="K148" s="3">
        <f>FastenersPriceList345[[#This Row],[1000 PCS/WT.]]*FastenersPriceList345[[#This Row],[Rate / PER kg (₹)]]</f>
        <v>47360</v>
      </c>
      <c r="L148" s="4">
        <f>FastenersPriceList345[[#This Row],[Rate / PER kg (₹)]]*FastenersPriceList345[[#This Row],[Quantity (kg)]]</f>
        <v>8000</v>
      </c>
      <c r="M148" s="4">
        <f>FastenersPriceList345[[#This Row],[SINGLE PC. WT.]]*FastenersPriceList345[[#This Row],[Rate / PER kg (₹)]]</f>
        <v>47.36</v>
      </c>
    </row>
    <row r="149" spans="1:13" ht="22.05" customHeight="1" x14ac:dyDescent="0.3">
      <c r="A149" s="2" t="s">
        <v>2322</v>
      </c>
      <c r="B149" s="12" t="s">
        <v>8</v>
      </c>
      <c r="C149" s="12">
        <v>12.9</v>
      </c>
      <c r="D149" s="2">
        <v>312</v>
      </c>
      <c r="E149" s="2">
        <f>FastenersPriceList345[[#This Row],[1000 PCS/WT.]]/1000</f>
        <v>0.312</v>
      </c>
      <c r="F149" s="2" t="s">
        <v>152</v>
      </c>
      <c r="G149" s="6" t="s">
        <v>1755</v>
      </c>
      <c r="H149" s="70">
        <v>50</v>
      </c>
      <c r="I149" s="72">
        <f>FastenersPriceList345[[#This Row],[Quantity (kg)]]/FastenersPriceList345[[#This Row],[SINGLE PC. WT.]]</f>
        <v>160.25641025641025</v>
      </c>
      <c r="J149" s="3">
        <v>160</v>
      </c>
      <c r="K149" s="3">
        <f>FastenersPriceList345[[#This Row],[1000 PCS/WT.]]*FastenersPriceList345[[#This Row],[Rate / PER kg (₹)]]</f>
        <v>49920</v>
      </c>
      <c r="L149" s="4">
        <f>FastenersPriceList345[[#This Row],[Rate / PER kg (₹)]]*FastenersPriceList345[[#This Row],[Quantity (kg)]]</f>
        <v>8000</v>
      </c>
      <c r="M149" s="4">
        <f>FastenersPriceList345[[#This Row],[SINGLE PC. WT.]]*FastenersPriceList345[[#This Row],[Rate / PER kg (₹)]]</f>
        <v>49.92</v>
      </c>
    </row>
    <row r="150" spans="1:13" ht="22.05" customHeight="1" x14ac:dyDescent="0.3">
      <c r="A150" s="2" t="s">
        <v>2323</v>
      </c>
      <c r="B150" s="12" t="s">
        <v>8</v>
      </c>
      <c r="C150" s="12">
        <v>12.9</v>
      </c>
      <c r="D150" s="2">
        <v>328</v>
      </c>
      <c r="E150" s="2">
        <f>FastenersPriceList345[[#This Row],[1000 PCS/WT.]]/1000</f>
        <v>0.32800000000000001</v>
      </c>
      <c r="F150" s="2" t="s">
        <v>153</v>
      </c>
      <c r="G150" s="6" t="s">
        <v>1755</v>
      </c>
      <c r="H150" s="70">
        <v>50</v>
      </c>
      <c r="I150" s="72">
        <f>FastenersPriceList345[[#This Row],[Quantity (kg)]]/FastenersPriceList345[[#This Row],[SINGLE PC. WT.]]</f>
        <v>152.4390243902439</v>
      </c>
      <c r="J150" s="3">
        <v>160</v>
      </c>
      <c r="K150" s="3">
        <f>FastenersPriceList345[[#This Row],[1000 PCS/WT.]]*FastenersPriceList345[[#This Row],[Rate / PER kg (₹)]]</f>
        <v>52480</v>
      </c>
      <c r="L150" s="4">
        <f>FastenersPriceList345[[#This Row],[Rate / PER kg (₹)]]*FastenersPriceList345[[#This Row],[Quantity (kg)]]</f>
        <v>8000</v>
      </c>
      <c r="M150" s="4">
        <f>FastenersPriceList345[[#This Row],[SINGLE PC. WT.]]*FastenersPriceList345[[#This Row],[Rate / PER kg (₹)]]</f>
        <v>52.480000000000004</v>
      </c>
    </row>
    <row r="151" spans="1:13" ht="22.05" customHeight="1" x14ac:dyDescent="0.3">
      <c r="A151" s="2" t="s">
        <v>2324</v>
      </c>
      <c r="B151" s="12" t="s">
        <v>8</v>
      </c>
      <c r="C151" s="12">
        <v>12.9</v>
      </c>
      <c r="D151" s="2">
        <v>344</v>
      </c>
      <c r="E151" s="2">
        <f>FastenersPriceList345[[#This Row],[1000 PCS/WT.]]/1000</f>
        <v>0.34399999999999997</v>
      </c>
      <c r="F151" s="2" t="s">
        <v>154</v>
      </c>
      <c r="G151" s="6" t="s">
        <v>1755</v>
      </c>
      <c r="H151" s="70">
        <v>50</v>
      </c>
      <c r="I151" s="72">
        <f>FastenersPriceList345[[#This Row],[Quantity (kg)]]/FastenersPriceList345[[#This Row],[SINGLE PC. WT.]]</f>
        <v>145.34883720930233</v>
      </c>
      <c r="J151" s="3">
        <v>160</v>
      </c>
      <c r="K151" s="3">
        <f>FastenersPriceList345[[#This Row],[1000 PCS/WT.]]*FastenersPriceList345[[#This Row],[Rate / PER kg (₹)]]</f>
        <v>55040</v>
      </c>
      <c r="L151" s="4">
        <f>FastenersPriceList345[[#This Row],[Rate / PER kg (₹)]]*FastenersPriceList345[[#This Row],[Quantity (kg)]]</f>
        <v>8000</v>
      </c>
      <c r="M151" s="4">
        <f>FastenersPriceList345[[#This Row],[SINGLE PC. WT.]]*FastenersPriceList345[[#This Row],[Rate / PER kg (₹)]]</f>
        <v>55.039999999999992</v>
      </c>
    </row>
    <row r="152" spans="1:13" ht="22.05" customHeight="1" x14ac:dyDescent="0.3">
      <c r="A152" s="2" t="s">
        <v>2325</v>
      </c>
      <c r="B152" s="12" t="s">
        <v>8</v>
      </c>
      <c r="C152" s="12">
        <v>12.9</v>
      </c>
      <c r="D152" s="2">
        <v>147.5</v>
      </c>
      <c r="E152" s="2">
        <f>FastenersPriceList345[[#This Row],[1000 PCS/WT.]]/1000</f>
        <v>0.14749999999999999</v>
      </c>
      <c r="F152" s="2" t="s">
        <v>155</v>
      </c>
      <c r="G152" s="6" t="s">
        <v>1755</v>
      </c>
      <c r="H152" s="70">
        <v>50</v>
      </c>
      <c r="I152" s="72">
        <f>FastenersPriceList345[[#This Row],[Quantity (kg)]]/FastenersPriceList345[[#This Row],[SINGLE PC. WT.]]</f>
        <v>338.98305084745766</v>
      </c>
      <c r="J152" s="3">
        <v>160</v>
      </c>
      <c r="K152" s="3">
        <f>FastenersPriceList345[[#This Row],[1000 PCS/WT.]]*FastenersPriceList345[[#This Row],[Rate / PER kg (₹)]]</f>
        <v>23600</v>
      </c>
      <c r="L152" s="4">
        <f>FastenersPriceList345[[#This Row],[Rate / PER kg (₹)]]*FastenersPriceList345[[#This Row],[Quantity (kg)]]</f>
        <v>8000</v>
      </c>
      <c r="M152" s="4">
        <f>FastenersPriceList345[[#This Row],[SINGLE PC. WT.]]*FastenersPriceList345[[#This Row],[Rate / PER kg (₹)]]</f>
        <v>23.599999999999998</v>
      </c>
    </row>
    <row r="153" spans="1:13" ht="22.05" customHeight="1" x14ac:dyDescent="0.3">
      <c r="A153" s="2" t="s">
        <v>2326</v>
      </c>
      <c r="B153" s="12" t="s">
        <v>8</v>
      </c>
      <c r="C153" s="12">
        <v>12.9</v>
      </c>
      <c r="D153" s="2">
        <v>157.75</v>
      </c>
      <c r="E153" s="2">
        <f>FastenersPriceList345[[#This Row],[1000 PCS/WT.]]/1000</f>
        <v>0.15775</v>
      </c>
      <c r="F153" s="2" t="s">
        <v>156</v>
      </c>
      <c r="G153" s="6" t="s">
        <v>1755</v>
      </c>
      <c r="H153" s="70">
        <v>50</v>
      </c>
      <c r="I153" s="72">
        <f>FastenersPriceList345[[#This Row],[Quantity (kg)]]/FastenersPriceList345[[#This Row],[SINGLE PC. WT.]]</f>
        <v>316.95721077654514</v>
      </c>
      <c r="J153" s="3">
        <v>160</v>
      </c>
      <c r="K153" s="3">
        <f>FastenersPriceList345[[#This Row],[1000 PCS/WT.]]*FastenersPriceList345[[#This Row],[Rate / PER kg (₹)]]</f>
        <v>25240</v>
      </c>
      <c r="L153" s="4">
        <f>FastenersPriceList345[[#This Row],[Rate / PER kg (₹)]]*FastenersPriceList345[[#This Row],[Quantity (kg)]]</f>
        <v>8000</v>
      </c>
      <c r="M153" s="4">
        <f>FastenersPriceList345[[#This Row],[SINGLE PC. WT.]]*FastenersPriceList345[[#This Row],[Rate / PER kg (₹)]]</f>
        <v>25.240000000000002</v>
      </c>
    </row>
    <row r="154" spans="1:13" ht="22.05" customHeight="1" x14ac:dyDescent="0.3">
      <c r="A154" s="2" t="s">
        <v>2327</v>
      </c>
      <c r="B154" s="12" t="s">
        <v>8</v>
      </c>
      <c r="C154" s="12">
        <v>12.9</v>
      </c>
      <c r="D154" s="2">
        <v>168</v>
      </c>
      <c r="E154" s="2">
        <f>FastenersPriceList345[[#This Row],[1000 PCS/WT.]]/1000</f>
        <v>0.16800000000000001</v>
      </c>
      <c r="F154" s="2" t="s">
        <v>157</v>
      </c>
      <c r="G154" s="6" t="s">
        <v>1755</v>
      </c>
      <c r="H154" s="70">
        <v>50</v>
      </c>
      <c r="I154" s="72">
        <f>FastenersPriceList345[[#This Row],[Quantity (kg)]]/FastenersPriceList345[[#This Row],[SINGLE PC. WT.]]</f>
        <v>297.61904761904759</v>
      </c>
      <c r="J154" s="3">
        <v>160</v>
      </c>
      <c r="K154" s="3">
        <f>FastenersPriceList345[[#This Row],[1000 PCS/WT.]]*FastenersPriceList345[[#This Row],[Rate / PER kg (₹)]]</f>
        <v>26880</v>
      </c>
      <c r="L154" s="4">
        <f>FastenersPriceList345[[#This Row],[Rate / PER kg (₹)]]*FastenersPriceList345[[#This Row],[Quantity (kg)]]</f>
        <v>8000</v>
      </c>
      <c r="M154" s="4">
        <f>FastenersPriceList345[[#This Row],[SINGLE PC. WT.]]*FastenersPriceList345[[#This Row],[Rate / PER kg (₹)]]</f>
        <v>26.880000000000003</v>
      </c>
    </row>
    <row r="155" spans="1:13" ht="22.05" customHeight="1" x14ac:dyDescent="0.3">
      <c r="A155" s="2" t="s">
        <v>2328</v>
      </c>
      <c r="B155" s="12" t="s">
        <v>8</v>
      </c>
      <c r="C155" s="12">
        <v>12.9</v>
      </c>
      <c r="D155" s="2">
        <v>178.25</v>
      </c>
      <c r="E155" s="2">
        <f>FastenersPriceList345[[#This Row],[1000 PCS/WT.]]/1000</f>
        <v>0.17824999999999999</v>
      </c>
      <c r="F155" s="2" t="s">
        <v>158</v>
      </c>
      <c r="G155" s="6" t="s">
        <v>1755</v>
      </c>
      <c r="H155" s="70">
        <v>50</v>
      </c>
      <c r="I155" s="72">
        <f>FastenersPriceList345[[#This Row],[Quantity (kg)]]/FastenersPriceList345[[#This Row],[SINGLE PC. WT.]]</f>
        <v>280.50490883590464</v>
      </c>
      <c r="J155" s="3">
        <v>160</v>
      </c>
      <c r="K155" s="3">
        <f>FastenersPriceList345[[#This Row],[1000 PCS/WT.]]*FastenersPriceList345[[#This Row],[Rate / PER kg (₹)]]</f>
        <v>28520</v>
      </c>
      <c r="L155" s="4">
        <f>FastenersPriceList345[[#This Row],[Rate / PER kg (₹)]]*FastenersPriceList345[[#This Row],[Quantity (kg)]]</f>
        <v>8000</v>
      </c>
      <c r="M155" s="4">
        <f>FastenersPriceList345[[#This Row],[SINGLE PC. WT.]]*FastenersPriceList345[[#This Row],[Rate / PER kg (₹)]]</f>
        <v>28.52</v>
      </c>
    </row>
    <row r="156" spans="1:13" ht="22.05" customHeight="1" x14ac:dyDescent="0.3">
      <c r="A156" s="2" t="s">
        <v>2329</v>
      </c>
      <c r="B156" s="12" t="s">
        <v>8</v>
      </c>
      <c r="C156" s="12">
        <v>12.9</v>
      </c>
      <c r="D156" s="2">
        <v>188.5</v>
      </c>
      <c r="E156" s="2">
        <f>FastenersPriceList345[[#This Row],[1000 PCS/WT.]]/1000</f>
        <v>0.1885</v>
      </c>
      <c r="F156" s="2" t="s">
        <v>159</v>
      </c>
      <c r="G156" s="6" t="s">
        <v>1755</v>
      </c>
      <c r="H156" s="70">
        <v>50</v>
      </c>
      <c r="I156" s="72">
        <f>FastenersPriceList345[[#This Row],[Quantity (kg)]]/FastenersPriceList345[[#This Row],[SINGLE PC. WT.]]</f>
        <v>265.25198938992042</v>
      </c>
      <c r="J156" s="3">
        <v>160</v>
      </c>
      <c r="K156" s="3">
        <f>FastenersPriceList345[[#This Row],[1000 PCS/WT.]]*FastenersPriceList345[[#This Row],[Rate / PER kg (₹)]]</f>
        <v>30160</v>
      </c>
      <c r="L156" s="4">
        <f>FastenersPriceList345[[#This Row],[Rate / PER kg (₹)]]*FastenersPriceList345[[#This Row],[Quantity (kg)]]</f>
        <v>8000</v>
      </c>
      <c r="M156" s="4">
        <f>FastenersPriceList345[[#This Row],[SINGLE PC. WT.]]*FastenersPriceList345[[#This Row],[Rate / PER kg (₹)]]</f>
        <v>30.16</v>
      </c>
    </row>
    <row r="157" spans="1:13" ht="22.05" customHeight="1" x14ac:dyDescent="0.3">
      <c r="A157" s="2" t="s">
        <v>2330</v>
      </c>
      <c r="B157" s="12" t="s">
        <v>8</v>
      </c>
      <c r="C157" s="12">
        <v>12.9</v>
      </c>
      <c r="D157" s="2">
        <v>198.75</v>
      </c>
      <c r="E157" s="2">
        <f>FastenersPriceList345[[#This Row],[1000 PCS/WT.]]/1000</f>
        <v>0.19875000000000001</v>
      </c>
      <c r="F157" s="2" t="s">
        <v>160</v>
      </c>
      <c r="G157" s="6" t="s">
        <v>1755</v>
      </c>
      <c r="H157" s="70">
        <v>50</v>
      </c>
      <c r="I157" s="72">
        <f>FastenersPriceList345[[#This Row],[Quantity (kg)]]/FastenersPriceList345[[#This Row],[SINGLE PC. WT.]]</f>
        <v>251.57232704402514</v>
      </c>
      <c r="J157" s="3">
        <v>160</v>
      </c>
      <c r="K157" s="3">
        <f>FastenersPriceList345[[#This Row],[1000 PCS/WT.]]*FastenersPriceList345[[#This Row],[Rate / PER kg (₹)]]</f>
        <v>31800</v>
      </c>
      <c r="L157" s="4">
        <f>FastenersPriceList345[[#This Row],[Rate / PER kg (₹)]]*FastenersPriceList345[[#This Row],[Quantity (kg)]]</f>
        <v>8000</v>
      </c>
      <c r="M157" s="4">
        <f>FastenersPriceList345[[#This Row],[SINGLE PC. WT.]]*FastenersPriceList345[[#This Row],[Rate / PER kg (₹)]]</f>
        <v>31.8</v>
      </c>
    </row>
    <row r="158" spans="1:13" ht="22.05" customHeight="1" x14ac:dyDescent="0.3">
      <c r="A158" s="2" t="s">
        <v>2331</v>
      </c>
      <c r="B158" s="12" t="s">
        <v>8</v>
      </c>
      <c r="C158" s="12">
        <v>12.9</v>
      </c>
      <c r="D158" s="2">
        <v>209</v>
      </c>
      <c r="E158" s="2">
        <f>FastenersPriceList345[[#This Row],[1000 PCS/WT.]]/1000</f>
        <v>0.20899999999999999</v>
      </c>
      <c r="F158" s="2" t="s">
        <v>161</v>
      </c>
      <c r="G158" s="6" t="s">
        <v>1755</v>
      </c>
      <c r="H158" s="70">
        <v>50</v>
      </c>
      <c r="I158" s="72">
        <f>FastenersPriceList345[[#This Row],[Quantity (kg)]]/FastenersPriceList345[[#This Row],[SINGLE PC. WT.]]</f>
        <v>239.23444976076556</v>
      </c>
      <c r="J158" s="3">
        <v>160</v>
      </c>
      <c r="K158" s="3">
        <f>FastenersPriceList345[[#This Row],[1000 PCS/WT.]]*FastenersPriceList345[[#This Row],[Rate / PER kg (₹)]]</f>
        <v>33440</v>
      </c>
      <c r="L158" s="4">
        <f>FastenersPriceList345[[#This Row],[Rate / PER kg (₹)]]*FastenersPriceList345[[#This Row],[Quantity (kg)]]</f>
        <v>8000</v>
      </c>
      <c r="M158" s="4">
        <f>FastenersPriceList345[[#This Row],[SINGLE PC. WT.]]*FastenersPriceList345[[#This Row],[Rate / PER kg (₹)]]</f>
        <v>33.44</v>
      </c>
    </row>
    <row r="159" spans="1:13" ht="22.05" customHeight="1" x14ac:dyDescent="0.3">
      <c r="A159" s="2" t="s">
        <v>2332</v>
      </c>
      <c r="B159" s="12" t="s">
        <v>8</v>
      </c>
      <c r="C159" s="12">
        <v>12.9</v>
      </c>
      <c r="D159" s="2">
        <v>219.25</v>
      </c>
      <c r="E159" s="2">
        <f>FastenersPriceList345[[#This Row],[1000 PCS/WT.]]/1000</f>
        <v>0.21925</v>
      </c>
      <c r="F159" s="2" t="s">
        <v>162</v>
      </c>
      <c r="G159" s="6" t="s">
        <v>1755</v>
      </c>
      <c r="H159" s="70">
        <v>50</v>
      </c>
      <c r="I159" s="72">
        <f>FastenersPriceList345[[#This Row],[Quantity (kg)]]/FastenersPriceList345[[#This Row],[SINGLE PC. WT.]]</f>
        <v>228.05017103762827</v>
      </c>
      <c r="J159" s="3">
        <v>160</v>
      </c>
      <c r="K159" s="3">
        <f>FastenersPriceList345[[#This Row],[1000 PCS/WT.]]*FastenersPriceList345[[#This Row],[Rate / PER kg (₹)]]</f>
        <v>35080</v>
      </c>
      <c r="L159" s="4">
        <f>FastenersPriceList345[[#This Row],[Rate / PER kg (₹)]]*FastenersPriceList345[[#This Row],[Quantity (kg)]]</f>
        <v>8000</v>
      </c>
      <c r="M159" s="4">
        <f>FastenersPriceList345[[#This Row],[SINGLE PC. WT.]]*FastenersPriceList345[[#This Row],[Rate / PER kg (₹)]]</f>
        <v>35.08</v>
      </c>
    </row>
    <row r="160" spans="1:13" ht="22.05" customHeight="1" x14ac:dyDescent="0.3">
      <c r="A160" s="2" t="s">
        <v>2333</v>
      </c>
      <c r="B160" s="12" t="s">
        <v>8</v>
      </c>
      <c r="C160" s="12">
        <v>12.9</v>
      </c>
      <c r="D160" s="2">
        <v>229.5</v>
      </c>
      <c r="E160" s="2">
        <f>FastenersPriceList345[[#This Row],[1000 PCS/WT.]]/1000</f>
        <v>0.22950000000000001</v>
      </c>
      <c r="F160" s="2" t="s">
        <v>163</v>
      </c>
      <c r="G160" s="6" t="s">
        <v>1755</v>
      </c>
      <c r="H160" s="70">
        <v>50</v>
      </c>
      <c r="I160" s="72">
        <f>FastenersPriceList345[[#This Row],[Quantity (kg)]]/FastenersPriceList345[[#This Row],[SINGLE PC. WT.]]</f>
        <v>217.86492374727669</v>
      </c>
      <c r="J160" s="3">
        <v>160</v>
      </c>
      <c r="K160" s="3">
        <f>FastenersPriceList345[[#This Row],[1000 PCS/WT.]]*FastenersPriceList345[[#This Row],[Rate / PER kg (₹)]]</f>
        <v>36720</v>
      </c>
      <c r="L160" s="4">
        <f>FastenersPriceList345[[#This Row],[Rate / PER kg (₹)]]*FastenersPriceList345[[#This Row],[Quantity (kg)]]</f>
        <v>8000</v>
      </c>
      <c r="M160" s="4">
        <f>FastenersPriceList345[[#This Row],[SINGLE PC. WT.]]*FastenersPriceList345[[#This Row],[Rate / PER kg (₹)]]</f>
        <v>36.72</v>
      </c>
    </row>
    <row r="161" spans="1:13" ht="22.05" customHeight="1" x14ac:dyDescent="0.3">
      <c r="A161" s="2" t="s">
        <v>2334</v>
      </c>
      <c r="B161" s="12" t="s">
        <v>8</v>
      </c>
      <c r="C161" s="12">
        <v>12.9</v>
      </c>
      <c r="D161" s="2">
        <v>239.75</v>
      </c>
      <c r="E161" s="2">
        <f>FastenersPriceList345[[#This Row],[1000 PCS/WT.]]/1000</f>
        <v>0.23974999999999999</v>
      </c>
      <c r="F161" s="2" t="s">
        <v>164</v>
      </c>
      <c r="G161" s="6" t="s">
        <v>1755</v>
      </c>
      <c r="H161" s="70">
        <v>50</v>
      </c>
      <c r="I161" s="72">
        <f>FastenersPriceList345[[#This Row],[Quantity (kg)]]/FastenersPriceList345[[#This Row],[SINGLE PC. WT.]]</f>
        <v>208.55057351407717</v>
      </c>
      <c r="J161" s="3">
        <v>160</v>
      </c>
      <c r="K161" s="3">
        <f>FastenersPriceList345[[#This Row],[1000 PCS/WT.]]*FastenersPriceList345[[#This Row],[Rate / PER kg (₹)]]</f>
        <v>38360</v>
      </c>
      <c r="L161" s="4">
        <f>FastenersPriceList345[[#This Row],[Rate / PER kg (₹)]]*FastenersPriceList345[[#This Row],[Quantity (kg)]]</f>
        <v>8000</v>
      </c>
      <c r="M161" s="4">
        <f>FastenersPriceList345[[#This Row],[SINGLE PC. WT.]]*FastenersPriceList345[[#This Row],[Rate / PER kg (₹)]]</f>
        <v>38.36</v>
      </c>
    </row>
    <row r="162" spans="1:13" ht="22.05" customHeight="1" x14ac:dyDescent="0.3">
      <c r="A162" s="2" t="s">
        <v>2335</v>
      </c>
      <c r="B162" s="12" t="s">
        <v>8</v>
      </c>
      <c r="C162" s="12">
        <v>12.9</v>
      </c>
      <c r="D162" s="2">
        <v>250</v>
      </c>
      <c r="E162" s="2">
        <f>FastenersPriceList345[[#This Row],[1000 PCS/WT.]]/1000</f>
        <v>0.25</v>
      </c>
      <c r="F162" s="2" t="s">
        <v>165</v>
      </c>
      <c r="G162" s="6" t="s">
        <v>1755</v>
      </c>
      <c r="H162" s="70">
        <v>50</v>
      </c>
      <c r="I162" s="72">
        <f>FastenersPriceList345[[#This Row],[Quantity (kg)]]/FastenersPriceList345[[#This Row],[SINGLE PC. WT.]]</f>
        <v>200</v>
      </c>
      <c r="J162" s="3">
        <v>160</v>
      </c>
      <c r="K162" s="3">
        <f>FastenersPriceList345[[#This Row],[1000 PCS/WT.]]*FastenersPriceList345[[#This Row],[Rate / PER kg (₹)]]</f>
        <v>40000</v>
      </c>
      <c r="L162" s="4">
        <f>FastenersPriceList345[[#This Row],[Rate / PER kg (₹)]]*FastenersPriceList345[[#This Row],[Quantity (kg)]]</f>
        <v>8000</v>
      </c>
      <c r="M162" s="4">
        <f>FastenersPriceList345[[#This Row],[SINGLE PC. WT.]]*FastenersPriceList345[[#This Row],[Rate / PER kg (₹)]]</f>
        <v>40</v>
      </c>
    </row>
    <row r="163" spans="1:13" ht="22.05" customHeight="1" x14ac:dyDescent="0.3">
      <c r="A163" s="2" t="s">
        <v>2336</v>
      </c>
      <c r="B163" s="12" t="s">
        <v>8</v>
      </c>
      <c r="C163" s="12">
        <v>12.9</v>
      </c>
      <c r="D163" s="2">
        <v>260.25</v>
      </c>
      <c r="E163" s="2">
        <f>FastenersPriceList345[[#This Row],[1000 PCS/WT.]]/1000</f>
        <v>0.26024999999999998</v>
      </c>
      <c r="F163" s="2" t="s">
        <v>166</v>
      </c>
      <c r="G163" s="6" t="s">
        <v>1755</v>
      </c>
      <c r="H163" s="70">
        <v>50</v>
      </c>
      <c r="I163" s="72">
        <f>FastenersPriceList345[[#This Row],[Quantity (kg)]]/FastenersPriceList345[[#This Row],[SINGLE PC. WT.]]</f>
        <v>192.1229586935639</v>
      </c>
      <c r="J163" s="3">
        <v>160</v>
      </c>
      <c r="K163" s="3">
        <f>FastenersPriceList345[[#This Row],[1000 PCS/WT.]]*FastenersPriceList345[[#This Row],[Rate / PER kg (₹)]]</f>
        <v>41640</v>
      </c>
      <c r="L163" s="4">
        <f>FastenersPriceList345[[#This Row],[Rate / PER kg (₹)]]*FastenersPriceList345[[#This Row],[Quantity (kg)]]</f>
        <v>8000</v>
      </c>
      <c r="M163" s="4">
        <f>FastenersPriceList345[[#This Row],[SINGLE PC. WT.]]*FastenersPriceList345[[#This Row],[Rate / PER kg (₹)]]</f>
        <v>41.64</v>
      </c>
    </row>
    <row r="164" spans="1:13" ht="22.05" customHeight="1" x14ac:dyDescent="0.3">
      <c r="A164" s="2" t="s">
        <v>2337</v>
      </c>
      <c r="B164" s="12" t="s">
        <v>8</v>
      </c>
      <c r="C164" s="12">
        <v>12.9</v>
      </c>
      <c r="D164" s="2">
        <v>270.5</v>
      </c>
      <c r="E164" s="2">
        <f>FastenersPriceList345[[#This Row],[1000 PCS/WT.]]/1000</f>
        <v>0.27050000000000002</v>
      </c>
      <c r="F164" s="2" t="s">
        <v>167</v>
      </c>
      <c r="G164" s="6" t="s">
        <v>1755</v>
      </c>
      <c r="H164" s="70">
        <v>50</v>
      </c>
      <c r="I164" s="72">
        <f>FastenersPriceList345[[#This Row],[Quantity (kg)]]/FastenersPriceList345[[#This Row],[SINGLE PC. WT.]]</f>
        <v>184.84288354898334</v>
      </c>
      <c r="J164" s="3">
        <v>160</v>
      </c>
      <c r="K164" s="3">
        <f>FastenersPriceList345[[#This Row],[1000 PCS/WT.]]*FastenersPriceList345[[#This Row],[Rate / PER kg (₹)]]</f>
        <v>43280</v>
      </c>
      <c r="L164" s="4">
        <f>FastenersPriceList345[[#This Row],[Rate / PER kg (₹)]]*FastenersPriceList345[[#This Row],[Quantity (kg)]]</f>
        <v>8000</v>
      </c>
      <c r="M164" s="4">
        <f>FastenersPriceList345[[#This Row],[SINGLE PC. WT.]]*FastenersPriceList345[[#This Row],[Rate / PER kg (₹)]]</f>
        <v>43.28</v>
      </c>
    </row>
    <row r="165" spans="1:13" ht="22.05" customHeight="1" x14ac:dyDescent="0.3">
      <c r="A165" s="2" t="s">
        <v>2338</v>
      </c>
      <c r="B165" s="12" t="s">
        <v>8</v>
      </c>
      <c r="C165" s="12">
        <v>12.9</v>
      </c>
      <c r="D165" s="2">
        <v>280.75</v>
      </c>
      <c r="E165" s="2">
        <f>FastenersPriceList345[[#This Row],[1000 PCS/WT.]]/1000</f>
        <v>0.28075</v>
      </c>
      <c r="F165" s="2" t="s">
        <v>168</v>
      </c>
      <c r="G165" s="6" t="s">
        <v>1755</v>
      </c>
      <c r="H165" s="70">
        <v>50</v>
      </c>
      <c r="I165" s="72">
        <f>FastenersPriceList345[[#This Row],[Quantity (kg)]]/FastenersPriceList345[[#This Row],[SINGLE PC. WT.]]</f>
        <v>178.09439002671417</v>
      </c>
      <c r="J165" s="3">
        <v>160</v>
      </c>
      <c r="K165" s="3">
        <f>FastenersPriceList345[[#This Row],[1000 PCS/WT.]]*FastenersPriceList345[[#This Row],[Rate / PER kg (₹)]]</f>
        <v>44920</v>
      </c>
      <c r="L165" s="4">
        <f>FastenersPriceList345[[#This Row],[Rate / PER kg (₹)]]*FastenersPriceList345[[#This Row],[Quantity (kg)]]</f>
        <v>8000</v>
      </c>
      <c r="M165" s="4">
        <f>FastenersPriceList345[[#This Row],[SINGLE PC. WT.]]*FastenersPriceList345[[#This Row],[Rate / PER kg (₹)]]</f>
        <v>44.92</v>
      </c>
    </row>
    <row r="166" spans="1:13" ht="22.05" customHeight="1" x14ac:dyDescent="0.3">
      <c r="A166" s="2" t="s">
        <v>2339</v>
      </c>
      <c r="B166" s="12" t="s">
        <v>8</v>
      </c>
      <c r="C166" s="12">
        <v>12.9</v>
      </c>
      <c r="D166" s="2">
        <v>301.25</v>
      </c>
      <c r="E166" s="2">
        <f>FastenersPriceList345[[#This Row],[1000 PCS/WT.]]/1000</f>
        <v>0.30125000000000002</v>
      </c>
      <c r="F166" s="2" t="s">
        <v>169</v>
      </c>
      <c r="G166" s="6" t="s">
        <v>1755</v>
      </c>
      <c r="H166" s="70">
        <v>50</v>
      </c>
      <c r="I166" s="72">
        <f>FastenersPriceList345[[#This Row],[Quantity (kg)]]/FastenersPriceList345[[#This Row],[SINGLE PC. WT.]]</f>
        <v>165.97510373443981</v>
      </c>
      <c r="J166" s="3">
        <v>160</v>
      </c>
      <c r="K166" s="3">
        <f>FastenersPriceList345[[#This Row],[1000 PCS/WT.]]*FastenersPriceList345[[#This Row],[Rate / PER kg (₹)]]</f>
        <v>48200</v>
      </c>
      <c r="L166" s="4">
        <f>FastenersPriceList345[[#This Row],[Rate / PER kg (₹)]]*FastenersPriceList345[[#This Row],[Quantity (kg)]]</f>
        <v>8000</v>
      </c>
      <c r="M166" s="4">
        <f>FastenersPriceList345[[#This Row],[SINGLE PC. WT.]]*FastenersPriceList345[[#This Row],[Rate / PER kg (₹)]]</f>
        <v>48.2</v>
      </c>
    </row>
    <row r="167" spans="1:13" ht="22.05" customHeight="1" x14ac:dyDescent="0.3">
      <c r="A167" s="2" t="s">
        <v>2340</v>
      </c>
      <c r="B167" s="12" t="s">
        <v>8</v>
      </c>
      <c r="C167" s="12">
        <v>12.9</v>
      </c>
      <c r="D167" s="2">
        <v>321.75</v>
      </c>
      <c r="E167" s="2">
        <f>FastenersPriceList345[[#This Row],[1000 PCS/WT.]]/1000</f>
        <v>0.32174999999999998</v>
      </c>
      <c r="F167" s="2" t="s">
        <v>170</v>
      </c>
      <c r="G167" s="6" t="s">
        <v>1755</v>
      </c>
      <c r="H167" s="70">
        <v>50</v>
      </c>
      <c r="I167" s="72">
        <f>FastenersPriceList345[[#This Row],[Quantity (kg)]]/FastenersPriceList345[[#This Row],[SINGLE PC. WT.]]</f>
        <v>155.4001554001554</v>
      </c>
      <c r="J167" s="3">
        <v>160</v>
      </c>
      <c r="K167" s="3">
        <f>FastenersPriceList345[[#This Row],[1000 PCS/WT.]]*FastenersPriceList345[[#This Row],[Rate / PER kg (₹)]]</f>
        <v>51480</v>
      </c>
      <c r="L167" s="4">
        <f>FastenersPriceList345[[#This Row],[Rate / PER kg (₹)]]*FastenersPriceList345[[#This Row],[Quantity (kg)]]</f>
        <v>8000</v>
      </c>
      <c r="M167" s="4">
        <f>FastenersPriceList345[[#This Row],[SINGLE PC. WT.]]*FastenersPriceList345[[#This Row],[Rate / PER kg (₹)]]</f>
        <v>51.48</v>
      </c>
    </row>
    <row r="168" spans="1:13" ht="22.05" customHeight="1" x14ac:dyDescent="0.3">
      <c r="A168" s="2" t="s">
        <v>2341</v>
      </c>
      <c r="B168" s="12" t="s">
        <v>8</v>
      </c>
      <c r="C168" s="12">
        <v>12.9</v>
      </c>
      <c r="D168" s="2">
        <v>342.25</v>
      </c>
      <c r="E168" s="2">
        <f>FastenersPriceList345[[#This Row],[1000 PCS/WT.]]/1000</f>
        <v>0.34225</v>
      </c>
      <c r="F168" s="2" t="s">
        <v>171</v>
      </c>
      <c r="G168" s="6" t="s">
        <v>1755</v>
      </c>
      <c r="H168" s="70">
        <v>50</v>
      </c>
      <c r="I168" s="72">
        <f>FastenersPriceList345[[#This Row],[Quantity (kg)]]/FastenersPriceList345[[#This Row],[SINGLE PC. WT.]]</f>
        <v>146.09203798392988</v>
      </c>
      <c r="J168" s="3">
        <v>160</v>
      </c>
      <c r="K168" s="3">
        <f>FastenersPriceList345[[#This Row],[1000 PCS/WT.]]*FastenersPriceList345[[#This Row],[Rate / PER kg (₹)]]</f>
        <v>54760</v>
      </c>
      <c r="L168" s="4">
        <f>FastenersPriceList345[[#This Row],[Rate / PER kg (₹)]]*FastenersPriceList345[[#This Row],[Quantity (kg)]]</f>
        <v>8000</v>
      </c>
      <c r="M168" s="4">
        <f>FastenersPriceList345[[#This Row],[SINGLE PC. WT.]]*FastenersPriceList345[[#This Row],[Rate / PER kg (₹)]]</f>
        <v>54.76</v>
      </c>
    </row>
    <row r="169" spans="1:13" ht="22.05" customHeight="1" x14ac:dyDescent="0.3">
      <c r="A169" s="2" t="s">
        <v>2342</v>
      </c>
      <c r="B169" s="12" t="s">
        <v>8</v>
      </c>
      <c r="C169" s="12">
        <v>12.9</v>
      </c>
      <c r="D169" s="2">
        <v>362.75</v>
      </c>
      <c r="E169" s="2">
        <f>FastenersPriceList345[[#This Row],[1000 PCS/WT.]]/1000</f>
        <v>0.36275000000000002</v>
      </c>
      <c r="F169" s="2" t="s">
        <v>172</v>
      </c>
      <c r="G169" s="6" t="s">
        <v>1755</v>
      </c>
      <c r="H169" s="70">
        <v>50</v>
      </c>
      <c r="I169" s="72">
        <f>FastenersPriceList345[[#This Row],[Quantity (kg)]]/FastenersPriceList345[[#This Row],[SINGLE PC. WT.]]</f>
        <v>137.83597518952445</v>
      </c>
      <c r="J169" s="3">
        <v>160</v>
      </c>
      <c r="K169" s="3">
        <f>FastenersPriceList345[[#This Row],[1000 PCS/WT.]]*FastenersPriceList345[[#This Row],[Rate / PER kg (₹)]]</f>
        <v>58040</v>
      </c>
      <c r="L169" s="4">
        <f>FastenersPriceList345[[#This Row],[Rate / PER kg (₹)]]*FastenersPriceList345[[#This Row],[Quantity (kg)]]</f>
        <v>8000</v>
      </c>
      <c r="M169" s="4">
        <f>FastenersPriceList345[[#This Row],[SINGLE PC. WT.]]*FastenersPriceList345[[#This Row],[Rate / PER kg (₹)]]</f>
        <v>58.040000000000006</v>
      </c>
    </row>
    <row r="170" spans="1:13" ht="22.05" customHeight="1" x14ac:dyDescent="0.3">
      <c r="A170" s="2" t="s">
        <v>2343</v>
      </c>
      <c r="B170" s="12" t="s">
        <v>8</v>
      </c>
      <c r="C170" s="12">
        <v>12.9</v>
      </c>
      <c r="D170" s="2">
        <v>383.25</v>
      </c>
      <c r="E170" s="2">
        <f>FastenersPriceList345[[#This Row],[1000 PCS/WT.]]/1000</f>
        <v>0.38324999999999998</v>
      </c>
      <c r="F170" s="2" t="s">
        <v>173</v>
      </c>
      <c r="G170" s="6" t="s">
        <v>1755</v>
      </c>
      <c r="H170" s="70">
        <v>50</v>
      </c>
      <c r="I170" s="72">
        <f>FastenersPriceList345[[#This Row],[Quantity (kg)]]/FastenersPriceList345[[#This Row],[SINGLE PC. WT.]]</f>
        <v>130.4631441617743</v>
      </c>
      <c r="J170" s="3">
        <v>160</v>
      </c>
      <c r="K170" s="3">
        <f>FastenersPriceList345[[#This Row],[1000 PCS/WT.]]*FastenersPriceList345[[#This Row],[Rate / PER kg (₹)]]</f>
        <v>61320</v>
      </c>
      <c r="L170" s="4">
        <f>FastenersPriceList345[[#This Row],[Rate / PER kg (₹)]]*FastenersPriceList345[[#This Row],[Quantity (kg)]]</f>
        <v>8000</v>
      </c>
      <c r="M170" s="4">
        <f>FastenersPriceList345[[#This Row],[SINGLE PC. WT.]]*FastenersPriceList345[[#This Row],[Rate / PER kg (₹)]]</f>
        <v>61.319999999999993</v>
      </c>
    </row>
    <row r="171" spans="1:13" ht="22.05" customHeight="1" x14ac:dyDescent="0.3">
      <c r="A171" s="2" t="s">
        <v>2344</v>
      </c>
      <c r="B171" s="12" t="s">
        <v>8</v>
      </c>
      <c r="C171" s="12">
        <v>12.9</v>
      </c>
      <c r="D171" s="2">
        <v>403.75</v>
      </c>
      <c r="E171" s="2">
        <f>FastenersPriceList345[[#This Row],[1000 PCS/WT.]]/1000</f>
        <v>0.40375</v>
      </c>
      <c r="F171" s="2" t="s">
        <v>174</v>
      </c>
      <c r="G171" s="6" t="s">
        <v>1755</v>
      </c>
      <c r="H171" s="70">
        <v>50</v>
      </c>
      <c r="I171" s="72">
        <f>FastenersPriceList345[[#This Row],[Quantity (kg)]]/FastenersPriceList345[[#This Row],[SINGLE PC. WT.]]</f>
        <v>123.83900928792569</v>
      </c>
      <c r="J171" s="3">
        <v>160</v>
      </c>
      <c r="K171" s="3">
        <f>FastenersPriceList345[[#This Row],[1000 PCS/WT.]]*FastenersPriceList345[[#This Row],[Rate / PER kg (₹)]]</f>
        <v>64600</v>
      </c>
      <c r="L171" s="4">
        <f>FastenersPriceList345[[#This Row],[Rate / PER kg (₹)]]*FastenersPriceList345[[#This Row],[Quantity (kg)]]</f>
        <v>8000</v>
      </c>
      <c r="M171" s="4">
        <f>FastenersPriceList345[[#This Row],[SINGLE PC. WT.]]*FastenersPriceList345[[#This Row],[Rate / PER kg (₹)]]</f>
        <v>64.599999999999994</v>
      </c>
    </row>
    <row r="172" spans="1:13" ht="22.05" customHeight="1" x14ac:dyDescent="0.3">
      <c r="A172" s="2" t="s">
        <v>2345</v>
      </c>
      <c r="B172" s="12" t="s">
        <v>8</v>
      </c>
      <c r="C172" s="12">
        <v>12.9</v>
      </c>
      <c r="D172" s="2">
        <v>444.75</v>
      </c>
      <c r="E172" s="2">
        <f>FastenersPriceList345[[#This Row],[1000 PCS/WT.]]/1000</f>
        <v>0.44474999999999998</v>
      </c>
      <c r="F172" s="2" t="s">
        <v>175</v>
      </c>
      <c r="G172" s="6" t="s">
        <v>1755</v>
      </c>
      <c r="H172" s="70">
        <v>50</v>
      </c>
      <c r="I172" s="72">
        <f>FastenersPriceList345[[#This Row],[Quantity (kg)]]/FastenersPriceList345[[#This Row],[SINGLE PC. WT.]]</f>
        <v>112.42270938729624</v>
      </c>
      <c r="J172" s="3">
        <v>160</v>
      </c>
      <c r="K172" s="3">
        <f>FastenersPriceList345[[#This Row],[1000 PCS/WT.]]*FastenersPriceList345[[#This Row],[Rate / PER kg (₹)]]</f>
        <v>71160</v>
      </c>
      <c r="L172" s="4">
        <f>FastenersPriceList345[[#This Row],[Rate / PER kg (₹)]]*FastenersPriceList345[[#This Row],[Quantity (kg)]]</f>
        <v>8000</v>
      </c>
      <c r="M172" s="4">
        <f>FastenersPriceList345[[#This Row],[SINGLE PC. WT.]]*FastenersPriceList345[[#This Row],[Rate / PER kg (₹)]]</f>
        <v>71.16</v>
      </c>
    </row>
    <row r="173" spans="1:13" ht="22.05" customHeight="1" x14ac:dyDescent="0.3">
      <c r="A173" s="2" t="s">
        <v>2346</v>
      </c>
      <c r="B173" s="12" t="s">
        <v>8</v>
      </c>
      <c r="C173" s="12">
        <v>12.9</v>
      </c>
      <c r="D173" s="2">
        <v>465.25</v>
      </c>
      <c r="E173" s="2">
        <f>FastenersPriceList345[[#This Row],[1000 PCS/WT.]]/1000</f>
        <v>0.46525</v>
      </c>
      <c r="F173" s="2" t="s">
        <v>176</v>
      </c>
      <c r="G173" s="6" t="s">
        <v>1755</v>
      </c>
      <c r="H173" s="70">
        <v>50</v>
      </c>
      <c r="I173" s="72">
        <f>FastenersPriceList345[[#This Row],[Quantity (kg)]]/FastenersPriceList345[[#This Row],[SINGLE PC. WT.]]</f>
        <v>107.46910263299301</v>
      </c>
      <c r="J173" s="3">
        <v>160</v>
      </c>
      <c r="K173" s="3">
        <f>FastenersPriceList345[[#This Row],[1000 PCS/WT.]]*FastenersPriceList345[[#This Row],[Rate / PER kg (₹)]]</f>
        <v>74440</v>
      </c>
      <c r="L173" s="4">
        <f>FastenersPriceList345[[#This Row],[Rate / PER kg (₹)]]*FastenersPriceList345[[#This Row],[Quantity (kg)]]</f>
        <v>8000</v>
      </c>
      <c r="M173" s="4">
        <f>FastenersPriceList345[[#This Row],[SINGLE PC. WT.]]*FastenersPriceList345[[#This Row],[Rate / PER kg (₹)]]</f>
        <v>74.44</v>
      </c>
    </row>
    <row r="174" spans="1:13" ht="22.05" customHeight="1" x14ac:dyDescent="0.3">
      <c r="A174" s="2" t="s">
        <v>2347</v>
      </c>
      <c r="B174" s="12" t="s">
        <v>8</v>
      </c>
      <c r="C174" s="12">
        <v>12.9</v>
      </c>
      <c r="D174" s="2">
        <v>485.75</v>
      </c>
      <c r="E174" s="2">
        <f>FastenersPriceList345[[#This Row],[1000 PCS/WT.]]/1000</f>
        <v>0.48575000000000002</v>
      </c>
      <c r="F174" s="2" t="s">
        <v>177</v>
      </c>
      <c r="G174" s="6" t="s">
        <v>1755</v>
      </c>
      <c r="H174" s="70">
        <v>50</v>
      </c>
      <c r="I174" s="72">
        <f>FastenersPriceList345[[#This Row],[Quantity (kg)]]/FastenersPriceList345[[#This Row],[SINGLE PC. WT.]]</f>
        <v>102.93360782295419</v>
      </c>
      <c r="J174" s="3">
        <v>160</v>
      </c>
      <c r="K174" s="3">
        <f>FastenersPriceList345[[#This Row],[1000 PCS/WT.]]*FastenersPriceList345[[#This Row],[Rate / PER kg (₹)]]</f>
        <v>77720</v>
      </c>
      <c r="L174" s="4">
        <f>FastenersPriceList345[[#This Row],[Rate / PER kg (₹)]]*FastenersPriceList345[[#This Row],[Quantity (kg)]]</f>
        <v>8000</v>
      </c>
      <c r="M174" s="4">
        <f>FastenersPriceList345[[#This Row],[SINGLE PC. WT.]]*FastenersPriceList345[[#This Row],[Rate / PER kg (₹)]]</f>
        <v>77.72</v>
      </c>
    </row>
    <row r="175" spans="1:13" ht="22.05" customHeight="1" x14ac:dyDescent="0.3">
      <c r="A175" s="2" t="s">
        <v>2348</v>
      </c>
      <c r="B175" s="12" t="s">
        <v>8</v>
      </c>
      <c r="C175" s="12">
        <v>12.9</v>
      </c>
      <c r="D175" s="2">
        <v>183</v>
      </c>
      <c r="E175" s="2">
        <f>FastenersPriceList345[[#This Row],[1000 PCS/WT.]]/1000</f>
        <v>0.183</v>
      </c>
      <c r="F175" s="2" t="s">
        <v>636</v>
      </c>
      <c r="G175" s="6" t="s">
        <v>1755</v>
      </c>
      <c r="H175" s="70">
        <v>50</v>
      </c>
      <c r="I175" s="72">
        <f>FastenersPriceList345[[#This Row],[Quantity (kg)]]/FastenersPriceList345[[#This Row],[SINGLE PC. WT.]]</f>
        <v>273.22404371584702</v>
      </c>
      <c r="J175" s="3">
        <v>165</v>
      </c>
      <c r="K175" s="3">
        <f>FastenersPriceList345[[#This Row],[1000 PCS/WT.]]*FastenersPriceList345[[#This Row],[Rate / PER kg (₹)]]</f>
        <v>30195</v>
      </c>
      <c r="L175" s="4">
        <f>FastenersPriceList345[[#This Row],[Rate / PER kg (₹)]]*FastenersPriceList345[[#This Row],[Quantity (kg)]]</f>
        <v>8250</v>
      </c>
      <c r="M175" s="4">
        <f>FastenersPriceList345[[#This Row],[SINGLE PC. WT.]]*FastenersPriceList345[[#This Row],[Rate / PER kg (₹)]]</f>
        <v>30.195</v>
      </c>
    </row>
    <row r="176" spans="1:13" ht="22.05" customHeight="1" x14ac:dyDescent="0.3">
      <c r="A176" s="2" t="s">
        <v>2349</v>
      </c>
      <c r="B176" s="12" t="s">
        <v>8</v>
      </c>
      <c r="C176" s="12">
        <v>12.9</v>
      </c>
      <c r="D176" s="2">
        <v>196</v>
      </c>
      <c r="E176" s="2">
        <f>FastenersPriceList345[[#This Row],[1000 PCS/WT.]]/1000</f>
        <v>0.19600000000000001</v>
      </c>
      <c r="F176" s="2" t="s">
        <v>637</v>
      </c>
      <c r="G176" s="6" t="s">
        <v>1755</v>
      </c>
      <c r="H176" s="70">
        <v>50</v>
      </c>
      <c r="I176" s="72">
        <f>FastenersPriceList345[[#This Row],[Quantity (kg)]]/FastenersPriceList345[[#This Row],[SINGLE PC. WT.]]</f>
        <v>255.10204081632651</v>
      </c>
      <c r="J176" s="3">
        <v>165</v>
      </c>
      <c r="K176" s="3">
        <f>FastenersPriceList345[[#This Row],[1000 PCS/WT.]]*FastenersPriceList345[[#This Row],[Rate / PER kg (₹)]]</f>
        <v>32340</v>
      </c>
      <c r="L176" s="4">
        <f>FastenersPriceList345[[#This Row],[Rate / PER kg (₹)]]*FastenersPriceList345[[#This Row],[Quantity (kg)]]</f>
        <v>8250</v>
      </c>
      <c r="M176" s="4">
        <f>FastenersPriceList345[[#This Row],[SINGLE PC. WT.]]*FastenersPriceList345[[#This Row],[Rate / PER kg (₹)]]</f>
        <v>32.340000000000003</v>
      </c>
    </row>
    <row r="177" spans="1:13" ht="22.05" customHeight="1" x14ac:dyDescent="0.3">
      <c r="A177" s="2" t="s">
        <v>2350</v>
      </c>
      <c r="B177" s="12" t="s">
        <v>8</v>
      </c>
      <c r="C177" s="12">
        <v>12.9</v>
      </c>
      <c r="D177" s="2">
        <v>209</v>
      </c>
      <c r="E177" s="2">
        <f>FastenersPriceList345[[#This Row],[1000 PCS/WT.]]/1000</f>
        <v>0.20899999999999999</v>
      </c>
      <c r="F177" s="2" t="s">
        <v>638</v>
      </c>
      <c r="G177" s="6" t="s">
        <v>1755</v>
      </c>
      <c r="H177" s="70">
        <v>50</v>
      </c>
      <c r="I177" s="72">
        <f>FastenersPriceList345[[#This Row],[Quantity (kg)]]/FastenersPriceList345[[#This Row],[SINGLE PC. WT.]]</f>
        <v>239.23444976076556</v>
      </c>
      <c r="J177" s="3">
        <v>165</v>
      </c>
      <c r="K177" s="3">
        <f>FastenersPriceList345[[#This Row],[1000 PCS/WT.]]*FastenersPriceList345[[#This Row],[Rate / PER kg (₹)]]</f>
        <v>34485</v>
      </c>
      <c r="L177" s="4">
        <f>FastenersPriceList345[[#This Row],[Rate / PER kg (₹)]]*FastenersPriceList345[[#This Row],[Quantity (kg)]]</f>
        <v>8250</v>
      </c>
      <c r="M177" s="4">
        <f>FastenersPriceList345[[#This Row],[SINGLE PC. WT.]]*FastenersPriceList345[[#This Row],[Rate / PER kg (₹)]]</f>
        <v>34.484999999999999</v>
      </c>
    </row>
    <row r="178" spans="1:13" ht="22.05" customHeight="1" x14ac:dyDescent="0.3">
      <c r="A178" s="2" t="s">
        <v>2351</v>
      </c>
      <c r="B178" s="12" t="s">
        <v>8</v>
      </c>
      <c r="C178" s="12">
        <v>12.9</v>
      </c>
      <c r="D178" s="2">
        <v>222</v>
      </c>
      <c r="E178" s="2">
        <f>FastenersPriceList345[[#This Row],[1000 PCS/WT.]]/1000</f>
        <v>0.222</v>
      </c>
      <c r="F178" s="2" t="s">
        <v>639</v>
      </c>
      <c r="G178" s="6" t="s">
        <v>1755</v>
      </c>
      <c r="H178" s="70">
        <v>50</v>
      </c>
      <c r="I178" s="72">
        <f>FastenersPriceList345[[#This Row],[Quantity (kg)]]/FastenersPriceList345[[#This Row],[SINGLE PC. WT.]]</f>
        <v>225.22522522522522</v>
      </c>
      <c r="J178" s="3">
        <v>165</v>
      </c>
      <c r="K178" s="3">
        <f>FastenersPriceList345[[#This Row],[1000 PCS/WT.]]*FastenersPriceList345[[#This Row],[Rate / PER kg (₹)]]</f>
        <v>36630</v>
      </c>
      <c r="L178" s="4">
        <f>FastenersPriceList345[[#This Row],[Rate / PER kg (₹)]]*FastenersPriceList345[[#This Row],[Quantity (kg)]]</f>
        <v>8250</v>
      </c>
      <c r="M178" s="4">
        <f>FastenersPriceList345[[#This Row],[SINGLE PC. WT.]]*FastenersPriceList345[[#This Row],[Rate / PER kg (₹)]]</f>
        <v>36.630000000000003</v>
      </c>
    </row>
    <row r="179" spans="1:13" ht="22.05" customHeight="1" x14ac:dyDescent="0.3">
      <c r="A179" s="2" t="s">
        <v>2352</v>
      </c>
      <c r="B179" s="12" t="s">
        <v>8</v>
      </c>
      <c r="C179" s="12">
        <v>12.9</v>
      </c>
      <c r="D179" s="2">
        <v>235</v>
      </c>
      <c r="E179" s="2">
        <f>FastenersPriceList345[[#This Row],[1000 PCS/WT.]]/1000</f>
        <v>0.23499999999999999</v>
      </c>
      <c r="F179" s="2" t="s">
        <v>640</v>
      </c>
      <c r="G179" s="6" t="s">
        <v>1755</v>
      </c>
      <c r="H179" s="70">
        <v>50</v>
      </c>
      <c r="I179" s="72">
        <f>FastenersPriceList345[[#This Row],[Quantity (kg)]]/FastenersPriceList345[[#This Row],[SINGLE PC. WT.]]</f>
        <v>212.76595744680853</v>
      </c>
      <c r="J179" s="3">
        <v>165</v>
      </c>
      <c r="K179" s="3">
        <f>FastenersPriceList345[[#This Row],[1000 PCS/WT.]]*FastenersPriceList345[[#This Row],[Rate / PER kg (₹)]]</f>
        <v>38775</v>
      </c>
      <c r="L179" s="4">
        <f>FastenersPriceList345[[#This Row],[Rate / PER kg (₹)]]*FastenersPriceList345[[#This Row],[Quantity (kg)]]</f>
        <v>8250</v>
      </c>
      <c r="M179" s="4">
        <f>FastenersPriceList345[[#This Row],[SINGLE PC. WT.]]*FastenersPriceList345[[#This Row],[Rate / PER kg (₹)]]</f>
        <v>38.774999999999999</v>
      </c>
    </row>
    <row r="180" spans="1:13" ht="22.05" customHeight="1" x14ac:dyDescent="0.3">
      <c r="A180" s="2" t="s">
        <v>2353</v>
      </c>
      <c r="B180" s="12" t="s">
        <v>8</v>
      </c>
      <c r="C180" s="12">
        <v>12.9</v>
      </c>
      <c r="D180" s="2">
        <v>248</v>
      </c>
      <c r="E180" s="2">
        <f>FastenersPriceList345[[#This Row],[1000 PCS/WT.]]/1000</f>
        <v>0.248</v>
      </c>
      <c r="F180" s="2" t="s">
        <v>641</v>
      </c>
      <c r="G180" s="6" t="s">
        <v>1755</v>
      </c>
      <c r="H180" s="70">
        <v>50</v>
      </c>
      <c r="I180" s="72">
        <f>FastenersPriceList345[[#This Row],[Quantity (kg)]]/FastenersPriceList345[[#This Row],[SINGLE PC. WT.]]</f>
        <v>201.61290322580646</v>
      </c>
      <c r="J180" s="3">
        <v>165</v>
      </c>
      <c r="K180" s="3">
        <f>FastenersPriceList345[[#This Row],[1000 PCS/WT.]]*FastenersPriceList345[[#This Row],[Rate / PER kg (₹)]]</f>
        <v>40920</v>
      </c>
      <c r="L180" s="4">
        <f>FastenersPriceList345[[#This Row],[Rate / PER kg (₹)]]*FastenersPriceList345[[#This Row],[Quantity (kg)]]</f>
        <v>8250</v>
      </c>
      <c r="M180" s="4">
        <f>FastenersPriceList345[[#This Row],[SINGLE PC. WT.]]*FastenersPriceList345[[#This Row],[Rate / PER kg (₹)]]</f>
        <v>40.92</v>
      </c>
    </row>
    <row r="181" spans="1:13" ht="22.05" customHeight="1" x14ac:dyDescent="0.3">
      <c r="A181" s="2" t="s">
        <v>2354</v>
      </c>
      <c r="B181" s="12" t="s">
        <v>8</v>
      </c>
      <c r="C181" s="12">
        <v>12.9</v>
      </c>
      <c r="D181" s="2">
        <v>261</v>
      </c>
      <c r="E181" s="2">
        <f>FastenersPriceList345[[#This Row],[1000 PCS/WT.]]/1000</f>
        <v>0.26100000000000001</v>
      </c>
      <c r="F181" s="2" t="s">
        <v>642</v>
      </c>
      <c r="G181" s="6" t="s">
        <v>1755</v>
      </c>
      <c r="H181" s="70">
        <v>50</v>
      </c>
      <c r="I181" s="72">
        <f>FastenersPriceList345[[#This Row],[Quantity (kg)]]/FastenersPriceList345[[#This Row],[SINGLE PC. WT.]]</f>
        <v>191.57088122605364</v>
      </c>
      <c r="J181" s="3">
        <v>165</v>
      </c>
      <c r="K181" s="3">
        <f>FastenersPriceList345[[#This Row],[1000 PCS/WT.]]*FastenersPriceList345[[#This Row],[Rate / PER kg (₹)]]</f>
        <v>43065</v>
      </c>
      <c r="L181" s="4">
        <f>FastenersPriceList345[[#This Row],[Rate / PER kg (₹)]]*FastenersPriceList345[[#This Row],[Quantity (kg)]]</f>
        <v>8250</v>
      </c>
      <c r="M181" s="4">
        <f>FastenersPriceList345[[#This Row],[SINGLE PC. WT.]]*FastenersPriceList345[[#This Row],[Rate / PER kg (₹)]]</f>
        <v>43.065000000000005</v>
      </c>
    </row>
    <row r="182" spans="1:13" ht="22.05" customHeight="1" x14ac:dyDescent="0.3">
      <c r="A182" s="2" t="s">
        <v>2355</v>
      </c>
      <c r="B182" s="12" t="s">
        <v>8</v>
      </c>
      <c r="C182" s="12">
        <v>12.9</v>
      </c>
      <c r="D182" s="2">
        <v>274</v>
      </c>
      <c r="E182" s="2">
        <f>FastenersPriceList345[[#This Row],[1000 PCS/WT.]]/1000</f>
        <v>0.27400000000000002</v>
      </c>
      <c r="F182" s="2" t="s">
        <v>643</v>
      </c>
      <c r="G182" s="6" t="s">
        <v>1755</v>
      </c>
      <c r="H182" s="70">
        <v>50</v>
      </c>
      <c r="I182" s="72">
        <f>FastenersPriceList345[[#This Row],[Quantity (kg)]]/FastenersPriceList345[[#This Row],[SINGLE PC. WT.]]</f>
        <v>182.48175182481751</v>
      </c>
      <c r="J182" s="3">
        <v>165</v>
      </c>
      <c r="K182" s="3">
        <f>FastenersPriceList345[[#This Row],[1000 PCS/WT.]]*FastenersPriceList345[[#This Row],[Rate / PER kg (₹)]]</f>
        <v>45210</v>
      </c>
      <c r="L182" s="4">
        <f>FastenersPriceList345[[#This Row],[Rate / PER kg (₹)]]*FastenersPriceList345[[#This Row],[Quantity (kg)]]</f>
        <v>8250</v>
      </c>
      <c r="M182" s="4">
        <f>FastenersPriceList345[[#This Row],[SINGLE PC. WT.]]*FastenersPriceList345[[#This Row],[Rate / PER kg (₹)]]</f>
        <v>45.21</v>
      </c>
    </row>
    <row r="183" spans="1:13" ht="22.05" customHeight="1" x14ac:dyDescent="0.3">
      <c r="A183" s="2" t="s">
        <v>2356</v>
      </c>
      <c r="B183" s="12" t="s">
        <v>8</v>
      </c>
      <c r="C183" s="12">
        <v>12.9</v>
      </c>
      <c r="D183" s="2">
        <v>287</v>
      </c>
      <c r="E183" s="2">
        <f>FastenersPriceList345[[#This Row],[1000 PCS/WT.]]/1000</f>
        <v>0.28699999999999998</v>
      </c>
      <c r="F183" s="2" t="s">
        <v>644</v>
      </c>
      <c r="G183" s="6" t="s">
        <v>1755</v>
      </c>
      <c r="H183" s="70">
        <v>50</v>
      </c>
      <c r="I183" s="72">
        <f>FastenersPriceList345[[#This Row],[Quantity (kg)]]/FastenersPriceList345[[#This Row],[SINGLE PC. WT.]]</f>
        <v>174.21602787456447</v>
      </c>
      <c r="J183" s="3">
        <v>165</v>
      </c>
      <c r="K183" s="3">
        <f>FastenersPriceList345[[#This Row],[1000 PCS/WT.]]*FastenersPriceList345[[#This Row],[Rate / PER kg (₹)]]</f>
        <v>47355</v>
      </c>
      <c r="L183" s="4">
        <f>FastenersPriceList345[[#This Row],[Rate / PER kg (₹)]]*FastenersPriceList345[[#This Row],[Quantity (kg)]]</f>
        <v>8250</v>
      </c>
      <c r="M183" s="4">
        <f>FastenersPriceList345[[#This Row],[SINGLE PC. WT.]]*FastenersPriceList345[[#This Row],[Rate / PER kg (₹)]]</f>
        <v>47.354999999999997</v>
      </c>
    </row>
    <row r="184" spans="1:13" ht="22.05" customHeight="1" x14ac:dyDescent="0.3">
      <c r="A184" s="2" t="s">
        <v>2357</v>
      </c>
      <c r="B184" s="12" t="s">
        <v>8</v>
      </c>
      <c r="C184" s="12">
        <v>12.9</v>
      </c>
      <c r="D184" s="2">
        <v>300</v>
      </c>
      <c r="E184" s="2">
        <f>FastenersPriceList345[[#This Row],[1000 PCS/WT.]]/1000</f>
        <v>0.3</v>
      </c>
      <c r="F184" s="2" t="s">
        <v>645</v>
      </c>
      <c r="G184" s="6" t="s">
        <v>1755</v>
      </c>
      <c r="H184" s="70">
        <v>50</v>
      </c>
      <c r="I184" s="72">
        <f>FastenersPriceList345[[#This Row],[Quantity (kg)]]/FastenersPriceList345[[#This Row],[SINGLE PC. WT.]]</f>
        <v>166.66666666666669</v>
      </c>
      <c r="J184" s="3">
        <v>165</v>
      </c>
      <c r="K184" s="3">
        <f>FastenersPriceList345[[#This Row],[1000 PCS/WT.]]*FastenersPriceList345[[#This Row],[Rate / PER kg (₹)]]</f>
        <v>49500</v>
      </c>
      <c r="L184" s="4">
        <f>FastenersPriceList345[[#This Row],[Rate / PER kg (₹)]]*FastenersPriceList345[[#This Row],[Quantity (kg)]]</f>
        <v>8250</v>
      </c>
      <c r="M184" s="4">
        <f>FastenersPriceList345[[#This Row],[SINGLE PC. WT.]]*FastenersPriceList345[[#This Row],[Rate / PER kg (₹)]]</f>
        <v>49.5</v>
      </c>
    </row>
    <row r="185" spans="1:13" ht="22.05" customHeight="1" x14ac:dyDescent="0.3">
      <c r="A185" s="2" t="s">
        <v>2358</v>
      </c>
      <c r="B185" s="12" t="s">
        <v>8</v>
      </c>
      <c r="C185" s="12">
        <v>12.9</v>
      </c>
      <c r="D185" s="2">
        <v>313</v>
      </c>
      <c r="E185" s="2">
        <f>FastenersPriceList345[[#This Row],[1000 PCS/WT.]]/1000</f>
        <v>0.313</v>
      </c>
      <c r="F185" s="2" t="s">
        <v>646</v>
      </c>
      <c r="G185" s="6" t="s">
        <v>1755</v>
      </c>
      <c r="H185" s="70">
        <v>50</v>
      </c>
      <c r="I185" s="72">
        <f>FastenersPriceList345[[#This Row],[Quantity (kg)]]/FastenersPriceList345[[#This Row],[SINGLE PC. WT.]]</f>
        <v>159.7444089456869</v>
      </c>
      <c r="J185" s="3">
        <v>165</v>
      </c>
      <c r="K185" s="3">
        <f>FastenersPriceList345[[#This Row],[1000 PCS/WT.]]*FastenersPriceList345[[#This Row],[Rate / PER kg (₹)]]</f>
        <v>51645</v>
      </c>
      <c r="L185" s="4">
        <f>FastenersPriceList345[[#This Row],[Rate / PER kg (₹)]]*FastenersPriceList345[[#This Row],[Quantity (kg)]]</f>
        <v>8250</v>
      </c>
      <c r="M185" s="4">
        <f>FastenersPriceList345[[#This Row],[SINGLE PC. WT.]]*FastenersPriceList345[[#This Row],[Rate / PER kg (₹)]]</f>
        <v>51.645000000000003</v>
      </c>
    </row>
    <row r="186" spans="1:13" ht="22.05" customHeight="1" x14ac:dyDescent="0.3">
      <c r="A186" s="2" t="s">
        <v>2359</v>
      </c>
      <c r="B186" s="12" t="s">
        <v>8</v>
      </c>
      <c r="C186" s="12">
        <v>12.9</v>
      </c>
      <c r="D186" s="2">
        <v>326</v>
      </c>
      <c r="E186" s="2">
        <f>FastenersPriceList345[[#This Row],[1000 PCS/WT.]]/1000</f>
        <v>0.32600000000000001</v>
      </c>
      <c r="F186" s="2" t="s">
        <v>647</v>
      </c>
      <c r="G186" s="6" t="s">
        <v>1755</v>
      </c>
      <c r="H186" s="70">
        <v>50</v>
      </c>
      <c r="I186" s="72">
        <f>FastenersPriceList345[[#This Row],[Quantity (kg)]]/FastenersPriceList345[[#This Row],[SINGLE PC. WT.]]</f>
        <v>153.37423312883436</v>
      </c>
      <c r="J186" s="3">
        <v>165</v>
      </c>
      <c r="K186" s="3">
        <f>FastenersPriceList345[[#This Row],[1000 PCS/WT.]]*FastenersPriceList345[[#This Row],[Rate / PER kg (₹)]]</f>
        <v>53790</v>
      </c>
      <c r="L186" s="4">
        <f>FastenersPriceList345[[#This Row],[Rate / PER kg (₹)]]*FastenersPriceList345[[#This Row],[Quantity (kg)]]</f>
        <v>8250</v>
      </c>
      <c r="M186" s="4">
        <f>FastenersPriceList345[[#This Row],[SINGLE PC. WT.]]*FastenersPriceList345[[#This Row],[Rate / PER kg (₹)]]</f>
        <v>53.79</v>
      </c>
    </row>
    <row r="187" spans="1:13" ht="22.05" customHeight="1" x14ac:dyDescent="0.3">
      <c r="A187" s="2" t="s">
        <v>2360</v>
      </c>
      <c r="B187" s="12" t="s">
        <v>8</v>
      </c>
      <c r="C187" s="12">
        <v>12.9</v>
      </c>
      <c r="D187" s="2">
        <v>339</v>
      </c>
      <c r="E187" s="2">
        <f>FastenersPriceList345[[#This Row],[1000 PCS/WT.]]/1000</f>
        <v>0.33900000000000002</v>
      </c>
      <c r="F187" s="2" t="s">
        <v>648</v>
      </c>
      <c r="G187" s="6" t="s">
        <v>1755</v>
      </c>
      <c r="H187" s="70">
        <v>50</v>
      </c>
      <c r="I187" s="72">
        <f>FastenersPriceList345[[#This Row],[Quantity (kg)]]/FastenersPriceList345[[#This Row],[SINGLE PC. WT.]]</f>
        <v>147.49262536873155</v>
      </c>
      <c r="J187" s="3">
        <v>165</v>
      </c>
      <c r="K187" s="3">
        <f>FastenersPriceList345[[#This Row],[1000 PCS/WT.]]*FastenersPriceList345[[#This Row],[Rate / PER kg (₹)]]</f>
        <v>55935</v>
      </c>
      <c r="L187" s="4">
        <f>FastenersPriceList345[[#This Row],[Rate / PER kg (₹)]]*FastenersPriceList345[[#This Row],[Quantity (kg)]]</f>
        <v>8250</v>
      </c>
      <c r="M187" s="4">
        <f>FastenersPriceList345[[#This Row],[SINGLE PC. WT.]]*FastenersPriceList345[[#This Row],[Rate / PER kg (₹)]]</f>
        <v>55.935000000000002</v>
      </c>
    </row>
    <row r="188" spans="1:13" ht="22.05" customHeight="1" x14ac:dyDescent="0.3">
      <c r="A188" s="2" t="s">
        <v>2361</v>
      </c>
      <c r="B188" s="12" t="s">
        <v>8</v>
      </c>
      <c r="C188" s="12">
        <v>12.9</v>
      </c>
      <c r="D188" s="2">
        <v>352</v>
      </c>
      <c r="E188" s="2">
        <f>FastenersPriceList345[[#This Row],[1000 PCS/WT.]]/1000</f>
        <v>0.35199999999999998</v>
      </c>
      <c r="F188" s="2" t="s">
        <v>649</v>
      </c>
      <c r="G188" s="6" t="s">
        <v>1755</v>
      </c>
      <c r="H188" s="70">
        <v>50</v>
      </c>
      <c r="I188" s="72">
        <f>FastenersPriceList345[[#This Row],[Quantity (kg)]]/FastenersPriceList345[[#This Row],[SINGLE PC. WT.]]</f>
        <v>142.04545454545456</v>
      </c>
      <c r="J188" s="3">
        <v>165</v>
      </c>
      <c r="K188" s="3">
        <f>FastenersPriceList345[[#This Row],[1000 PCS/WT.]]*FastenersPriceList345[[#This Row],[Rate / PER kg (₹)]]</f>
        <v>58080</v>
      </c>
      <c r="L188" s="4">
        <f>FastenersPriceList345[[#This Row],[Rate / PER kg (₹)]]*FastenersPriceList345[[#This Row],[Quantity (kg)]]</f>
        <v>8250</v>
      </c>
      <c r="M188" s="4">
        <f>FastenersPriceList345[[#This Row],[SINGLE PC. WT.]]*FastenersPriceList345[[#This Row],[Rate / PER kg (₹)]]</f>
        <v>58.08</v>
      </c>
    </row>
    <row r="189" spans="1:13" ht="22.05" customHeight="1" x14ac:dyDescent="0.3">
      <c r="A189" s="2" t="s">
        <v>2362</v>
      </c>
      <c r="B189" s="12" t="s">
        <v>8</v>
      </c>
      <c r="C189" s="12">
        <v>12.9</v>
      </c>
      <c r="D189" s="2">
        <v>377</v>
      </c>
      <c r="E189" s="2">
        <f>FastenersPriceList345[[#This Row],[1000 PCS/WT.]]/1000</f>
        <v>0.377</v>
      </c>
      <c r="F189" s="2" t="s">
        <v>650</v>
      </c>
      <c r="G189" s="6" t="s">
        <v>1755</v>
      </c>
      <c r="H189" s="70">
        <v>50</v>
      </c>
      <c r="I189" s="72">
        <f>FastenersPriceList345[[#This Row],[Quantity (kg)]]/FastenersPriceList345[[#This Row],[SINGLE PC. WT.]]</f>
        <v>132.62599469496021</v>
      </c>
      <c r="J189" s="3">
        <v>165</v>
      </c>
      <c r="K189" s="3">
        <f>FastenersPriceList345[[#This Row],[1000 PCS/WT.]]*FastenersPriceList345[[#This Row],[Rate / PER kg (₹)]]</f>
        <v>62205</v>
      </c>
      <c r="L189" s="4">
        <f>FastenersPriceList345[[#This Row],[Rate / PER kg (₹)]]*FastenersPriceList345[[#This Row],[Quantity (kg)]]</f>
        <v>8250</v>
      </c>
      <c r="M189" s="4">
        <f>FastenersPriceList345[[#This Row],[SINGLE PC. WT.]]*FastenersPriceList345[[#This Row],[Rate / PER kg (₹)]]</f>
        <v>62.204999999999998</v>
      </c>
    </row>
    <row r="190" spans="1:13" ht="22.05" customHeight="1" x14ac:dyDescent="0.3">
      <c r="A190" s="2" t="s">
        <v>2363</v>
      </c>
      <c r="B190" s="12" t="s">
        <v>8</v>
      </c>
      <c r="C190" s="12">
        <v>12.9</v>
      </c>
      <c r="D190" s="2">
        <v>402</v>
      </c>
      <c r="E190" s="2">
        <f>FastenersPriceList345[[#This Row],[1000 PCS/WT.]]/1000</f>
        <v>0.40200000000000002</v>
      </c>
      <c r="F190" s="2" t="s">
        <v>651</v>
      </c>
      <c r="G190" s="6" t="s">
        <v>1755</v>
      </c>
      <c r="H190" s="70">
        <v>50</v>
      </c>
      <c r="I190" s="72">
        <f>FastenersPriceList345[[#This Row],[Quantity (kg)]]/FastenersPriceList345[[#This Row],[SINGLE PC. WT.]]</f>
        <v>124.37810945273631</v>
      </c>
      <c r="J190" s="3">
        <v>165</v>
      </c>
      <c r="K190" s="3">
        <f>FastenersPriceList345[[#This Row],[1000 PCS/WT.]]*FastenersPriceList345[[#This Row],[Rate / PER kg (₹)]]</f>
        <v>66330</v>
      </c>
      <c r="L190" s="4">
        <f>FastenersPriceList345[[#This Row],[Rate / PER kg (₹)]]*FastenersPriceList345[[#This Row],[Quantity (kg)]]</f>
        <v>8250</v>
      </c>
      <c r="M190" s="4">
        <f>FastenersPriceList345[[#This Row],[SINGLE PC. WT.]]*FastenersPriceList345[[#This Row],[Rate / PER kg (₹)]]</f>
        <v>66.33</v>
      </c>
    </row>
    <row r="191" spans="1:13" ht="22.05" customHeight="1" x14ac:dyDescent="0.3">
      <c r="A191" s="2" t="s">
        <v>2364</v>
      </c>
      <c r="B191" s="12" t="s">
        <v>8</v>
      </c>
      <c r="C191" s="12">
        <v>12.9</v>
      </c>
      <c r="D191" s="2">
        <v>427</v>
      </c>
      <c r="E191" s="2">
        <f>FastenersPriceList345[[#This Row],[1000 PCS/WT.]]/1000</f>
        <v>0.42699999999999999</v>
      </c>
      <c r="F191" s="2" t="s">
        <v>652</v>
      </c>
      <c r="G191" s="6" t="s">
        <v>1755</v>
      </c>
      <c r="H191" s="70">
        <v>50</v>
      </c>
      <c r="I191" s="72">
        <f>FastenersPriceList345[[#This Row],[Quantity (kg)]]/FastenersPriceList345[[#This Row],[SINGLE PC. WT.]]</f>
        <v>117.096018735363</v>
      </c>
      <c r="J191" s="3">
        <v>165</v>
      </c>
      <c r="K191" s="3">
        <f>FastenersPriceList345[[#This Row],[1000 PCS/WT.]]*FastenersPriceList345[[#This Row],[Rate / PER kg (₹)]]</f>
        <v>70455</v>
      </c>
      <c r="L191" s="4">
        <f>FastenersPriceList345[[#This Row],[Rate / PER kg (₹)]]*FastenersPriceList345[[#This Row],[Quantity (kg)]]</f>
        <v>8250</v>
      </c>
      <c r="M191" s="4">
        <f>FastenersPriceList345[[#This Row],[SINGLE PC. WT.]]*FastenersPriceList345[[#This Row],[Rate / PER kg (₹)]]</f>
        <v>70.454999999999998</v>
      </c>
    </row>
    <row r="192" spans="1:13" ht="22.05" customHeight="1" x14ac:dyDescent="0.3">
      <c r="A192" s="2" t="s">
        <v>2365</v>
      </c>
      <c r="B192" s="12" t="s">
        <v>8</v>
      </c>
      <c r="C192" s="12">
        <v>12.9</v>
      </c>
      <c r="D192" s="2">
        <v>452</v>
      </c>
      <c r="E192" s="2">
        <f>FastenersPriceList345[[#This Row],[1000 PCS/WT.]]/1000</f>
        <v>0.45200000000000001</v>
      </c>
      <c r="F192" s="2" t="s">
        <v>653</v>
      </c>
      <c r="G192" s="6" t="s">
        <v>1755</v>
      </c>
      <c r="H192" s="70">
        <v>50</v>
      </c>
      <c r="I192" s="72">
        <f>FastenersPriceList345[[#This Row],[Quantity (kg)]]/FastenersPriceList345[[#This Row],[SINGLE PC. WT.]]</f>
        <v>110.61946902654867</v>
      </c>
      <c r="J192" s="3">
        <v>165</v>
      </c>
      <c r="K192" s="3">
        <f>FastenersPriceList345[[#This Row],[1000 PCS/WT.]]*FastenersPriceList345[[#This Row],[Rate / PER kg (₹)]]</f>
        <v>74580</v>
      </c>
      <c r="L192" s="4">
        <f>FastenersPriceList345[[#This Row],[Rate / PER kg (₹)]]*FastenersPriceList345[[#This Row],[Quantity (kg)]]</f>
        <v>8250</v>
      </c>
      <c r="M192" s="4">
        <f>FastenersPriceList345[[#This Row],[SINGLE PC. WT.]]*FastenersPriceList345[[#This Row],[Rate / PER kg (₹)]]</f>
        <v>74.58</v>
      </c>
    </row>
    <row r="193" spans="1:13" ht="22.05" customHeight="1" x14ac:dyDescent="0.3">
      <c r="A193" s="2" t="s">
        <v>2366</v>
      </c>
      <c r="B193" s="12" t="s">
        <v>8</v>
      </c>
      <c r="C193" s="12">
        <v>12.9</v>
      </c>
      <c r="D193" s="2">
        <v>477</v>
      </c>
      <c r="E193" s="2">
        <f>FastenersPriceList345[[#This Row],[1000 PCS/WT.]]/1000</f>
        <v>0.47699999999999998</v>
      </c>
      <c r="F193" s="2" t="s">
        <v>654</v>
      </c>
      <c r="G193" s="6" t="s">
        <v>1755</v>
      </c>
      <c r="H193" s="70">
        <v>50</v>
      </c>
      <c r="I193" s="72">
        <f>FastenersPriceList345[[#This Row],[Quantity (kg)]]/FastenersPriceList345[[#This Row],[SINGLE PC. WT.]]</f>
        <v>104.82180293501048</v>
      </c>
      <c r="J193" s="3">
        <v>165</v>
      </c>
      <c r="K193" s="3">
        <f>FastenersPriceList345[[#This Row],[1000 PCS/WT.]]*FastenersPriceList345[[#This Row],[Rate / PER kg (₹)]]</f>
        <v>78705</v>
      </c>
      <c r="L193" s="4">
        <f>FastenersPriceList345[[#This Row],[Rate / PER kg (₹)]]*FastenersPriceList345[[#This Row],[Quantity (kg)]]</f>
        <v>8250</v>
      </c>
      <c r="M193" s="4">
        <f>FastenersPriceList345[[#This Row],[SINGLE PC. WT.]]*FastenersPriceList345[[#This Row],[Rate / PER kg (₹)]]</f>
        <v>78.704999999999998</v>
      </c>
    </row>
    <row r="194" spans="1:13" ht="22.05" customHeight="1" x14ac:dyDescent="0.3">
      <c r="A194" s="2" t="s">
        <v>2367</v>
      </c>
      <c r="B194" s="12" t="s">
        <v>8</v>
      </c>
      <c r="C194" s="12">
        <v>12.9</v>
      </c>
      <c r="D194" s="2">
        <v>502</v>
      </c>
      <c r="E194" s="2">
        <f>FastenersPriceList345[[#This Row],[1000 PCS/WT.]]/1000</f>
        <v>0.502</v>
      </c>
      <c r="F194" s="2" t="s">
        <v>655</v>
      </c>
      <c r="G194" s="6" t="s">
        <v>1755</v>
      </c>
      <c r="H194" s="70">
        <v>50</v>
      </c>
      <c r="I194" s="72">
        <f>FastenersPriceList345[[#This Row],[Quantity (kg)]]/FastenersPriceList345[[#This Row],[SINGLE PC. WT.]]</f>
        <v>99.601593625498012</v>
      </c>
      <c r="J194" s="3">
        <v>165</v>
      </c>
      <c r="K194" s="3">
        <f>FastenersPriceList345[[#This Row],[1000 PCS/WT.]]*FastenersPriceList345[[#This Row],[Rate / PER kg (₹)]]</f>
        <v>82830</v>
      </c>
      <c r="L194" s="4">
        <f>FastenersPriceList345[[#This Row],[Rate / PER kg (₹)]]*FastenersPriceList345[[#This Row],[Quantity (kg)]]</f>
        <v>8250</v>
      </c>
      <c r="M194" s="4">
        <f>FastenersPriceList345[[#This Row],[SINGLE PC. WT.]]*FastenersPriceList345[[#This Row],[Rate / PER kg (₹)]]</f>
        <v>82.83</v>
      </c>
    </row>
    <row r="195" spans="1:13" ht="22.05" customHeight="1" x14ac:dyDescent="0.3">
      <c r="A195" s="2" t="s">
        <v>2368</v>
      </c>
      <c r="B195" s="12" t="s">
        <v>8</v>
      </c>
      <c r="C195" s="12">
        <v>12.9</v>
      </c>
      <c r="D195" s="2">
        <v>527</v>
      </c>
      <c r="E195" s="2">
        <f>FastenersPriceList345[[#This Row],[1000 PCS/WT.]]/1000</f>
        <v>0.52700000000000002</v>
      </c>
      <c r="F195" s="2" t="s">
        <v>656</v>
      </c>
      <c r="G195" s="6" t="s">
        <v>1755</v>
      </c>
      <c r="H195" s="70">
        <v>50</v>
      </c>
      <c r="I195" s="72">
        <f>FastenersPriceList345[[#This Row],[Quantity (kg)]]/FastenersPriceList345[[#This Row],[SINGLE PC. WT.]]</f>
        <v>94.876660341555976</v>
      </c>
      <c r="J195" s="3">
        <v>165</v>
      </c>
      <c r="K195" s="3">
        <f>FastenersPriceList345[[#This Row],[1000 PCS/WT.]]*FastenersPriceList345[[#This Row],[Rate / PER kg (₹)]]</f>
        <v>86955</v>
      </c>
      <c r="L195" s="4">
        <f>FastenersPriceList345[[#This Row],[Rate / PER kg (₹)]]*FastenersPriceList345[[#This Row],[Quantity (kg)]]</f>
        <v>8250</v>
      </c>
      <c r="M195" s="4">
        <f>FastenersPriceList345[[#This Row],[SINGLE PC. WT.]]*FastenersPriceList345[[#This Row],[Rate / PER kg (₹)]]</f>
        <v>86.954999999999998</v>
      </c>
    </row>
    <row r="196" spans="1:13" ht="22.05" customHeight="1" x14ac:dyDescent="0.3">
      <c r="A196" s="2" t="s">
        <v>2369</v>
      </c>
      <c r="B196" s="12" t="s">
        <v>8</v>
      </c>
      <c r="C196" s="12">
        <v>12.9</v>
      </c>
      <c r="D196" s="2">
        <v>552</v>
      </c>
      <c r="E196" s="2">
        <f>FastenersPriceList345[[#This Row],[1000 PCS/WT.]]/1000</f>
        <v>0.55200000000000005</v>
      </c>
      <c r="F196" s="2" t="s">
        <v>657</v>
      </c>
      <c r="G196" s="6" t="s">
        <v>1755</v>
      </c>
      <c r="H196" s="70">
        <v>50</v>
      </c>
      <c r="I196" s="72">
        <f>FastenersPriceList345[[#This Row],[Quantity (kg)]]/FastenersPriceList345[[#This Row],[SINGLE PC. WT.]]</f>
        <v>90.579710144927532</v>
      </c>
      <c r="J196" s="3">
        <v>165</v>
      </c>
      <c r="K196" s="3">
        <f>FastenersPriceList345[[#This Row],[1000 PCS/WT.]]*FastenersPriceList345[[#This Row],[Rate / PER kg (₹)]]</f>
        <v>91080</v>
      </c>
      <c r="L196" s="4">
        <f>FastenersPriceList345[[#This Row],[Rate / PER kg (₹)]]*FastenersPriceList345[[#This Row],[Quantity (kg)]]</f>
        <v>8250</v>
      </c>
      <c r="M196" s="4">
        <f>FastenersPriceList345[[#This Row],[SINGLE PC. WT.]]*FastenersPriceList345[[#This Row],[Rate / PER kg (₹)]]</f>
        <v>91.080000000000013</v>
      </c>
    </row>
    <row r="197" spans="1:13" ht="22.05" customHeight="1" x14ac:dyDescent="0.3">
      <c r="A197" s="2" t="s">
        <v>2370</v>
      </c>
      <c r="B197" s="12" t="s">
        <v>8</v>
      </c>
      <c r="C197" s="12">
        <v>12.9</v>
      </c>
      <c r="D197" s="2">
        <v>577</v>
      </c>
      <c r="E197" s="2">
        <f>FastenersPriceList345[[#This Row],[1000 PCS/WT.]]/1000</f>
        <v>0.57699999999999996</v>
      </c>
      <c r="F197" s="2" t="s">
        <v>658</v>
      </c>
      <c r="G197" s="6" t="s">
        <v>1755</v>
      </c>
      <c r="H197" s="70">
        <v>50</v>
      </c>
      <c r="I197" s="72">
        <f>FastenersPriceList345[[#This Row],[Quantity (kg)]]/FastenersPriceList345[[#This Row],[SINGLE PC. WT.]]</f>
        <v>86.655112651646448</v>
      </c>
      <c r="J197" s="3">
        <v>165</v>
      </c>
      <c r="K197" s="3">
        <f>FastenersPriceList345[[#This Row],[1000 PCS/WT.]]*FastenersPriceList345[[#This Row],[Rate / PER kg (₹)]]</f>
        <v>95205</v>
      </c>
      <c r="L197" s="4">
        <f>FastenersPriceList345[[#This Row],[Rate / PER kg (₹)]]*FastenersPriceList345[[#This Row],[Quantity (kg)]]</f>
        <v>8250</v>
      </c>
      <c r="M197" s="4">
        <f>FastenersPriceList345[[#This Row],[SINGLE PC. WT.]]*FastenersPriceList345[[#This Row],[Rate / PER kg (₹)]]</f>
        <v>95.204999999999998</v>
      </c>
    </row>
    <row r="198" spans="1:13" ht="22.05" customHeight="1" x14ac:dyDescent="0.3">
      <c r="A198" s="2" t="s">
        <v>2371</v>
      </c>
      <c r="B198" s="12" t="s">
        <v>8</v>
      </c>
      <c r="C198" s="12">
        <v>12.9</v>
      </c>
      <c r="D198" s="2">
        <v>602</v>
      </c>
      <c r="E198" s="2">
        <f>FastenersPriceList345[[#This Row],[1000 PCS/WT.]]/1000</f>
        <v>0.60199999999999998</v>
      </c>
      <c r="F198" s="2" t="s">
        <v>659</v>
      </c>
      <c r="G198" s="6" t="s">
        <v>1755</v>
      </c>
      <c r="H198" s="70">
        <v>50</v>
      </c>
      <c r="I198" s="72">
        <f>FastenersPriceList345[[#This Row],[Quantity (kg)]]/FastenersPriceList345[[#This Row],[SINGLE PC. WT.]]</f>
        <v>83.056478405315616</v>
      </c>
      <c r="J198" s="3">
        <v>165</v>
      </c>
      <c r="K198" s="3">
        <f>FastenersPriceList345[[#This Row],[1000 PCS/WT.]]*FastenersPriceList345[[#This Row],[Rate / PER kg (₹)]]</f>
        <v>99330</v>
      </c>
      <c r="L198" s="4">
        <f>FastenersPriceList345[[#This Row],[Rate / PER kg (₹)]]*FastenersPriceList345[[#This Row],[Quantity (kg)]]</f>
        <v>8250</v>
      </c>
      <c r="M198" s="4">
        <f>FastenersPriceList345[[#This Row],[SINGLE PC. WT.]]*FastenersPriceList345[[#This Row],[Rate / PER kg (₹)]]</f>
        <v>99.33</v>
      </c>
    </row>
    <row r="199" spans="1:13" ht="22.05" customHeight="1" x14ac:dyDescent="0.3">
      <c r="A199" s="2" t="s">
        <v>2372</v>
      </c>
      <c r="B199" s="12" t="s">
        <v>8</v>
      </c>
      <c r="C199" s="12">
        <v>12.9</v>
      </c>
      <c r="D199" s="2">
        <v>247</v>
      </c>
      <c r="E199" s="2">
        <f>FastenersPriceList345[[#This Row],[1000 PCS/WT.]]/1000</f>
        <v>0.247</v>
      </c>
      <c r="F199" s="2" t="s">
        <v>660</v>
      </c>
      <c r="G199" s="6" t="s">
        <v>1755</v>
      </c>
      <c r="H199" s="70">
        <v>50</v>
      </c>
      <c r="I199" s="72">
        <f>FastenersPriceList345[[#This Row],[Quantity (kg)]]/FastenersPriceList345[[#This Row],[SINGLE PC. WT.]]</f>
        <v>202.42914979757086</v>
      </c>
      <c r="J199" s="3">
        <v>160</v>
      </c>
      <c r="K199" s="3">
        <f>FastenersPriceList345[[#This Row],[1000 PCS/WT.]]*FastenersPriceList345[[#This Row],[Rate / PER kg (₹)]]</f>
        <v>39520</v>
      </c>
      <c r="L199" s="4">
        <f>FastenersPriceList345[[#This Row],[Rate / PER kg (₹)]]*FastenersPriceList345[[#This Row],[Quantity (kg)]]</f>
        <v>8000</v>
      </c>
      <c r="M199" s="4">
        <f>FastenersPriceList345[[#This Row],[SINGLE PC. WT.]]*FastenersPriceList345[[#This Row],[Rate / PER kg (₹)]]</f>
        <v>39.519999999999996</v>
      </c>
    </row>
    <row r="200" spans="1:13" ht="22.05" customHeight="1" x14ac:dyDescent="0.3">
      <c r="A200" s="2" t="s">
        <v>2373</v>
      </c>
      <c r="B200" s="12" t="s">
        <v>8</v>
      </c>
      <c r="C200" s="12">
        <v>12.9</v>
      </c>
      <c r="D200" s="2">
        <v>265</v>
      </c>
      <c r="E200" s="2">
        <f>FastenersPriceList345[[#This Row],[1000 PCS/WT.]]/1000</f>
        <v>0.26500000000000001</v>
      </c>
      <c r="F200" s="2" t="s">
        <v>661</v>
      </c>
      <c r="G200" s="6" t="s">
        <v>1755</v>
      </c>
      <c r="H200" s="70">
        <v>50</v>
      </c>
      <c r="I200" s="72">
        <f>FastenersPriceList345[[#This Row],[Quantity (kg)]]/FastenersPriceList345[[#This Row],[SINGLE PC. WT.]]</f>
        <v>188.67924528301887</v>
      </c>
      <c r="J200" s="3">
        <v>160</v>
      </c>
      <c r="K200" s="3">
        <f>FastenersPriceList345[[#This Row],[1000 PCS/WT.]]*FastenersPriceList345[[#This Row],[Rate / PER kg (₹)]]</f>
        <v>42400</v>
      </c>
      <c r="L200" s="4">
        <f>FastenersPriceList345[[#This Row],[Rate / PER kg (₹)]]*FastenersPriceList345[[#This Row],[Quantity (kg)]]</f>
        <v>8000</v>
      </c>
      <c r="M200" s="4">
        <f>FastenersPriceList345[[#This Row],[SINGLE PC. WT.]]*FastenersPriceList345[[#This Row],[Rate / PER kg (₹)]]</f>
        <v>42.400000000000006</v>
      </c>
    </row>
    <row r="201" spans="1:13" ht="22.05" customHeight="1" x14ac:dyDescent="0.3">
      <c r="A201" s="2" t="s">
        <v>2374</v>
      </c>
      <c r="B201" s="12" t="s">
        <v>8</v>
      </c>
      <c r="C201" s="12">
        <v>12.9</v>
      </c>
      <c r="D201" s="2">
        <v>283</v>
      </c>
      <c r="E201" s="2">
        <f>FastenersPriceList345[[#This Row],[1000 PCS/WT.]]/1000</f>
        <v>0.28299999999999997</v>
      </c>
      <c r="F201" s="2" t="s">
        <v>662</v>
      </c>
      <c r="G201" s="6" t="s">
        <v>1755</v>
      </c>
      <c r="H201" s="70">
        <v>50</v>
      </c>
      <c r="I201" s="72">
        <f>FastenersPriceList345[[#This Row],[Quantity (kg)]]/FastenersPriceList345[[#This Row],[SINGLE PC. WT.]]</f>
        <v>176.67844522968198</v>
      </c>
      <c r="J201" s="3">
        <v>160</v>
      </c>
      <c r="K201" s="3">
        <f>FastenersPriceList345[[#This Row],[1000 PCS/WT.]]*FastenersPriceList345[[#This Row],[Rate / PER kg (₹)]]</f>
        <v>45280</v>
      </c>
      <c r="L201" s="4">
        <f>FastenersPriceList345[[#This Row],[Rate / PER kg (₹)]]*FastenersPriceList345[[#This Row],[Quantity (kg)]]</f>
        <v>8000</v>
      </c>
      <c r="M201" s="4">
        <f>FastenersPriceList345[[#This Row],[SINGLE PC. WT.]]*FastenersPriceList345[[#This Row],[Rate / PER kg (₹)]]</f>
        <v>45.279999999999994</v>
      </c>
    </row>
    <row r="202" spans="1:13" ht="22.05" customHeight="1" x14ac:dyDescent="0.3">
      <c r="A202" s="2" t="s">
        <v>2375</v>
      </c>
      <c r="B202" s="12" t="s">
        <v>8</v>
      </c>
      <c r="C202" s="12">
        <v>12.9</v>
      </c>
      <c r="D202" s="2">
        <v>301</v>
      </c>
      <c r="E202" s="2">
        <f>FastenersPriceList345[[#This Row],[1000 PCS/WT.]]/1000</f>
        <v>0.30099999999999999</v>
      </c>
      <c r="F202" s="2" t="s">
        <v>663</v>
      </c>
      <c r="G202" s="6" t="s">
        <v>1755</v>
      </c>
      <c r="H202" s="70">
        <v>50</v>
      </c>
      <c r="I202" s="72">
        <f>FastenersPriceList345[[#This Row],[Quantity (kg)]]/FastenersPriceList345[[#This Row],[SINGLE PC. WT.]]</f>
        <v>166.11295681063123</v>
      </c>
      <c r="J202" s="3">
        <v>160</v>
      </c>
      <c r="K202" s="3">
        <f>FastenersPriceList345[[#This Row],[1000 PCS/WT.]]*FastenersPriceList345[[#This Row],[Rate / PER kg (₹)]]</f>
        <v>48160</v>
      </c>
      <c r="L202" s="4">
        <f>FastenersPriceList345[[#This Row],[Rate / PER kg (₹)]]*FastenersPriceList345[[#This Row],[Quantity (kg)]]</f>
        <v>8000</v>
      </c>
      <c r="M202" s="4">
        <f>FastenersPriceList345[[#This Row],[SINGLE PC. WT.]]*FastenersPriceList345[[#This Row],[Rate / PER kg (₹)]]</f>
        <v>48.16</v>
      </c>
    </row>
    <row r="203" spans="1:13" ht="22.05" customHeight="1" x14ac:dyDescent="0.3">
      <c r="A203" s="2" t="s">
        <v>2376</v>
      </c>
      <c r="B203" s="12" t="s">
        <v>8</v>
      </c>
      <c r="C203" s="12">
        <v>12.9</v>
      </c>
      <c r="D203" s="2">
        <v>319</v>
      </c>
      <c r="E203" s="2">
        <f>FastenersPriceList345[[#This Row],[1000 PCS/WT.]]/1000</f>
        <v>0.31900000000000001</v>
      </c>
      <c r="F203" s="2" t="s">
        <v>664</v>
      </c>
      <c r="G203" s="6" t="s">
        <v>1755</v>
      </c>
      <c r="H203" s="70">
        <v>50</v>
      </c>
      <c r="I203" s="72">
        <f>FastenersPriceList345[[#This Row],[Quantity (kg)]]/FastenersPriceList345[[#This Row],[SINGLE PC. WT.]]</f>
        <v>156.73981191222569</v>
      </c>
      <c r="J203" s="3">
        <v>160</v>
      </c>
      <c r="K203" s="3">
        <f>FastenersPriceList345[[#This Row],[1000 PCS/WT.]]*FastenersPriceList345[[#This Row],[Rate / PER kg (₹)]]</f>
        <v>51040</v>
      </c>
      <c r="L203" s="4">
        <f>FastenersPriceList345[[#This Row],[Rate / PER kg (₹)]]*FastenersPriceList345[[#This Row],[Quantity (kg)]]</f>
        <v>8000</v>
      </c>
      <c r="M203" s="4">
        <f>FastenersPriceList345[[#This Row],[SINGLE PC. WT.]]*FastenersPriceList345[[#This Row],[Rate / PER kg (₹)]]</f>
        <v>51.04</v>
      </c>
    </row>
    <row r="204" spans="1:13" ht="22.05" customHeight="1" x14ac:dyDescent="0.3">
      <c r="A204" s="2" t="s">
        <v>2377</v>
      </c>
      <c r="B204" s="12" t="s">
        <v>8</v>
      </c>
      <c r="C204" s="12">
        <v>12.9</v>
      </c>
      <c r="D204" s="2">
        <v>337</v>
      </c>
      <c r="E204" s="2">
        <f>FastenersPriceList345[[#This Row],[1000 PCS/WT.]]/1000</f>
        <v>0.33700000000000002</v>
      </c>
      <c r="F204" s="2" t="s">
        <v>665</v>
      </c>
      <c r="G204" s="6" t="s">
        <v>1755</v>
      </c>
      <c r="H204" s="70">
        <v>50</v>
      </c>
      <c r="I204" s="72">
        <f>FastenersPriceList345[[#This Row],[Quantity (kg)]]/FastenersPriceList345[[#This Row],[SINGLE PC. WT.]]</f>
        <v>148.36795252225519</v>
      </c>
      <c r="J204" s="3">
        <v>160</v>
      </c>
      <c r="K204" s="3">
        <f>FastenersPriceList345[[#This Row],[1000 PCS/WT.]]*FastenersPriceList345[[#This Row],[Rate / PER kg (₹)]]</f>
        <v>53920</v>
      </c>
      <c r="L204" s="4">
        <f>FastenersPriceList345[[#This Row],[Rate / PER kg (₹)]]*FastenersPriceList345[[#This Row],[Quantity (kg)]]</f>
        <v>8000</v>
      </c>
      <c r="M204" s="4">
        <f>FastenersPriceList345[[#This Row],[SINGLE PC. WT.]]*FastenersPriceList345[[#This Row],[Rate / PER kg (₹)]]</f>
        <v>53.92</v>
      </c>
    </row>
    <row r="205" spans="1:13" ht="22.05" customHeight="1" x14ac:dyDescent="0.3">
      <c r="A205" s="2" t="s">
        <v>2378</v>
      </c>
      <c r="B205" s="12" t="s">
        <v>8</v>
      </c>
      <c r="C205" s="12">
        <v>12.9</v>
      </c>
      <c r="D205" s="2">
        <v>355</v>
      </c>
      <c r="E205" s="2">
        <f>FastenersPriceList345[[#This Row],[1000 PCS/WT.]]/1000</f>
        <v>0.35499999999999998</v>
      </c>
      <c r="F205" s="2" t="s">
        <v>666</v>
      </c>
      <c r="G205" s="6" t="s">
        <v>1755</v>
      </c>
      <c r="H205" s="70">
        <v>50</v>
      </c>
      <c r="I205" s="72">
        <f>FastenersPriceList345[[#This Row],[Quantity (kg)]]/FastenersPriceList345[[#This Row],[SINGLE PC. WT.]]</f>
        <v>140.84507042253523</v>
      </c>
      <c r="J205" s="3">
        <v>160</v>
      </c>
      <c r="K205" s="3">
        <f>FastenersPriceList345[[#This Row],[1000 PCS/WT.]]*FastenersPriceList345[[#This Row],[Rate / PER kg (₹)]]</f>
        <v>56800</v>
      </c>
      <c r="L205" s="4">
        <f>FastenersPriceList345[[#This Row],[Rate / PER kg (₹)]]*FastenersPriceList345[[#This Row],[Quantity (kg)]]</f>
        <v>8000</v>
      </c>
      <c r="M205" s="4">
        <f>FastenersPriceList345[[#This Row],[SINGLE PC. WT.]]*FastenersPriceList345[[#This Row],[Rate / PER kg (₹)]]</f>
        <v>56.8</v>
      </c>
    </row>
    <row r="206" spans="1:13" ht="22.05" customHeight="1" x14ac:dyDescent="0.3">
      <c r="A206" s="2" t="s">
        <v>2379</v>
      </c>
      <c r="B206" s="12" t="s">
        <v>8</v>
      </c>
      <c r="C206" s="12">
        <v>12.9</v>
      </c>
      <c r="D206" s="2">
        <v>373</v>
      </c>
      <c r="E206" s="2">
        <f>FastenersPriceList345[[#This Row],[1000 PCS/WT.]]/1000</f>
        <v>0.373</v>
      </c>
      <c r="F206" s="2" t="s">
        <v>667</v>
      </c>
      <c r="G206" s="6" t="s">
        <v>1755</v>
      </c>
      <c r="H206" s="70">
        <v>50</v>
      </c>
      <c r="I206" s="72">
        <f>FastenersPriceList345[[#This Row],[Quantity (kg)]]/FastenersPriceList345[[#This Row],[SINGLE PC. WT.]]</f>
        <v>134.04825737265415</v>
      </c>
      <c r="J206" s="3">
        <v>160</v>
      </c>
      <c r="K206" s="3">
        <f>FastenersPriceList345[[#This Row],[1000 PCS/WT.]]*FastenersPriceList345[[#This Row],[Rate / PER kg (₹)]]</f>
        <v>59680</v>
      </c>
      <c r="L206" s="4">
        <f>FastenersPriceList345[[#This Row],[Rate / PER kg (₹)]]*FastenersPriceList345[[#This Row],[Quantity (kg)]]</f>
        <v>8000</v>
      </c>
      <c r="M206" s="4">
        <f>FastenersPriceList345[[#This Row],[SINGLE PC. WT.]]*FastenersPriceList345[[#This Row],[Rate / PER kg (₹)]]</f>
        <v>59.68</v>
      </c>
    </row>
    <row r="207" spans="1:13" ht="22.05" customHeight="1" x14ac:dyDescent="0.3">
      <c r="A207" s="2" t="s">
        <v>2380</v>
      </c>
      <c r="B207" s="12" t="s">
        <v>8</v>
      </c>
      <c r="C207" s="12">
        <v>12.9</v>
      </c>
      <c r="D207" s="2">
        <v>391</v>
      </c>
      <c r="E207" s="2">
        <f>FastenersPriceList345[[#This Row],[1000 PCS/WT.]]/1000</f>
        <v>0.39100000000000001</v>
      </c>
      <c r="F207" s="2" t="s">
        <v>668</v>
      </c>
      <c r="G207" s="6" t="s">
        <v>1755</v>
      </c>
      <c r="H207" s="70">
        <v>50</v>
      </c>
      <c r="I207" s="72">
        <f>FastenersPriceList345[[#This Row],[Quantity (kg)]]/FastenersPriceList345[[#This Row],[SINGLE PC. WT.]]</f>
        <v>127.8772378516624</v>
      </c>
      <c r="J207" s="3">
        <v>160</v>
      </c>
      <c r="K207" s="3">
        <f>FastenersPriceList345[[#This Row],[1000 PCS/WT.]]*FastenersPriceList345[[#This Row],[Rate / PER kg (₹)]]</f>
        <v>62560</v>
      </c>
      <c r="L207" s="4">
        <f>FastenersPriceList345[[#This Row],[Rate / PER kg (₹)]]*FastenersPriceList345[[#This Row],[Quantity (kg)]]</f>
        <v>8000</v>
      </c>
      <c r="M207" s="4">
        <f>FastenersPriceList345[[#This Row],[SINGLE PC. WT.]]*FastenersPriceList345[[#This Row],[Rate / PER kg (₹)]]</f>
        <v>62.56</v>
      </c>
    </row>
    <row r="208" spans="1:13" ht="22.05" customHeight="1" x14ac:dyDescent="0.3">
      <c r="A208" s="2" t="s">
        <v>2381</v>
      </c>
      <c r="B208" s="12" t="s">
        <v>8</v>
      </c>
      <c r="C208" s="12">
        <v>12.9</v>
      </c>
      <c r="D208" s="2">
        <v>409</v>
      </c>
      <c r="E208" s="2">
        <f>FastenersPriceList345[[#This Row],[1000 PCS/WT.]]/1000</f>
        <v>0.40899999999999997</v>
      </c>
      <c r="F208" s="2" t="s">
        <v>669</v>
      </c>
      <c r="G208" s="6" t="s">
        <v>1755</v>
      </c>
      <c r="H208" s="70">
        <v>50</v>
      </c>
      <c r="I208" s="72">
        <f>FastenersPriceList345[[#This Row],[Quantity (kg)]]/FastenersPriceList345[[#This Row],[SINGLE PC. WT.]]</f>
        <v>122.24938875305624</v>
      </c>
      <c r="J208" s="3">
        <v>160</v>
      </c>
      <c r="K208" s="3">
        <f>FastenersPriceList345[[#This Row],[1000 PCS/WT.]]*FastenersPriceList345[[#This Row],[Rate / PER kg (₹)]]</f>
        <v>65440</v>
      </c>
      <c r="L208" s="4">
        <f>FastenersPriceList345[[#This Row],[Rate / PER kg (₹)]]*FastenersPriceList345[[#This Row],[Quantity (kg)]]</f>
        <v>8000</v>
      </c>
      <c r="M208" s="4">
        <f>FastenersPriceList345[[#This Row],[SINGLE PC. WT.]]*FastenersPriceList345[[#This Row],[Rate / PER kg (₹)]]</f>
        <v>65.44</v>
      </c>
    </row>
    <row r="209" spans="1:13" ht="22.05" customHeight="1" x14ac:dyDescent="0.3">
      <c r="A209" s="2" t="s">
        <v>2382</v>
      </c>
      <c r="B209" s="12" t="s">
        <v>8</v>
      </c>
      <c r="C209" s="12">
        <v>12.9</v>
      </c>
      <c r="D209" s="2">
        <v>427</v>
      </c>
      <c r="E209" s="2">
        <f>FastenersPriceList345[[#This Row],[1000 PCS/WT.]]/1000</f>
        <v>0.42699999999999999</v>
      </c>
      <c r="F209" s="2" t="s">
        <v>670</v>
      </c>
      <c r="G209" s="6" t="s">
        <v>1755</v>
      </c>
      <c r="H209" s="70">
        <v>50</v>
      </c>
      <c r="I209" s="72">
        <f>FastenersPriceList345[[#This Row],[Quantity (kg)]]/FastenersPriceList345[[#This Row],[SINGLE PC. WT.]]</f>
        <v>117.096018735363</v>
      </c>
      <c r="J209" s="3">
        <v>160</v>
      </c>
      <c r="K209" s="3">
        <f>FastenersPriceList345[[#This Row],[1000 PCS/WT.]]*FastenersPriceList345[[#This Row],[Rate / PER kg (₹)]]</f>
        <v>68320</v>
      </c>
      <c r="L209" s="4">
        <f>FastenersPriceList345[[#This Row],[Rate / PER kg (₹)]]*FastenersPriceList345[[#This Row],[Quantity (kg)]]</f>
        <v>8000</v>
      </c>
      <c r="M209" s="4">
        <f>FastenersPriceList345[[#This Row],[SINGLE PC. WT.]]*FastenersPriceList345[[#This Row],[Rate / PER kg (₹)]]</f>
        <v>68.319999999999993</v>
      </c>
    </row>
    <row r="210" spans="1:13" ht="22.05" customHeight="1" x14ac:dyDescent="0.3">
      <c r="A210" s="2" t="s">
        <v>2383</v>
      </c>
      <c r="B210" s="12" t="s">
        <v>8</v>
      </c>
      <c r="C210" s="12">
        <v>12.9</v>
      </c>
      <c r="D210" s="2">
        <v>445</v>
      </c>
      <c r="E210" s="2">
        <f>FastenersPriceList345[[#This Row],[1000 PCS/WT.]]/1000</f>
        <v>0.44500000000000001</v>
      </c>
      <c r="F210" s="2" t="s">
        <v>671</v>
      </c>
      <c r="G210" s="6" t="s">
        <v>1755</v>
      </c>
      <c r="H210" s="70">
        <v>50</v>
      </c>
      <c r="I210" s="72">
        <f>FastenersPriceList345[[#This Row],[Quantity (kg)]]/FastenersPriceList345[[#This Row],[SINGLE PC. WT.]]</f>
        <v>112.35955056179775</v>
      </c>
      <c r="J210" s="3">
        <v>160</v>
      </c>
      <c r="K210" s="3">
        <f>FastenersPriceList345[[#This Row],[1000 PCS/WT.]]*FastenersPriceList345[[#This Row],[Rate / PER kg (₹)]]</f>
        <v>71200</v>
      </c>
      <c r="L210" s="4">
        <f>FastenersPriceList345[[#This Row],[Rate / PER kg (₹)]]*FastenersPriceList345[[#This Row],[Quantity (kg)]]</f>
        <v>8000</v>
      </c>
      <c r="M210" s="4">
        <f>FastenersPriceList345[[#This Row],[SINGLE PC. WT.]]*FastenersPriceList345[[#This Row],[Rate / PER kg (₹)]]</f>
        <v>71.2</v>
      </c>
    </row>
    <row r="211" spans="1:13" ht="22.05" customHeight="1" x14ac:dyDescent="0.3">
      <c r="A211" s="2" t="s">
        <v>2384</v>
      </c>
      <c r="B211" s="12" t="s">
        <v>8</v>
      </c>
      <c r="C211" s="12">
        <v>12.9</v>
      </c>
      <c r="D211" s="2">
        <v>481</v>
      </c>
      <c r="E211" s="2">
        <f>FastenersPriceList345[[#This Row],[1000 PCS/WT.]]/1000</f>
        <v>0.48099999999999998</v>
      </c>
      <c r="F211" s="2" t="s">
        <v>672</v>
      </c>
      <c r="G211" s="6" t="s">
        <v>1755</v>
      </c>
      <c r="H211" s="70">
        <v>50</v>
      </c>
      <c r="I211" s="72">
        <f>FastenersPriceList345[[#This Row],[Quantity (kg)]]/FastenersPriceList345[[#This Row],[SINGLE PC. WT.]]</f>
        <v>103.95010395010395</v>
      </c>
      <c r="J211" s="3">
        <v>160</v>
      </c>
      <c r="K211" s="3">
        <f>FastenersPriceList345[[#This Row],[1000 PCS/WT.]]*FastenersPriceList345[[#This Row],[Rate / PER kg (₹)]]</f>
        <v>76960</v>
      </c>
      <c r="L211" s="4">
        <f>FastenersPriceList345[[#This Row],[Rate / PER kg (₹)]]*FastenersPriceList345[[#This Row],[Quantity (kg)]]</f>
        <v>8000</v>
      </c>
      <c r="M211" s="4">
        <f>FastenersPriceList345[[#This Row],[SINGLE PC. WT.]]*FastenersPriceList345[[#This Row],[Rate / PER kg (₹)]]</f>
        <v>76.959999999999994</v>
      </c>
    </row>
    <row r="212" spans="1:13" ht="22.05" customHeight="1" x14ac:dyDescent="0.3">
      <c r="A212" s="2" t="s">
        <v>2385</v>
      </c>
      <c r="B212" s="12" t="s">
        <v>8</v>
      </c>
      <c r="C212" s="12">
        <v>12.9</v>
      </c>
      <c r="D212" s="2">
        <v>517</v>
      </c>
      <c r="E212" s="2">
        <f>FastenersPriceList345[[#This Row],[1000 PCS/WT.]]/1000</f>
        <v>0.51700000000000002</v>
      </c>
      <c r="F212" s="2" t="s">
        <v>673</v>
      </c>
      <c r="G212" s="6" t="s">
        <v>1755</v>
      </c>
      <c r="H212" s="70">
        <v>50</v>
      </c>
      <c r="I212" s="72">
        <f>FastenersPriceList345[[#This Row],[Quantity (kg)]]/FastenersPriceList345[[#This Row],[SINGLE PC. WT.]]</f>
        <v>96.71179883945841</v>
      </c>
      <c r="J212" s="3">
        <v>160</v>
      </c>
      <c r="K212" s="3">
        <f>FastenersPriceList345[[#This Row],[1000 PCS/WT.]]*FastenersPriceList345[[#This Row],[Rate / PER kg (₹)]]</f>
        <v>82720</v>
      </c>
      <c r="L212" s="4">
        <f>FastenersPriceList345[[#This Row],[Rate / PER kg (₹)]]*FastenersPriceList345[[#This Row],[Quantity (kg)]]</f>
        <v>8000</v>
      </c>
      <c r="M212" s="4">
        <f>FastenersPriceList345[[#This Row],[SINGLE PC. WT.]]*FastenersPriceList345[[#This Row],[Rate / PER kg (₹)]]</f>
        <v>82.72</v>
      </c>
    </row>
    <row r="213" spans="1:13" ht="22.05" customHeight="1" x14ac:dyDescent="0.3">
      <c r="A213" s="2" t="s">
        <v>2386</v>
      </c>
      <c r="B213" s="12" t="s">
        <v>8</v>
      </c>
      <c r="C213" s="12">
        <v>12.9</v>
      </c>
      <c r="D213" s="2">
        <v>553</v>
      </c>
      <c r="E213" s="2">
        <f>FastenersPriceList345[[#This Row],[1000 PCS/WT.]]/1000</f>
        <v>0.55300000000000005</v>
      </c>
      <c r="F213" s="2" t="s">
        <v>674</v>
      </c>
      <c r="G213" s="6" t="s">
        <v>1755</v>
      </c>
      <c r="H213" s="70">
        <v>50</v>
      </c>
      <c r="I213" s="72">
        <f>FastenersPriceList345[[#This Row],[Quantity (kg)]]/FastenersPriceList345[[#This Row],[SINGLE PC. WT.]]</f>
        <v>90.415913200723324</v>
      </c>
      <c r="J213" s="3">
        <v>160</v>
      </c>
      <c r="K213" s="3">
        <f>FastenersPriceList345[[#This Row],[1000 PCS/WT.]]*FastenersPriceList345[[#This Row],[Rate / PER kg (₹)]]</f>
        <v>88480</v>
      </c>
      <c r="L213" s="4">
        <f>FastenersPriceList345[[#This Row],[Rate / PER kg (₹)]]*FastenersPriceList345[[#This Row],[Quantity (kg)]]</f>
        <v>8000</v>
      </c>
      <c r="M213" s="4">
        <f>FastenersPriceList345[[#This Row],[SINGLE PC. WT.]]*FastenersPriceList345[[#This Row],[Rate / PER kg (₹)]]</f>
        <v>88.48</v>
      </c>
    </row>
    <row r="214" spans="1:13" ht="22.05" customHeight="1" x14ac:dyDescent="0.3">
      <c r="A214" s="2" t="s">
        <v>2387</v>
      </c>
      <c r="B214" s="12" t="s">
        <v>8</v>
      </c>
      <c r="C214" s="12">
        <v>12.9</v>
      </c>
      <c r="D214" s="2">
        <v>589</v>
      </c>
      <c r="E214" s="2">
        <f>FastenersPriceList345[[#This Row],[1000 PCS/WT.]]/1000</f>
        <v>0.58899999999999997</v>
      </c>
      <c r="F214" s="2" t="s">
        <v>675</v>
      </c>
      <c r="G214" s="6" t="s">
        <v>1755</v>
      </c>
      <c r="H214" s="70">
        <v>50</v>
      </c>
      <c r="I214" s="72">
        <f>FastenersPriceList345[[#This Row],[Quantity (kg)]]/FastenersPriceList345[[#This Row],[SINGLE PC. WT.]]</f>
        <v>84.889643463497464</v>
      </c>
      <c r="J214" s="3">
        <v>160</v>
      </c>
      <c r="K214" s="3">
        <f>FastenersPriceList345[[#This Row],[1000 PCS/WT.]]*FastenersPriceList345[[#This Row],[Rate / PER kg (₹)]]</f>
        <v>94240</v>
      </c>
      <c r="L214" s="4">
        <f>FastenersPriceList345[[#This Row],[Rate / PER kg (₹)]]*FastenersPriceList345[[#This Row],[Quantity (kg)]]</f>
        <v>8000</v>
      </c>
      <c r="M214" s="4">
        <f>FastenersPriceList345[[#This Row],[SINGLE PC. WT.]]*FastenersPriceList345[[#This Row],[Rate / PER kg (₹)]]</f>
        <v>94.24</v>
      </c>
    </row>
    <row r="215" spans="1:13" ht="22.05" customHeight="1" x14ac:dyDescent="0.3">
      <c r="A215" s="2" t="s">
        <v>2388</v>
      </c>
      <c r="B215" s="12" t="s">
        <v>8</v>
      </c>
      <c r="C215" s="12">
        <v>12.9</v>
      </c>
      <c r="D215" s="2">
        <v>625</v>
      </c>
      <c r="E215" s="2">
        <f>FastenersPriceList345[[#This Row],[1000 PCS/WT.]]/1000</f>
        <v>0.625</v>
      </c>
      <c r="F215" s="2" t="s">
        <v>676</v>
      </c>
      <c r="G215" s="6" t="s">
        <v>1755</v>
      </c>
      <c r="H215" s="70">
        <v>50</v>
      </c>
      <c r="I215" s="72">
        <f>FastenersPriceList345[[#This Row],[Quantity (kg)]]/FastenersPriceList345[[#This Row],[SINGLE PC. WT.]]</f>
        <v>80</v>
      </c>
      <c r="J215" s="3">
        <v>160</v>
      </c>
      <c r="K215" s="3">
        <f>FastenersPriceList345[[#This Row],[1000 PCS/WT.]]*FastenersPriceList345[[#This Row],[Rate / PER kg (₹)]]</f>
        <v>100000</v>
      </c>
      <c r="L215" s="4">
        <f>FastenersPriceList345[[#This Row],[Rate / PER kg (₹)]]*FastenersPriceList345[[#This Row],[Quantity (kg)]]</f>
        <v>8000</v>
      </c>
      <c r="M215" s="4">
        <f>FastenersPriceList345[[#This Row],[SINGLE PC. WT.]]*FastenersPriceList345[[#This Row],[Rate / PER kg (₹)]]</f>
        <v>100</v>
      </c>
    </row>
    <row r="216" spans="1:13" ht="22.05" customHeight="1" x14ac:dyDescent="0.3">
      <c r="A216" s="2" t="s">
        <v>2389</v>
      </c>
      <c r="B216" s="12" t="s">
        <v>8</v>
      </c>
      <c r="C216" s="12">
        <v>12.9</v>
      </c>
      <c r="D216" s="2">
        <v>661</v>
      </c>
      <c r="E216" s="2">
        <f>FastenersPriceList345[[#This Row],[1000 PCS/WT.]]/1000</f>
        <v>0.66100000000000003</v>
      </c>
      <c r="F216" s="2" t="s">
        <v>677</v>
      </c>
      <c r="G216" s="6" t="s">
        <v>1755</v>
      </c>
      <c r="H216" s="70">
        <v>50</v>
      </c>
      <c r="I216" s="72">
        <f>FastenersPriceList345[[#This Row],[Quantity (kg)]]/FastenersPriceList345[[#This Row],[SINGLE PC. WT.]]</f>
        <v>75.642965204236006</v>
      </c>
      <c r="J216" s="3">
        <v>160</v>
      </c>
      <c r="K216" s="3">
        <f>FastenersPriceList345[[#This Row],[1000 PCS/WT.]]*FastenersPriceList345[[#This Row],[Rate / PER kg (₹)]]</f>
        <v>105760</v>
      </c>
      <c r="L216" s="4">
        <f>FastenersPriceList345[[#This Row],[Rate / PER kg (₹)]]*FastenersPriceList345[[#This Row],[Quantity (kg)]]</f>
        <v>8000</v>
      </c>
      <c r="M216" s="4">
        <f>FastenersPriceList345[[#This Row],[SINGLE PC. WT.]]*FastenersPriceList345[[#This Row],[Rate / PER kg (₹)]]</f>
        <v>105.76</v>
      </c>
    </row>
    <row r="217" spans="1:13" ht="22.05" customHeight="1" x14ac:dyDescent="0.3">
      <c r="A217" s="2" t="s">
        <v>2390</v>
      </c>
      <c r="B217" s="12" t="s">
        <v>8</v>
      </c>
      <c r="C217" s="12">
        <v>12.9</v>
      </c>
      <c r="D217" s="2">
        <v>697</v>
      </c>
      <c r="E217" s="2">
        <f>FastenersPriceList345[[#This Row],[1000 PCS/WT.]]/1000</f>
        <v>0.69699999999999995</v>
      </c>
      <c r="F217" s="2" t="s">
        <v>678</v>
      </c>
      <c r="G217" s="6" t="s">
        <v>1755</v>
      </c>
      <c r="H217" s="70">
        <v>50</v>
      </c>
      <c r="I217" s="72">
        <f>FastenersPriceList345[[#This Row],[Quantity (kg)]]/FastenersPriceList345[[#This Row],[SINGLE PC. WT.]]</f>
        <v>71.736011477761835</v>
      </c>
      <c r="J217" s="3">
        <v>160</v>
      </c>
      <c r="K217" s="3">
        <f>FastenersPriceList345[[#This Row],[1000 PCS/WT.]]*FastenersPriceList345[[#This Row],[Rate / PER kg (₹)]]</f>
        <v>111520</v>
      </c>
      <c r="L217" s="4">
        <f>FastenersPriceList345[[#This Row],[Rate / PER kg (₹)]]*FastenersPriceList345[[#This Row],[Quantity (kg)]]</f>
        <v>8000</v>
      </c>
      <c r="M217" s="4">
        <f>FastenersPriceList345[[#This Row],[SINGLE PC. WT.]]*FastenersPriceList345[[#This Row],[Rate / PER kg (₹)]]</f>
        <v>111.52</v>
      </c>
    </row>
    <row r="218" spans="1:13" ht="22.05" customHeight="1" x14ac:dyDescent="0.3">
      <c r="A218" s="2" t="s">
        <v>2391</v>
      </c>
      <c r="B218" s="12" t="s">
        <v>8</v>
      </c>
      <c r="C218" s="12">
        <v>12.9</v>
      </c>
      <c r="D218" s="2">
        <v>733</v>
      </c>
      <c r="E218" s="2">
        <f>FastenersPriceList345[[#This Row],[1000 PCS/WT.]]/1000</f>
        <v>0.73299999999999998</v>
      </c>
      <c r="F218" s="2" t="s">
        <v>679</v>
      </c>
      <c r="G218" s="6" t="s">
        <v>1755</v>
      </c>
      <c r="H218" s="70">
        <v>50</v>
      </c>
      <c r="I218" s="72">
        <f>FastenersPriceList345[[#This Row],[Quantity (kg)]]/FastenersPriceList345[[#This Row],[SINGLE PC. WT.]]</f>
        <v>68.212824010914048</v>
      </c>
      <c r="J218" s="3">
        <v>160</v>
      </c>
      <c r="K218" s="3">
        <f>FastenersPriceList345[[#This Row],[1000 PCS/WT.]]*FastenersPriceList345[[#This Row],[Rate / PER kg (₹)]]</f>
        <v>117280</v>
      </c>
      <c r="L218" s="4">
        <f>FastenersPriceList345[[#This Row],[Rate / PER kg (₹)]]*FastenersPriceList345[[#This Row],[Quantity (kg)]]</f>
        <v>8000</v>
      </c>
      <c r="M218" s="4">
        <f>FastenersPriceList345[[#This Row],[SINGLE PC. WT.]]*FastenersPriceList345[[#This Row],[Rate / PER kg (₹)]]</f>
        <v>117.28</v>
      </c>
    </row>
    <row r="219" spans="1:13" ht="22.05" customHeight="1" x14ac:dyDescent="0.3">
      <c r="A219" s="2" t="s">
        <v>2392</v>
      </c>
      <c r="B219" s="12" t="s">
        <v>8</v>
      </c>
      <c r="C219" s="12">
        <v>12.9</v>
      </c>
      <c r="D219" s="2">
        <v>769</v>
      </c>
      <c r="E219" s="2">
        <f>FastenersPriceList345[[#This Row],[1000 PCS/WT.]]/1000</f>
        <v>0.76900000000000002</v>
      </c>
      <c r="F219" s="2" t="s">
        <v>680</v>
      </c>
      <c r="G219" s="6" t="s">
        <v>1755</v>
      </c>
      <c r="H219" s="70">
        <v>50</v>
      </c>
      <c r="I219" s="72">
        <f>FastenersPriceList345[[#This Row],[Quantity (kg)]]/FastenersPriceList345[[#This Row],[SINGLE PC. WT.]]</f>
        <v>65.019505851755525</v>
      </c>
      <c r="J219" s="3">
        <v>160</v>
      </c>
      <c r="K219" s="3">
        <f>FastenersPriceList345[[#This Row],[1000 PCS/WT.]]*FastenersPriceList345[[#This Row],[Rate / PER kg (₹)]]</f>
        <v>123040</v>
      </c>
      <c r="L219" s="4">
        <f>FastenersPriceList345[[#This Row],[Rate / PER kg (₹)]]*FastenersPriceList345[[#This Row],[Quantity (kg)]]</f>
        <v>8000</v>
      </c>
      <c r="M219" s="4">
        <f>FastenersPriceList345[[#This Row],[SINGLE PC. WT.]]*FastenersPriceList345[[#This Row],[Rate / PER kg (₹)]]</f>
        <v>123.04</v>
      </c>
    </row>
    <row r="220" spans="1:13" ht="22.05" customHeight="1" x14ac:dyDescent="0.3">
      <c r="A220" s="2" t="s">
        <v>2393</v>
      </c>
      <c r="B220" s="12" t="s">
        <v>8</v>
      </c>
      <c r="C220" s="12">
        <v>12.9</v>
      </c>
      <c r="D220" s="2">
        <v>805</v>
      </c>
      <c r="E220" s="2">
        <f>FastenersPriceList345[[#This Row],[1000 PCS/WT.]]/1000</f>
        <v>0.80500000000000005</v>
      </c>
      <c r="F220" s="2" t="s">
        <v>681</v>
      </c>
      <c r="G220" s="6" t="s">
        <v>1755</v>
      </c>
      <c r="H220" s="70">
        <v>50</v>
      </c>
      <c r="I220" s="72">
        <f>FastenersPriceList345[[#This Row],[Quantity (kg)]]/FastenersPriceList345[[#This Row],[SINGLE PC. WT.]]</f>
        <v>62.11180124223602</v>
      </c>
      <c r="J220" s="3">
        <v>160</v>
      </c>
      <c r="K220" s="3">
        <f>FastenersPriceList345[[#This Row],[1000 PCS/WT.]]*FastenersPriceList345[[#This Row],[Rate / PER kg (₹)]]</f>
        <v>128800</v>
      </c>
      <c r="L220" s="4">
        <f>FastenersPriceList345[[#This Row],[Rate / PER kg (₹)]]*FastenersPriceList345[[#This Row],[Quantity (kg)]]</f>
        <v>8000</v>
      </c>
      <c r="M220" s="4">
        <f>FastenersPriceList345[[#This Row],[SINGLE PC. WT.]]*FastenersPriceList345[[#This Row],[Rate / PER kg (₹)]]</f>
        <v>128.80000000000001</v>
      </c>
    </row>
    <row r="221" spans="1:13" ht="22.05" customHeight="1" x14ac:dyDescent="0.3">
      <c r="A221" s="2" t="s">
        <v>2394</v>
      </c>
      <c r="B221" s="12" t="s">
        <v>8</v>
      </c>
      <c r="C221" s="12">
        <v>12.9</v>
      </c>
      <c r="D221" s="2">
        <v>350</v>
      </c>
      <c r="E221" s="2">
        <f>FastenersPriceList345[[#This Row],[1000 PCS/WT.]]/1000</f>
        <v>0.35</v>
      </c>
      <c r="F221" s="2" t="s">
        <v>682</v>
      </c>
      <c r="G221" s="6" t="s">
        <v>1755</v>
      </c>
      <c r="H221" s="70">
        <v>50</v>
      </c>
      <c r="I221" s="72">
        <f>FastenersPriceList345[[#This Row],[Quantity (kg)]]/FastenersPriceList345[[#This Row],[SINGLE PC. WT.]]</f>
        <v>142.85714285714286</v>
      </c>
      <c r="J221" s="3">
        <v>158</v>
      </c>
      <c r="K221" s="3">
        <f>FastenersPriceList345[[#This Row],[1000 PCS/WT.]]*FastenersPriceList345[[#This Row],[Rate / PER kg (₹)]]</f>
        <v>55300</v>
      </c>
      <c r="L221" s="4">
        <f>FastenersPriceList345[[#This Row],[Rate / PER kg (₹)]]*FastenersPriceList345[[#This Row],[Quantity (kg)]]</f>
        <v>7900</v>
      </c>
      <c r="M221" s="4">
        <f>FastenersPriceList345[[#This Row],[SINGLE PC. WT.]]*FastenersPriceList345[[#This Row],[Rate / PER kg (₹)]]</f>
        <v>55.3</v>
      </c>
    </row>
    <row r="222" spans="1:13" ht="22.05" customHeight="1" x14ac:dyDescent="0.3">
      <c r="A222" s="2" t="s">
        <v>2395</v>
      </c>
      <c r="B222" s="12" t="s">
        <v>8</v>
      </c>
      <c r="C222" s="12">
        <v>12.9</v>
      </c>
      <c r="D222" s="2">
        <v>370</v>
      </c>
      <c r="E222" s="2">
        <f>FastenersPriceList345[[#This Row],[1000 PCS/WT.]]/1000</f>
        <v>0.37</v>
      </c>
      <c r="F222" s="2" t="s">
        <v>683</v>
      </c>
      <c r="G222" s="6" t="s">
        <v>1755</v>
      </c>
      <c r="H222" s="70">
        <v>50</v>
      </c>
      <c r="I222" s="72">
        <f>FastenersPriceList345[[#This Row],[Quantity (kg)]]/FastenersPriceList345[[#This Row],[SINGLE PC. WT.]]</f>
        <v>135.13513513513513</v>
      </c>
      <c r="J222" s="3">
        <v>158</v>
      </c>
      <c r="K222" s="3">
        <f>FastenersPriceList345[[#This Row],[1000 PCS/WT.]]*FastenersPriceList345[[#This Row],[Rate / PER kg (₹)]]</f>
        <v>58460</v>
      </c>
      <c r="L222" s="4">
        <f>FastenersPriceList345[[#This Row],[Rate / PER kg (₹)]]*FastenersPriceList345[[#This Row],[Quantity (kg)]]</f>
        <v>7900</v>
      </c>
      <c r="M222" s="4">
        <f>FastenersPriceList345[[#This Row],[SINGLE PC. WT.]]*FastenersPriceList345[[#This Row],[Rate / PER kg (₹)]]</f>
        <v>58.46</v>
      </c>
    </row>
    <row r="223" spans="1:13" ht="22.05" customHeight="1" x14ac:dyDescent="0.3">
      <c r="A223" s="2" t="s">
        <v>2396</v>
      </c>
      <c r="B223" s="12" t="s">
        <v>8</v>
      </c>
      <c r="C223" s="12">
        <v>12.9</v>
      </c>
      <c r="D223" s="2">
        <v>390</v>
      </c>
      <c r="E223" s="2">
        <f>FastenersPriceList345[[#This Row],[1000 PCS/WT.]]/1000</f>
        <v>0.39</v>
      </c>
      <c r="F223" s="2" t="s">
        <v>684</v>
      </c>
      <c r="G223" s="6" t="s">
        <v>1755</v>
      </c>
      <c r="H223" s="70">
        <v>50</v>
      </c>
      <c r="I223" s="72">
        <f>FastenersPriceList345[[#This Row],[Quantity (kg)]]/FastenersPriceList345[[#This Row],[SINGLE PC. WT.]]</f>
        <v>128.2051282051282</v>
      </c>
      <c r="J223" s="3">
        <v>158</v>
      </c>
      <c r="K223" s="3">
        <f>FastenersPriceList345[[#This Row],[1000 PCS/WT.]]*FastenersPriceList345[[#This Row],[Rate / PER kg (₹)]]</f>
        <v>61620</v>
      </c>
      <c r="L223" s="4">
        <f>FastenersPriceList345[[#This Row],[Rate / PER kg (₹)]]*FastenersPriceList345[[#This Row],[Quantity (kg)]]</f>
        <v>7900</v>
      </c>
      <c r="M223" s="4">
        <f>FastenersPriceList345[[#This Row],[SINGLE PC. WT.]]*FastenersPriceList345[[#This Row],[Rate / PER kg (₹)]]</f>
        <v>61.620000000000005</v>
      </c>
    </row>
    <row r="224" spans="1:13" ht="22.05" customHeight="1" x14ac:dyDescent="0.3">
      <c r="A224" s="2" t="s">
        <v>2397</v>
      </c>
      <c r="B224" s="12" t="s">
        <v>8</v>
      </c>
      <c r="C224" s="12">
        <v>12.9</v>
      </c>
      <c r="D224" s="2">
        <v>410</v>
      </c>
      <c r="E224" s="2">
        <f>FastenersPriceList345[[#This Row],[1000 PCS/WT.]]/1000</f>
        <v>0.41</v>
      </c>
      <c r="F224" s="2" t="s">
        <v>685</v>
      </c>
      <c r="G224" s="6" t="s">
        <v>1755</v>
      </c>
      <c r="H224" s="70">
        <v>50</v>
      </c>
      <c r="I224" s="72">
        <f>FastenersPriceList345[[#This Row],[Quantity (kg)]]/FastenersPriceList345[[#This Row],[SINGLE PC. WT.]]</f>
        <v>121.95121951219512</v>
      </c>
      <c r="J224" s="3">
        <v>158</v>
      </c>
      <c r="K224" s="3">
        <f>FastenersPriceList345[[#This Row],[1000 PCS/WT.]]*FastenersPriceList345[[#This Row],[Rate / PER kg (₹)]]</f>
        <v>64780</v>
      </c>
      <c r="L224" s="4">
        <f>FastenersPriceList345[[#This Row],[Rate / PER kg (₹)]]*FastenersPriceList345[[#This Row],[Quantity (kg)]]</f>
        <v>7900</v>
      </c>
      <c r="M224" s="4">
        <f>FastenersPriceList345[[#This Row],[SINGLE PC. WT.]]*FastenersPriceList345[[#This Row],[Rate / PER kg (₹)]]</f>
        <v>64.78</v>
      </c>
    </row>
    <row r="225" spans="1:13" ht="22.05" customHeight="1" x14ac:dyDescent="0.3">
      <c r="A225" s="2" t="s">
        <v>2398</v>
      </c>
      <c r="B225" s="12" t="s">
        <v>8</v>
      </c>
      <c r="C225" s="12">
        <v>12.9</v>
      </c>
      <c r="D225" s="2">
        <v>430</v>
      </c>
      <c r="E225" s="2">
        <f>FastenersPriceList345[[#This Row],[1000 PCS/WT.]]/1000</f>
        <v>0.43</v>
      </c>
      <c r="F225" s="2" t="s">
        <v>686</v>
      </c>
      <c r="G225" s="6" t="s">
        <v>1755</v>
      </c>
      <c r="H225" s="70">
        <v>50</v>
      </c>
      <c r="I225" s="72">
        <f>FastenersPriceList345[[#This Row],[Quantity (kg)]]/FastenersPriceList345[[#This Row],[SINGLE PC. WT.]]</f>
        <v>116.27906976744187</v>
      </c>
      <c r="J225" s="3">
        <v>158</v>
      </c>
      <c r="K225" s="3">
        <f>FastenersPriceList345[[#This Row],[1000 PCS/WT.]]*FastenersPriceList345[[#This Row],[Rate / PER kg (₹)]]</f>
        <v>67940</v>
      </c>
      <c r="L225" s="4">
        <f>FastenersPriceList345[[#This Row],[Rate / PER kg (₹)]]*FastenersPriceList345[[#This Row],[Quantity (kg)]]</f>
        <v>7900</v>
      </c>
      <c r="M225" s="4">
        <f>FastenersPriceList345[[#This Row],[SINGLE PC. WT.]]*FastenersPriceList345[[#This Row],[Rate / PER kg (₹)]]</f>
        <v>67.94</v>
      </c>
    </row>
    <row r="226" spans="1:13" ht="22.05" customHeight="1" x14ac:dyDescent="0.3">
      <c r="A226" s="2" t="s">
        <v>2399</v>
      </c>
      <c r="B226" s="12" t="s">
        <v>8</v>
      </c>
      <c r="C226" s="12">
        <v>12.9</v>
      </c>
      <c r="D226" s="2">
        <v>450</v>
      </c>
      <c r="E226" s="2">
        <f>FastenersPriceList345[[#This Row],[1000 PCS/WT.]]/1000</f>
        <v>0.45</v>
      </c>
      <c r="F226" s="2" t="s">
        <v>687</v>
      </c>
      <c r="G226" s="6" t="s">
        <v>1755</v>
      </c>
      <c r="H226" s="70">
        <v>50</v>
      </c>
      <c r="I226" s="72">
        <f>FastenersPriceList345[[#This Row],[Quantity (kg)]]/FastenersPriceList345[[#This Row],[SINGLE PC. WT.]]</f>
        <v>111.11111111111111</v>
      </c>
      <c r="J226" s="3">
        <v>158</v>
      </c>
      <c r="K226" s="3">
        <f>FastenersPriceList345[[#This Row],[1000 PCS/WT.]]*FastenersPriceList345[[#This Row],[Rate / PER kg (₹)]]</f>
        <v>71100</v>
      </c>
      <c r="L226" s="4">
        <f>FastenersPriceList345[[#This Row],[Rate / PER kg (₹)]]*FastenersPriceList345[[#This Row],[Quantity (kg)]]</f>
        <v>7900</v>
      </c>
      <c r="M226" s="4">
        <f>FastenersPriceList345[[#This Row],[SINGLE PC. WT.]]*FastenersPriceList345[[#This Row],[Rate / PER kg (₹)]]</f>
        <v>71.100000000000009</v>
      </c>
    </row>
    <row r="227" spans="1:13" ht="22.05" customHeight="1" x14ac:dyDescent="0.3">
      <c r="A227" s="2" t="s">
        <v>2400</v>
      </c>
      <c r="B227" s="12" t="s">
        <v>8</v>
      </c>
      <c r="C227" s="12">
        <v>12.9</v>
      </c>
      <c r="D227" s="2">
        <v>470</v>
      </c>
      <c r="E227" s="2">
        <f>FastenersPriceList345[[#This Row],[1000 PCS/WT.]]/1000</f>
        <v>0.47</v>
      </c>
      <c r="F227" s="2" t="s">
        <v>688</v>
      </c>
      <c r="G227" s="6" t="s">
        <v>1755</v>
      </c>
      <c r="H227" s="70">
        <v>50</v>
      </c>
      <c r="I227" s="72">
        <f>FastenersPriceList345[[#This Row],[Quantity (kg)]]/FastenersPriceList345[[#This Row],[SINGLE PC. WT.]]</f>
        <v>106.38297872340426</v>
      </c>
      <c r="J227" s="3">
        <v>158</v>
      </c>
      <c r="K227" s="3">
        <f>FastenersPriceList345[[#This Row],[1000 PCS/WT.]]*FastenersPriceList345[[#This Row],[Rate / PER kg (₹)]]</f>
        <v>74260</v>
      </c>
      <c r="L227" s="4">
        <f>FastenersPriceList345[[#This Row],[Rate / PER kg (₹)]]*FastenersPriceList345[[#This Row],[Quantity (kg)]]</f>
        <v>7900</v>
      </c>
      <c r="M227" s="4">
        <f>FastenersPriceList345[[#This Row],[SINGLE PC. WT.]]*FastenersPriceList345[[#This Row],[Rate / PER kg (₹)]]</f>
        <v>74.259999999999991</v>
      </c>
    </row>
    <row r="228" spans="1:13" ht="22.05" customHeight="1" x14ac:dyDescent="0.3">
      <c r="A228" s="2" t="s">
        <v>2401</v>
      </c>
      <c r="B228" s="12" t="s">
        <v>8</v>
      </c>
      <c r="C228" s="12">
        <v>12.9</v>
      </c>
      <c r="D228" s="2">
        <v>490</v>
      </c>
      <c r="E228" s="2">
        <f>FastenersPriceList345[[#This Row],[1000 PCS/WT.]]/1000</f>
        <v>0.49</v>
      </c>
      <c r="F228" s="2" t="s">
        <v>689</v>
      </c>
      <c r="G228" s="6" t="s">
        <v>1755</v>
      </c>
      <c r="H228" s="70">
        <v>50</v>
      </c>
      <c r="I228" s="72">
        <f>FastenersPriceList345[[#This Row],[Quantity (kg)]]/FastenersPriceList345[[#This Row],[SINGLE PC. WT.]]</f>
        <v>102.04081632653062</v>
      </c>
      <c r="J228" s="3">
        <v>158</v>
      </c>
      <c r="K228" s="3">
        <f>FastenersPriceList345[[#This Row],[1000 PCS/WT.]]*FastenersPriceList345[[#This Row],[Rate / PER kg (₹)]]</f>
        <v>77420</v>
      </c>
      <c r="L228" s="4">
        <f>FastenersPriceList345[[#This Row],[Rate / PER kg (₹)]]*FastenersPriceList345[[#This Row],[Quantity (kg)]]</f>
        <v>7900</v>
      </c>
      <c r="M228" s="4">
        <f>FastenersPriceList345[[#This Row],[SINGLE PC. WT.]]*FastenersPriceList345[[#This Row],[Rate / PER kg (₹)]]</f>
        <v>77.42</v>
      </c>
    </row>
    <row r="229" spans="1:13" ht="22.05" customHeight="1" x14ac:dyDescent="0.3">
      <c r="A229" s="2" t="s">
        <v>2402</v>
      </c>
      <c r="B229" s="12" t="s">
        <v>8</v>
      </c>
      <c r="C229" s="12">
        <v>12.9</v>
      </c>
      <c r="D229" s="2">
        <v>510</v>
      </c>
      <c r="E229" s="2">
        <f>FastenersPriceList345[[#This Row],[1000 PCS/WT.]]/1000</f>
        <v>0.51</v>
      </c>
      <c r="F229" s="2" t="s">
        <v>690</v>
      </c>
      <c r="G229" s="6" t="s">
        <v>1755</v>
      </c>
      <c r="H229" s="70">
        <v>50</v>
      </c>
      <c r="I229" s="72">
        <f>FastenersPriceList345[[#This Row],[Quantity (kg)]]/FastenersPriceList345[[#This Row],[SINGLE PC. WT.]]</f>
        <v>98.039215686274503</v>
      </c>
      <c r="J229" s="3">
        <v>158</v>
      </c>
      <c r="K229" s="3">
        <f>FastenersPriceList345[[#This Row],[1000 PCS/WT.]]*FastenersPriceList345[[#This Row],[Rate / PER kg (₹)]]</f>
        <v>80580</v>
      </c>
      <c r="L229" s="4">
        <f>FastenersPriceList345[[#This Row],[Rate / PER kg (₹)]]*FastenersPriceList345[[#This Row],[Quantity (kg)]]</f>
        <v>7900</v>
      </c>
      <c r="M229" s="4">
        <f>FastenersPriceList345[[#This Row],[SINGLE PC. WT.]]*FastenersPriceList345[[#This Row],[Rate / PER kg (₹)]]</f>
        <v>80.58</v>
      </c>
    </row>
    <row r="230" spans="1:13" ht="22.05" customHeight="1" x14ac:dyDescent="0.3">
      <c r="A230" s="2" t="s">
        <v>2403</v>
      </c>
      <c r="B230" s="12" t="s">
        <v>8</v>
      </c>
      <c r="C230" s="12">
        <v>12.9</v>
      </c>
      <c r="D230" s="2">
        <v>531</v>
      </c>
      <c r="E230" s="2">
        <f>FastenersPriceList345[[#This Row],[1000 PCS/WT.]]/1000</f>
        <v>0.53100000000000003</v>
      </c>
      <c r="F230" s="2" t="s">
        <v>691</v>
      </c>
      <c r="G230" s="6" t="s">
        <v>1755</v>
      </c>
      <c r="H230" s="70">
        <v>50</v>
      </c>
      <c r="I230" s="72">
        <f>FastenersPriceList345[[#This Row],[Quantity (kg)]]/FastenersPriceList345[[#This Row],[SINGLE PC. WT.]]</f>
        <v>94.161958568738228</v>
      </c>
      <c r="J230" s="3">
        <v>158</v>
      </c>
      <c r="K230" s="3">
        <f>FastenersPriceList345[[#This Row],[1000 PCS/WT.]]*FastenersPriceList345[[#This Row],[Rate / PER kg (₹)]]</f>
        <v>83898</v>
      </c>
      <c r="L230" s="4">
        <f>FastenersPriceList345[[#This Row],[Rate / PER kg (₹)]]*FastenersPriceList345[[#This Row],[Quantity (kg)]]</f>
        <v>7900</v>
      </c>
      <c r="M230" s="4">
        <f>FastenersPriceList345[[#This Row],[SINGLE PC. WT.]]*FastenersPriceList345[[#This Row],[Rate / PER kg (₹)]]</f>
        <v>83.89800000000001</v>
      </c>
    </row>
    <row r="231" spans="1:13" ht="22.05" customHeight="1" x14ac:dyDescent="0.3">
      <c r="A231" s="2" t="s">
        <v>2404</v>
      </c>
      <c r="B231" s="12" t="s">
        <v>8</v>
      </c>
      <c r="C231" s="12">
        <v>12.9</v>
      </c>
      <c r="D231" s="2">
        <v>552</v>
      </c>
      <c r="E231" s="2">
        <f>FastenersPriceList345[[#This Row],[1000 PCS/WT.]]/1000</f>
        <v>0.55200000000000005</v>
      </c>
      <c r="F231" s="2" t="s">
        <v>692</v>
      </c>
      <c r="G231" s="6" t="s">
        <v>1755</v>
      </c>
      <c r="H231" s="70">
        <v>50</v>
      </c>
      <c r="I231" s="72">
        <f>FastenersPriceList345[[#This Row],[Quantity (kg)]]/FastenersPriceList345[[#This Row],[SINGLE PC. WT.]]</f>
        <v>90.579710144927532</v>
      </c>
      <c r="J231" s="3">
        <v>158</v>
      </c>
      <c r="K231" s="3">
        <f>FastenersPriceList345[[#This Row],[1000 PCS/WT.]]*FastenersPriceList345[[#This Row],[Rate / PER kg (₹)]]</f>
        <v>87216</v>
      </c>
      <c r="L231" s="4">
        <f>FastenersPriceList345[[#This Row],[Rate / PER kg (₹)]]*FastenersPriceList345[[#This Row],[Quantity (kg)]]</f>
        <v>7900</v>
      </c>
      <c r="M231" s="4">
        <f>FastenersPriceList345[[#This Row],[SINGLE PC. WT.]]*FastenersPriceList345[[#This Row],[Rate / PER kg (₹)]]</f>
        <v>87.216000000000008</v>
      </c>
    </row>
    <row r="232" spans="1:13" ht="22.05" customHeight="1" x14ac:dyDescent="0.3">
      <c r="A232" s="2" t="s">
        <v>2405</v>
      </c>
      <c r="B232" s="12" t="s">
        <v>8</v>
      </c>
      <c r="C232" s="12">
        <v>12.9</v>
      </c>
      <c r="D232" s="2">
        <v>573</v>
      </c>
      <c r="E232" s="2">
        <f>FastenersPriceList345[[#This Row],[1000 PCS/WT.]]/1000</f>
        <v>0.57299999999999995</v>
      </c>
      <c r="F232" s="2" t="s">
        <v>693</v>
      </c>
      <c r="G232" s="6" t="s">
        <v>1755</v>
      </c>
      <c r="H232" s="70">
        <v>50</v>
      </c>
      <c r="I232" s="72">
        <f>FastenersPriceList345[[#This Row],[Quantity (kg)]]/FastenersPriceList345[[#This Row],[SINGLE PC. WT.]]</f>
        <v>87.260034904013963</v>
      </c>
      <c r="J232" s="3">
        <v>158</v>
      </c>
      <c r="K232" s="3">
        <f>FastenersPriceList345[[#This Row],[1000 PCS/WT.]]*FastenersPriceList345[[#This Row],[Rate / PER kg (₹)]]</f>
        <v>90534</v>
      </c>
      <c r="L232" s="4">
        <f>FastenersPriceList345[[#This Row],[Rate / PER kg (₹)]]*FastenersPriceList345[[#This Row],[Quantity (kg)]]</f>
        <v>7900</v>
      </c>
      <c r="M232" s="4">
        <f>FastenersPriceList345[[#This Row],[SINGLE PC. WT.]]*FastenersPriceList345[[#This Row],[Rate / PER kg (₹)]]</f>
        <v>90.533999999999992</v>
      </c>
    </row>
    <row r="233" spans="1:13" ht="22.05" customHeight="1" x14ac:dyDescent="0.3">
      <c r="A233" s="2" t="s">
        <v>2406</v>
      </c>
      <c r="B233" s="12" t="s">
        <v>8</v>
      </c>
      <c r="C233" s="12">
        <v>12.9</v>
      </c>
      <c r="D233" s="2">
        <v>594</v>
      </c>
      <c r="E233" s="2">
        <f>FastenersPriceList345[[#This Row],[1000 PCS/WT.]]/1000</f>
        <v>0.59399999999999997</v>
      </c>
      <c r="F233" s="2" t="s">
        <v>694</v>
      </c>
      <c r="G233" s="6" t="s">
        <v>1755</v>
      </c>
      <c r="H233" s="70">
        <v>50</v>
      </c>
      <c r="I233" s="72">
        <f>FastenersPriceList345[[#This Row],[Quantity (kg)]]/FastenersPriceList345[[#This Row],[SINGLE PC. WT.]]</f>
        <v>84.17508417508418</v>
      </c>
      <c r="J233" s="3">
        <v>158</v>
      </c>
      <c r="K233" s="3">
        <f>FastenersPriceList345[[#This Row],[1000 PCS/WT.]]*FastenersPriceList345[[#This Row],[Rate / PER kg (₹)]]</f>
        <v>93852</v>
      </c>
      <c r="L233" s="4">
        <f>FastenersPriceList345[[#This Row],[Rate / PER kg (₹)]]*FastenersPriceList345[[#This Row],[Quantity (kg)]]</f>
        <v>7900</v>
      </c>
      <c r="M233" s="4">
        <f>FastenersPriceList345[[#This Row],[SINGLE PC. WT.]]*FastenersPriceList345[[#This Row],[Rate / PER kg (₹)]]</f>
        <v>93.85199999999999</v>
      </c>
    </row>
    <row r="234" spans="1:13" ht="22.05" customHeight="1" x14ac:dyDescent="0.3">
      <c r="A234" s="2" t="s">
        <v>2407</v>
      </c>
      <c r="B234" s="12" t="s">
        <v>8</v>
      </c>
      <c r="C234" s="12">
        <v>12.9</v>
      </c>
      <c r="D234" s="2">
        <v>636</v>
      </c>
      <c r="E234" s="2">
        <f>FastenersPriceList345[[#This Row],[1000 PCS/WT.]]/1000</f>
        <v>0.63600000000000001</v>
      </c>
      <c r="F234" s="2" t="s">
        <v>695</v>
      </c>
      <c r="G234" s="6" t="s">
        <v>1755</v>
      </c>
      <c r="H234" s="70">
        <v>50</v>
      </c>
      <c r="I234" s="72">
        <f>FastenersPriceList345[[#This Row],[Quantity (kg)]]/FastenersPriceList345[[#This Row],[SINGLE PC. WT.]]</f>
        <v>78.616352201257854</v>
      </c>
      <c r="J234" s="3">
        <v>158</v>
      </c>
      <c r="K234" s="3">
        <f>FastenersPriceList345[[#This Row],[1000 PCS/WT.]]*FastenersPriceList345[[#This Row],[Rate / PER kg (₹)]]</f>
        <v>100488</v>
      </c>
      <c r="L234" s="4">
        <f>FastenersPriceList345[[#This Row],[Rate / PER kg (₹)]]*FastenersPriceList345[[#This Row],[Quantity (kg)]]</f>
        <v>7900</v>
      </c>
      <c r="M234" s="4">
        <f>FastenersPriceList345[[#This Row],[SINGLE PC. WT.]]*FastenersPriceList345[[#This Row],[Rate / PER kg (₹)]]</f>
        <v>100.488</v>
      </c>
    </row>
    <row r="235" spans="1:13" ht="22.05" customHeight="1" x14ac:dyDescent="0.3">
      <c r="A235" s="2" t="s">
        <v>2408</v>
      </c>
      <c r="B235" s="12" t="s">
        <v>8</v>
      </c>
      <c r="C235" s="12">
        <v>12.9</v>
      </c>
      <c r="D235" s="2">
        <v>678</v>
      </c>
      <c r="E235" s="2">
        <f>FastenersPriceList345[[#This Row],[1000 PCS/WT.]]/1000</f>
        <v>0.67800000000000005</v>
      </c>
      <c r="F235" s="2" t="s">
        <v>696</v>
      </c>
      <c r="G235" s="6" t="s">
        <v>1755</v>
      </c>
      <c r="H235" s="70">
        <v>50</v>
      </c>
      <c r="I235" s="72">
        <f>FastenersPriceList345[[#This Row],[Quantity (kg)]]/FastenersPriceList345[[#This Row],[SINGLE PC. WT.]]</f>
        <v>73.746312684365776</v>
      </c>
      <c r="J235" s="3">
        <v>158</v>
      </c>
      <c r="K235" s="3">
        <f>FastenersPriceList345[[#This Row],[1000 PCS/WT.]]*FastenersPriceList345[[#This Row],[Rate / PER kg (₹)]]</f>
        <v>107124</v>
      </c>
      <c r="L235" s="4">
        <f>FastenersPriceList345[[#This Row],[Rate / PER kg (₹)]]*FastenersPriceList345[[#This Row],[Quantity (kg)]]</f>
        <v>7900</v>
      </c>
      <c r="M235" s="4">
        <f>FastenersPriceList345[[#This Row],[SINGLE PC. WT.]]*FastenersPriceList345[[#This Row],[Rate / PER kg (₹)]]</f>
        <v>107.12400000000001</v>
      </c>
    </row>
    <row r="236" spans="1:13" ht="22.05" customHeight="1" x14ac:dyDescent="0.3">
      <c r="A236" s="2" t="s">
        <v>2409</v>
      </c>
      <c r="B236" s="12" t="s">
        <v>8</v>
      </c>
      <c r="C236" s="12">
        <v>12.9</v>
      </c>
      <c r="D236" s="2">
        <v>720</v>
      </c>
      <c r="E236" s="2">
        <f>FastenersPriceList345[[#This Row],[1000 PCS/WT.]]/1000</f>
        <v>0.72</v>
      </c>
      <c r="F236" s="2" t="s">
        <v>697</v>
      </c>
      <c r="G236" s="6" t="s">
        <v>1755</v>
      </c>
      <c r="H236" s="70">
        <v>50</v>
      </c>
      <c r="I236" s="72">
        <f>FastenersPriceList345[[#This Row],[Quantity (kg)]]/FastenersPriceList345[[#This Row],[SINGLE PC. WT.]]</f>
        <v>69.444444444444443</v>
      </c>
      <c r="J236" s="3">
        <v>158</v>
      </c>
      <c r="K236" s="3">
        <f>FastenersPriceList345[[#This Row],[1000 PCS/WT.]]*FastenersPriceList345[[#This Row],[Rate / PER kg (₹)]]</f>
        <v>113760</v>
      </c>
      <c r="L236" s="4">
        <f>FastenersPriceList345[[#This Row],[Rate / PER kg (₹)]]*FastenersPriceList345[[#This Row],[Quantity (kg)]]</f>
        <v>7900</v>
      </c>
      <c r="M236" s="4">
        <f>FastenersPriceList345[[#This Row],[SINGLE PC. WT.]]*FastenersPriceList345[[#This Row],[Rate / PER kg (₹)]]</f>
        <v>113.75999999999999</v>
      </c>
    </row>
    <row r="237" spans="1:13" ht="22.05" customHeight="1" x14ac:dyDescent="0.3">
      <c r="A237" s="2" t="s">
        <v>2410</v>
      </c>
      <c r="B237" s="12" t="s">
        <v>8</v>
      </c>
      <c r="C237" s="12">
        <v>12.9</v>
      </c>
      <c r="D237" s="2">
        <v>762</v>
      </c>
      <c r="E237" s="2">
        <f>FastenersPriceList345[[#This Row],[1000 PCS/WT.]]/1000</f>
        <v>0.76200000000000001</v>
      </c>
      <c r="F237" s="2" t="s">
        <v>698</v>
      </c>
      <c r="G237" s="6" t="s">
        <v>1755</v>
      </c>
      <c r="H237" s="70">
        <v>50</v>
      </c>
      <c r="I237" s="72">
        <f>FastenersPriceList345[[#This Row],[Quantity (kg)]]/FastenersPriceList345[[#This Row],[SINGLE PC. WT.]]</f>
        <v>65.616797900262469</v>
      </c>
      <c r="J237" s="3">
        <v>158</v>
      </c>
      <c r="K237" s="3">
        <f>FastenersPriceList345[[#This Row],[1000 PCS/WT.]]*FastenersPriceList345[[#This Row],[Rate / PER kg (₹)]]</f>
        <v>120396</v>
      </c>
      <c r="L237" s="4">
        <f>FastenersPriceList345[[#This Row],[Rate / PER kg (₹)]]*FastenersPriceList345[[#This Row],[Quantity (kg)]]</f>
        <v>7900</v>
      </c>
      <c r="M237" s="4">
        <f>FastenersPriceList345[[#This Row],[SINGLE PC. WT.]]*FastenersPriceList345[[#This Row],[Rate / PER kg (₹)]]</f>
        <v>120.396</v>
      </c>
    </row>
    <row r="238" spans="1:13" ht="22.05" customHeight="1" x14ac:dyDescent="0.3">
      <c r="A238" s="2" t="s">
        <v>2411</v>
      </c>
      <c r="B238" s="12" t="s">
        <v>8</v>
      </c>
      <c r="C238" s="12">
        <v>12.9</v>
      </c>
      <c r="D238" s="2">
        <v>804</v>
      </c>
      <c r="E238" s="2">
        <f>FastenersPriceList345[[#This Row],[1000 PCS/WT.]]/1000</f>
        <v>0.80400000000000005</v>
      </c>
      <c r="F238" s="2" t="s">
        <v>699</v>
      </c>
      <c r="G238" s="6" t="s">
        <v>1755</v>
      </c>
      <c r="H238" s="70">
        <v>50</v>
      </c>
      <c r="I238" s="72">
        <f>FastenersPriceList345[[#This Row],[Quantity (kg)]]/FastenersPriceList345[[#This Row],[SINGLE PC. WT.]]</f>
        <v>62.189054726368155</v>
      </c>
      <c r="J238" s="3">
        <v>158</v>
      </c>
      <c r="K238" s="3">
        <f>FastenersPriceList345[[#This Row],[1000 PCS/WT.]]*FastenersPriceList345[[#This Row],[Rate / PER kg (₹)]]</f>
        <v>127032</v>
      </c>
      <c r="L238" s="4">
        <f>FastenersPriceList345[[#This Row],[Rate / PER kg (₹)]]*FastenersPriceList345[[#This Row],[Quantity (kg)]]</f>
        <v>7900</v>
      </c>
      <c r="M238" s="4">
        <f>FastenersPriceList345[[#This Row],[SINGLE PC. WT.]]*FastenersPriceList345[[#This Row],[Rate / PER kg (₹)]]</f>
        <v>127.03200000000001</v>
      </c>
    </row>
    <row r="239" spans="1:13" ht="22.05" customHeight="1" x14ac:dyDescent="0.3">
      <c r="A239" s="2" t="s">
        <v>2412</v>
      </c>
      <c r="B239" s="12" t="s">
        <v>8</v>
      </c>
      <c r="C239" s="12">
        <v>12.9</v>
      </c>
      <c r="D239" s="2">
        <v>846</v>
      </c>
      <c r="E239" s="2">
        <f>FastenersPriceList345[[#This Row],[1000 PCS/WT.]]/1000</f>
        <v>0.84599999999999997</v>
      </c>
      <c r="F239" s="2" t="s">
        <v>700</v>
      </c>
      <c r="G239" s="6" t="s">
        <v>1755</v>
      </c>
      <c r="H239" s="70">
        <v>50</v>
      </c>
      <c r="I239" s="72">
        <f>FastenersPriceList345[[#This Row],[Quantity (kg)]]/FastenersPriceList345[[#This Row],[SINGLE PC. WT.]]</f>
        <v>59.101654846335698</v>
      </c>
      <c r="J239" s="3">
        <v>158</v>
      </c>
      <c r="K239" s="3">
        <f>FastenersPriceList345[[#This Row],[1000 PCS/WT.]]*FastenersPriceList345[[#This Row],[Rate / PER kg (₹)]]</f>
        <v>133668</v>
      </c>
      <c r="L239" s="4">
        <f>FastenersPriceList345[[#This Row],[Rate / PER kg (₹)]]*FastenersPriceList345[[#This Row],[Quantity (kg)]]</f>
        <v>7900</v>
      </c>
      <c r="M239" s="4">
        <f>FastenersPriceList345[[#This Row],[SINGLE PC. WT.]]*FastenersPriceList345[[#This Row],[Rate / PER kg (₹)]]</f>
        <v>133.66800000000001</v>
      </c>
    </row>
    <row r="240" spans="1:13" ht="22.05" customHeight="1" x14ac:dyDescent="0.3">
      <c r="A240" s="2" t="s">
        <v>2413</v>
      </c>
      <c r="B240" s="12" t="s">
        <v>8</v>
      </c>
      <c r="C240" s="12">
        <v>12.9</v>
      </c>
      <c r="D240" s="2">
        <v>888</v>
      </c>
      <c r="E240" s="2">
        <f>FastenersPriceList345[[#This Row],[1000 PCS/WT.]]/1000</f>
        <v>0.88800000000000001</v>
      </c>
      <c r="F240" s="2" t="s">
        <v>701</v>
      </c>
      <c r="G240" s="6" t="s">
        <v>1755</v>
      </c>
      <c r="H240" s="70">
        <v>50</v>
      </c>
      <c r="I240" s="72">
        <f>FastenersPriceList345[[#This Row],[Quantity (kg)]]/FastenersPriceList345[[#This Row],[SINGLE PC. WT.]]</f>
        <v>56.306306306306304</v>
      </c>
      <c r="J240" s="3">
        <v>158</v>
      </c>
      <c r="K240" s="3">
        <f>FastenersPriceList345[[#This Row],[1000 PCS/WT.]]*FastenersPriceList345[[#This Row],[Rate / PER kg (₹)]]</f>
        <v>140304</v>
      </c>
      <c r="L240" s="4">
        <f>FastenersPriceList345[[#This Row],[Rate / PER kg (₹)]]*FastenersPriceList345[[#This Row],[Quantity (kg)]]</f>
        <v>7900</v>
      </c>
      <c r="M240" s="4">
        <f>FastenersPriceList345[[#This Row],[SINGLE PC. WT.]]*FastenersPriceList345[[#This Row],[Rate / PER kg (₹)]]</f>
        <v>140.304</v>
      </c>
    </row>
    <row r="241" spans="1:13" ht="22.05" customHeight="1" x14ac:dyDescent="0.3">
      <c r="A241" s="2" t="s">
        <v>2414</v>
      </c>
      <c r="B241" s="12" t="s">
        <v>8</v>
      </c>
      <c r="C241" s="12">
        <v>12.9</v>
      </c>
      <c r="D241" s="2">
        <v>930</v>
      </c>
      <c r="E241" s="2">
        <f>FastenersPriceList345[[#This Row],[1000 PCS/WT.]]/1000</f>
        <v>0.93</v>
      </c>
      <c r="F241" s="2" t="s">
        <v>702</v>
      </c>
      <c r="G241" s="6" t="s">
        <v>1755</v>
      </c>
      <c r="H241" s="70">
        <v>50</v>
      </c>
      <c r="I241" s="72">
        <f>FastenersPriceList345[[#This Row],[Quantity (kg)]]/FastenersPriceList345[[#This Row],[SINGLE PC. WT.]]</f>
        <v>53.763440860215049</v>
      </c>
      <c r="J241" s="3">
        <v>158</v>
      </c>
      <c r="K241" s="3">
        <f>FastenersPriceList345[[#This Row],[1000 PCS/WT.]]*FastenersPriceList345[[#This Row],[Rate / PER kg (₹)]]</f>
        <v>146940</v>
      </c>
      <c r="L241" s="4">
        <f>FastenersPriceList345[[#This Row],[Rate / PER kg (₹)]]*FastenersPriceList345[[#This Row],[Quantity (kg)]]</f>
        <v>7900</v>
      </c>
      <c r="M241" s="4">
        <f>FastenersPriceList345[[#This Row],[SINGLE PC. WT.]]*FastenersPriceList345[[#This Row],[Rate / PER kg (₹)]]</f>
        <v>146.94</v>
      </c>
    </row>
    <row r="242" spans="1:13" ht="22.05" customHeight="1" x14ac:dyDescent="0.3">
      <c r="A242" s="2" t="s">
        <v>2415</v>
      </c>
      <c r="B242" s="12" t="s">
        <v>8</v>
      </c>
      <c r="C242" s="12">
        <v>12.9</v>
      </c>
      <c r="D242" s="2">
        <v>972</v>
      </c>
      <c r="E242" s="2">
        <f>FastenersPriceList345[[#This Row],[1000 PCS/WT.]]/1000</f>
        <v>0.97199999999999998</v>
      </c>
      <c r="F242" s="2" t="s">
        <v>703</v>
      </c>
      <c r="G242" s="6" t="s">
        <v>1755</v>
      </c>
      <c r="H242" s="70">
        <v>50</v>
      </c>
      <c r="I242" s="72">
        <f>FastenersPriceList345[[#This Row],[Quantity (kg)]]/FastenersPriceList345[[#This Row],[SINGLE PC. WT.]]</f>
        <v>51.440329218106996</v>
      </c>
      <c r="J242" s="3">
        <v>158</v>
      </c>
      <c r="K242" s="3">
        <f>FastenersPriceList345[[#This Row],[1000 PCS/WT.]]*FastenersPriceList345[[#This Row],[Rate / PER kg (₹)]]</f>
        <v>153576</v>
      </c>
      <c r="L242" s="4">
        <f>FastenersPriceList345[[#This Row],[Rate / PER kg (₹)]]*FastenersPriceList345[[#This Row],[Quantity (kg)]]</f>
        <v>7900</v>
      </c>
      <c r="M242" s="4">
        <f>FastenersPriceList345[[#This Row],[SINGLE PC. WT.]]*FastenersPriceList345[[#This Row],[Rate / PER kg (₹)]]</f>
        <v>153.57599999999999</v>
      </c>
    </row>
    <row r="243" spans="1:13" ht="22.05" customHeight="1" x14ac:dyDescent="0.3">
      <c r="A243" s="2" t="s">
        <v>2416</v>
      </c>
      <c r="B243" s="12" t="s">
        <v>8</v>
      </c>
      <c r="C243" s="12">
        <v>12.9</v>
      </c>
      <c r="D243" s="2">
        <v>1014</v>
      </c>
      <c r="E243" s="2">
        <f>FastenersPriceList345[[#This Row],[1000 PCS/WT.]]/1000</f>
        <v>1.014</v>
      </c>
      <c r="F243" s="2" t="s">
        <v>704</v>
      </c>
      <c r="G243" s="6" t="s">
        <v>1755</v>
      </c>
      <c r="H243" s="70">
        <v>50</v>
      </c>
      <c r="I243" s="72">
        <f>FastenersPriceList345[[#This Row],[Quantity (kg)]]/FastenersPriceList345[[#This Row],[SINGLE PC. WT.]]</f>
        <v>49.30966469428008</v>
      </c>
      <c r="J243" s="3">
        <v>158</v>
      </c>
      <c r="K243" s="3">
        <f>FastenersPriceList345[[#This Row],[1000 PCS/WT.]]*FastenersPriceList345[[#This Row],[Rate / PER kg (₹)]]</f>
        <v>160212</v>
      </c>
      <c r="L243" s="4">
        <f>FastenersPriceList345[[#This Row],[Rate / PER kg (₹)]]*FastenersPriceList345[[#This Row],[Quantity (kg)]]</f>
        <v>7900</v>
      </c>
      <c r="M243" s="4">
        <f>FastenersPriceList345[[#This Row],[SINGLE PC. WT.]]*FastenersPriceList345[[#This Row],[Rate / PER kg (₹)]]</f>
        <v>160.21199999999999</v>
      </c>
    </row>
    <row r="244" spans="1:13" ht="22.05" customHeight="1" x14ac:dyDescent="0.3">
      <c r="A244" s="2" t="s">
        <v>2417</v>
      </c>
      <c r="B244" s="12" t="s">
        <v>8</v>
      </c>
      <c r="C244" s="12">
        <v>12.9</v>
      </c>
      <c r="D244" s="2">
        <v>1056</v>
      </c>
      <c r="E244" s="2">
        <f>FastenersPriceList345[[#This Row],[1000 PCS/WT.]]/1000</f>
        <v>1.056</v>
      </c>
      <c r="F244" s="2" t="s">
        <v>705</v>
      </c>
      <c r="G244" s="6" t="s">
        <v>1755</v>
      </c>
      <c r="H244" s="70">
        <v>50</v>
      </c>
      <c r="I244" s="72">
        <f>FastenersPriceList345[[#This Row],[Quantity (kg)]]/FastenersPriceList345[[#This Row],[SINGLE PC. WT.]]</f>
        <v>47.348484848484844</v>
      </c>
      <c r="J244" s="3">
        <v>158</v>
      </c>
      <c r="K244" s="3">
        <f>FastenersPriceList345[[#This Row],[1000 PCS/WT.]]*FastenersPriceList345[[#This Row],[Rate / PER kg (₹)]]</f>
        <v>166848</v>
      </c>
      <c r="L244" s="4">
        <f>FastenersPriceList345[[#This Row],[Rate / PER kg (₹)]]*FastenersPriceList345[[#This Row],[Quantity (kg)]]</f>
        <v>7900</v>
      </c>
      <c r="M244" s="4">
        <f>FastenersPriceList345[[#This Row],[SINGLE PC. WT.]]*FastenersPriceList345[[#This Row],[Rate / PER kg (₹)]]</f>
        <v>166.84800000000001</v>
      </c>
    </row>
    <row r="245" spans="1:13" ht="22.05" customHeight="1" x14ac:dyDescent="0.3">
      <c r="A245" s="2" t="s">
        <v>2418</v>
      </c>
      <c r="B245" s="12" t="s">
        <v>8</v>
      </c>
      <c r="C245" s="12">
        <v>12.9</v>
      </c>
      <c r="D245" s="2">
        <v>1098</v>
      </c>
      <c r="E245" s="2">
        <f>FastenersPriceList345[[#This Row],[1000 PCS/WT.]]/1000</f>
        <v>1.0980000000000001</v>
      </c>
      <c r="F245" s="2" t="s">
        <v>706</v>
      </c>
      <c r="G245" s="6" t="s">
        <v>1755</v>
      </c>
      <c r="H245" s="70">
        <v>50</v>
      </c>
      <c r="I245" s="72">
        <f>FastenersPriceList345[[#This Row],[Quantity (kg)]]/FastenersPriceList345[[#This Row],[SINGLE PC. WT.]]</f>
        <v>45.537340619307827</v>
      </c>
      <c r="J245" s="3">
        <v>158</v>
      </c>
      <c r="K245" s="3">
        <f>FastenersPriceList345[[#This Row],[1000 PCS/WT.]]*FastenersPriceList345[[#This Row],[Rate / PER kg (₹)]]</f>
        <v>173484</v>
      </c>
      <c r="L245" s="4">
        <f>FastenersPriceList345[[#This Row],[Rate / PER kg (₹)]]*FastenersPriceList345[[#This Row],[Quantity (kg)]]</f>
        <v>7900</v>
      </c>
      <c r="M245" s="4">
        <f>FastenersPriceList345[[#This Row],[SINGLE PC. WT.]]*FastenersPriceList345[[#This Row],[Rate / PER kg (₹)]]</f>
        <v>173.48400000000001</v>
      </c>
    </row>
    <row r="246" spans="1:13" ht="22.05" customHeight="1" x14ac:dyDescent="0.3">
      <c r="A246" s="2" t="s">
        <v>2419</v>
      </c>
      <c r="B246" s="12" t="s">
        <v>8</v>
      </c>
      <c r="C246" s="12">
        <v>12.9</v>
      </c>
      <c r="D246" s="2">
        <v>1140</v>
      </c>
      <c r="E246" s="2">
        <f>FastenersPriceList345[[#This Row],[1000 PCS/WT.]]/1000</f>
        <v>1.1399999999999999</v>
      </c>
      <c r="F246" s="2" t="s">
        <v>707</v>
      </c>
      <c r="G246" s="6" t="s">
        <v>1755</v>
      </c>
      <c r="H246" s="70">
        <v>50</v>
      </c>
      <c r="I246" s="72">
        <f>FastenersPriceList345[[#This Row],[Quantity (kg)]]/FastenersPriceList345[[#This Row],[SINGLE PC. WT.]]</f>
        <v>43.859649122807021</v>
      </c>
      <c r="J246" s="3">
        <v>158</v>
      </c>
      <c r="K246" s="3">
        <f>FastenersPriceList345[[#This Row],[1000 PCS/WT.]]*FastenersPriceList345[[#This Row],[Rate / PER kg (₹)]]</f>
        <v>180120</v>
      </c>
      <c r="L246" s="4">
        <f>FastenersPriceList345[[#This Row],[Rate / PER kg (₹)]]*FastenersPriceList345[[#This Row],[Quantity (kg)]]</f>
        <v>7900</v>
      </c>
      <c r="M246" s="4">
        <f>FastenersPriceList345[[#This Row],[SINGLE PC. WT.]]*FastenersPriceList345[[#This Row],[Rate / PER kg (₹)]]</f>
        <v>180.11999999999998</v>
      </c>
    </row>
    <row r="247" spans="1:13" ht="22.05" customHeight="1" x14ac:dyDescent="0.3">
      <c r="A247" s="2" t="s">
        <v>2420</v>
      </c>
      <c r="B247" s="12" t="s">
        <v>8</v>
      </c>
      <c r="C247" s="12">
        <v>12.9</v>
      </c>
      <c r="D247" s="2">
        <v>1182</v>
      </c>
      <c r="E247" s="2">
        <f>FastenersPriceList345[[#This Row],[1000 PCS/WT.]]/1000</f>
        <v>1.1819999999999999</v>
      </c>
      <c r="F247" s="2" t="s">
        <v>708</v>
      </c>
      <c r="G247" s="6" t="s">
        <v>1755</v>
      </c>
      <c r="H247" s="70">
        <v>50</v>
      </c>
      <c r="I247" s="72">
        <f>FastenersPriceList345[[#This Row],[Quantity (kg)]]/FastenersPriceList345[[#This Row],[SINGLE PC. WT.]]</f>
        <v>42.301184433164131</v>
      </c>
      <c r="J247" s="3">
        <v>158</v>
      </c>
      <c r="K247" s="3">
        <f>FastenersPriceList345[[#This Row],[1000 PCS/WT.]]*FastenersPriceList345[[#This Row],[Rate / PER kg (₹)]]</f>
        <v>186756</v>
      </c>
      <c r="L247" s="4">
        <f>FastenersPriceList345[[#This Row],[Rate / PER kg (₹)]]*FastenersPriceList345[[#This Row],[Quantity (kg)]]</f>
        <v>7900</v>
      </c>
      <c r="M247" s="4">
        <f>FastenersPriceList345[[#This Row],[SINGLE PC. WT.]]*FastenersPriceList345[[#This Row],[Rate / PER kg (₹)]]</f>
        <v>186.756</v>
      </c>
    </row>
    <row r="248" spans="1:13" ht="22.05" customHeight="1" x14ac:dyDescent="0.3">
      <c r="A248" s="2" t="s">
        <v>2421</v>
      </c>
      <c r="B248" s="12" t="s">
        <v>8</v>
      </c>
      <c r="C248" s="12">
        <v>12.9</v>
      </c>
      <c r="D248" s="2">
        <v>1224</v>
      </c>
      <c r="E248" s="2">
        <f>FastenersPriceList345[[#This Row],[1000 PCS/WT.]]/1000</f>
        <v>1.224</v>
      </c>
      <c r="F248" s="2" t="s">
        <v>709</v>
      </c>
      <c r="G248" s="6" t="s">
        <v>1755</v>
      </c>
      <c r="H248" s="70">
        <v>50</v>
      </c>
      <c r="I248" s="72">
        <f>FastenersPriceList345[[#This Row],[Quantity (kg)]]/FastenersPriceList345[[#This Row],[SINGLE PC. WT.]]</f>
        <v>40.849673202614383</v>
      </c>
      <c r="J248" s="3">
        <v>158</v>
      </c>
      <c r="K248" s="3">
        <f>FastenersPriceList345[[#This Row],[1000 PCS/WT.]]*FastenersPriceList345[[#This Row],[Rate / PER kg (₹)]]</f>
        <v>193392</v>
      </c>
      <c r="L248" s="4">
        <f>FastenersPriceList345[[#This Row],[Rate / PER kg (₹)]]*FastenersPriceList345[[#This Row],[Quantity (kg)]]</f>
        <v>7900</v>
      </c>
      <c r="M248" s="4">
        <f>FastenersPriceList345[[#This Row],[SINGLE PC. WT.]]*FastenersPriceList345[[#This Row],[Rate / PER kg (₹)]]</f>
        <v>193.392</v>
      </c>
    </row>
    <row r="249" spans="1:13" ht="22.05" customHeight="1" x14ac:dyDescent="0.3">
      <c r="A249" s="2" t="s">
        <v>2422</v>
      </c>
      <c r="B249" s="12" t="s">
        <v>8</v>
      </c>
      <c r="C249" s="12">
        <v>12.9</v>
      </c>
      <c r="D249" s="2">
        <v>1266</v>
      </c>
      <c r="E249" s="2">
        <f>FastenersPriceList345[[#This Row],[1000 PCS/WT.]]/1000</f>
        <v>1.266</v>
      </c>
      <c r="F249" s="2" t="s">
        <v>710</v>
      </c>
      <c r="G249" s="6" t="s">
        <v>1755</v>
      </c>
      <c r="H249" s="70">
        <v>50</v>
      </c>
      <c r="I249" s="72">
        <f>FastenersPriceList345[[#This Row],[Quantity (kg)]]/FastenersPriceList345[[#This Row],[SINGLE PC. WT.]]</f>
        <v>39.494470774091624</v>
      </c>
      <c r="J249" s="3">
        <v>158</v>
      </c>
      <c r="K249" s="3">
        <f>FastenersPriceList345[[#This Row],[1000 PCS/WT.]]*FastenersPriceList345[[#This Row],[Rate / PER kg (₹)]]</f>
        <v>200028</v>
      </c>
      <c r="L249" s="4">
        <f>FastenersPriceList345[[#This Row],[Rate / PER kg (₹)]]*FastenersPriceList345[[#This Row],[Quantity (kg)]]</f>
        <v>7900</v>
      </c>
      <c r="M249" s="4">
        <f>FastenersPriceList345[[#This Row],[SINGLE PC. WT.]]*FastenersPriceList345[[#This Row],[Rate / PER kg (₹)]]</f>
        <v>200.02799999999999</v>
      </c>
    </row>
    <row r="250" spans="1:13" ht="22.05" customHeight="1" x14ac:dyDescent="0.3">
      <c r="A250" s="2" t="s">
        <v>2423</v>
      </c>
      <c r="B250" s="12" t="s">
        <v>8</v>
      </c>
      <c r="C250" s="12">
        <v>12.9</v>
      </c>
      <c r="D250" s="2">
        <v>1308</v>
      </c>
      <c r="E250" s="2">
        <f>FastenersPriceList345[[#This Row],[1000 PCS/WT.]]/1000</f>
        <v>1.3080000000000001</v>
      </c>
      <c r="F250" s="2" t="s">
        <v>711</v>
      </c>
      <c r="G250" s="6" t="s">
        <v>1755</v>
      </c>
      <c r="H250" s="70">
        <v>50</v>
      </c>
      <c r="I250" s="72">
        <f>FastenersPriceList345[[#This Row],[Quantity (kg)]]/FastenersPriceList345[[#This Row],[SINGLE PC. WT.]]</f>
        <v>38.226299694189599</v>
      </c>
      <c r="J250" s="3">
        <v>158</v>
      </c>
      <c r="K250" s="3">
        <f>FastenersPriceList345[[#This Row],[1000 PCS/WT.]]*FastenersPriceList345[[#This Row],[Rate / PER kg (₹)]]</f>
        <v>206664</v>
      </c>
      <c r="L250" s="4">
        <f>FastenersPriceList345[[#This Row],[Rate / PER kg (₹)]]*FastenersPriceList345[[#This Row],[Quantity (kg)]]</f>
        <v>7900</v>
      </c>
      <c r="M250" s="4">
        <f>FastenersPriceList345[[#This Row],[SINGLE PC. WT.]]*FastenersPriceList345[[#This Row],[Rate / PER kg (₹)]]</f>
        <v>206.66400000000002</v>
      </c>
    </row>
    <row r="251" spans="1:13" ht="22.05" customHeight="1" x14ac:dyDescent="0.3">
      <c r="A251" s="2" t="s">
        <v>2424</v>
      </c>
      <c r="B251" s="12" t="s">
        <v>8</v>
      </c>
      <c r="C251" s="12">
        <v>12.9</v>
      </c>
      <c r="D251" s="2">
        <v>1350</v>
      </c>
      <c r="E251" s="2">
        <f>FastenersPriceList345[[#This Row],[1000 PCS/WT.]]/1000</f>
        <v>1.35</v>
      </c>
      <c r="F251" s="2" t="s">
        <v>712</v>
      </c>
      <c r="G251" s="6" t="s">
        <v>1755</v>
      </c>
      <c r="H251" s="70">
        <v>50</v>
      </c>
      <c r="I251" s="72">
        <f>FastenersPriceList345[[#This Row],[Quantity (kg)]]/FastenersPriceList345[[#This Row],[SINGLE PC. WT.]]</f>
        <v>37.037037037037038</v>
      </c>
      <c r="J251" s="3">
        <v>158</v>
      </c>
      <c r="K251" s="3">
        <f>FastenersPriceList345[[#This Row],[1000 PCS/WT.]]*FastenersPriceList345[[#This Row],[Rate / PER kg (₹)]]</f>
        <v>213300</v>
      </c>
      <c r="L251" s="4">
        <f>FastenersPriceList345[[#This Row],[Rate / PER kg (₹)]]*FastenersPriceList345[[#This Row],[Quantity (kg)]]</f>
        <v>7900</v>
      </c>
      <c r="M251" s="4">
        <f>FastenersPriceList345[[#This Row],[SINGLE PC. WT.]]*FastenersPriceList345[[#This Row],[Rate / PER kg (₹)]]</f>
        <v>213.3</v>
      </c>
    </row>
    <row r="252" spans="1:13" ht="22.05" customHeight="1" x14ac:dyDescent="0.3">
      <c r="A252" s="2" t="s">
        <v>2425</v>
      </c>
      <c r="B252" s="12" t="s">
        <v>8</v>
      </c>
      <c r="C252" s="12">
        <v>12.9</v>
      </c>
      <c r="D252" s="2">
        <v>1392</v>
      </c>
      <c r="E252" s="2">
        <f>FastenersPriceList345[[#This Row],[1000 PCS/WT.]]/1000</f>
        <v>1.3919999999999999</v>
      </c>
      <c r="F252" s="2" t="s">
        <v>713</v>
      </c>
      <c r="G252" s="6" t="s">
        <v>1755</v>
      </c>
      <c r="H252" s="70">
        <v>50</v>
      </c>
      <c r="I252" s="72">
        <f>FastenersPriceList345[[#This Row],[Quantity (kg)]]/FastenersPriceList345[[#This Row],[SINGLE PC. WT.]]</f>
        <v>35.919540229885058</v>
      </c>
      <c r="J252" s="3">
        <v>158</v>
      </c>
      <c r="K252" s="3">
        <f>FastenersPriceList345[[#This Row],[1000 PCS/WT.]]*FastenersPriceList345[[#This Row],[Rate / PER kg (₹)]]</f>
        <v>219936</v>
      </c>
      <c r="L252" s="4">
        <f>FastenersPriceList345[[#This Row],[Rate / PER kg (₹)]]*FastenersPriceList345[[#This Row],[Quantity (kg)]]</f>
        <v>7900</v>
      </c>
      <c r="M252" s="4">
        <f>FastenersPriceList345[[#This Row],[SINGLE PC. WT.]]*FastenersPriceList345[[#This Row],[Rate / PER kg (₹)]]</f>
        <v>219.93599999999998</v>
      </c>
    </row>
    <row r="253" spans="1:13" ht="22.05" customHeight="1" x14ac:dyDescent="0.3">
      <c r="A253" s="2" t="s">
        <v>2426</v>
      </c>
      <c r="B253" s="12" t="s">
        <v>8</v>
      </c>
      <c r="C253" s="12">
        <v>12.9</v>
      </c>
      <c r="D253" s="2">
        <v>1434</v>
      </c>
      <c r="E253" s="2">
        <f>FastenersPriceList345[[#This Row],[1000 PCS/WT.]]/1000</f>
        <v>1.4339999999999999</v>
      </c>
      <c r="F253" s="2" t="s">
        <v>714</v>
      </c>
      <c r="G253" s="6" t="s">
        <v>1755</v>
      </c>
      <c r="H253" s="70">
        <v>50</v>
      </c>
      <c r="I253" s="72">
        <f>FastenersPriceList345[[#This Row],[Quantity (kg)]]/FastenersPriceList345[[#This Row],[SINGLE PC. WT.]]</f>
        <v>34.867503486750351</v>
      </c>
      <c r="J253" s="3">
        <v>158</v>
      </c>
      <c r="K253" s="3">
        <f>FastenersPriceList345[[#This Row],[1000 PCS/WT.]]*FastenersPriceList345[[#This Row],[Rate / PER kg (₹)]]</f>
        <v>226572</v>
      </c>
      <c r="L253" s="4">
        <f>FastenersPriceList345[[#This Row],[Rate / PER kg (₹)]]*FastenersPriceList345[[#This Row],[Quantity (kg)]]</f>
        <v>7900</v>
      </c>
      <c r="M253" s="4">
        <f>FastenersPriceList345[[#This Row],[SINGLE PC. WT.]]*FastenersPriceList345[[#This Row],[Rate / PER kg (₹)]]</f>
        <v>226.572</v>
      </c>
    </row>
    <row r="254" spans="1:13" ht="22.05" customHeight="1" x14ac:dyDescent="0.3">
      <c r="A254" s="2" t="s">
        <v>2427</v>
      </c>
      <c r="B254" s="12" t="s">
        <v>8</v>
      </c>
      <c r="C254" s="12">
        <v>12.9</v>
      </c>
      <c r="D254" s="2">
        <v>464</v>
      </c>
      <c r="E254" s="2">
        <f>FastenersPriceList345[[#This Row],[1000 PCS/WT.]]/1000</f>
        <v>0.46400000000000002</v>
      </c>
      <c r="F254" s="2" t="s">
        <v>715</v>
      </c>
      <c r="G254" s="6" t="s">
        <v>1755</v>
      </c>
      <c r="H254" s="70">
        <v>50</v>
      </c>
      <c r="I254" s="72">
        <f>FastenersPriceList345[[#This Row],[Quantity (kg)]]/FastenersPriceList345[[#This Row],[SINGLE PC. WT.]]</f>
        <v>107.75862068965516</v>
      </c>
      <c r="J254" s="3">
        <v>155</v>
      </c>
      <c r="K254" s="3">
        <f>FastenersPriceList345[[#This Row],[1000 PCS/WT.]]*FastenersPriceList345[[#This Row],[Rate / PER kg (₹)]]</f>
        <v>71920</v>
      </c>
      <c r="L254" s="4">
        <f>FastenersPriceList345[[#This Row],[Rate / PER kg (₹)]]*FastenersPriceList345[[#This Row],[Quantity (kg)]]</f>
        <v>7750</v>
      </c>
      <c r="M254" s="4">
        <f>FastenersPriceList345[[#This Row],[SINGLE PC. WT.]]*FastenersPriceList345[[#This Row],[Rate / PER kg (₹)]]</f>
        <v>71.92</v>
      </c>
    </row>
    <row r="255" spans="1:13" ht="22.05" customHeight="1" x14ac:dyDescent="0.3">
      <c r="A255" s="2" t="s">
        <v>2428</v>
      </c>
      <c r="B255" s="12" t="s">
        <v>8</v>
      </c>
      <c r="C255" s="12">
        <v>12.9</v>
      </c>
      <c r="D255" s="2">
        <v>488</v>
      </c>
      <c r="E255" s="2">
        <f>FastenersPriceList345[[#This Row],[1000 PCS/WT.]]/1000</f>
        <v>0.48799999999999999</v>
      </c>
      <c r="F255" s="2" t="s">
        <v>716</v>
      </c>
      <c r="G255" s="6" t="s">
        <v>1755</v>
      </c>
      <c r="H255" s="70">
        <v>50</v>
      </c>
      <c r="I255" s="72">
        <f>FastenersPriceList345[[#This Row],[Quantity (kg)]]/FastenersPriceList345[[#This Row],[SINGLE PC. WT.]]</f>
        <v>102.45901639344262</v>
      </c>
      <c r="J255" s="3">
        <v>155</v>
      </c>
      <c r="K255" s="3">
        <f>FastenersPriceList345[[#This Row],[1000 PCS/WT.]]*FastenersPriceList345[[#This Row],[Rate / PER kg (₹)]]</f>
        <v>75640</v>
      </c>
      <c r="L255" s="4">
        <f>FastenersPriceList345[[#This Row],[Rate / PER kg (₹)]]*FastenersPriceList345[[#This Row],[Quantity (kg)]]</f>
        <v>7750</v>
      </c>
      <c r="M255" s="4">
        <f>FastenersPriceList345[[#This Row],[SINGLE PC. WT.]]*FastenersPriceList345[[#This Row],[Rate / PER kg (₹)]]</f>
        <v>75.64</v>
      </c>
    </row>
    <row r="256" spans="1:13" ht="22.05" customHeight="1" x14ac:dyDescent="0.3">
      <c r="A256" s="2" t="s">
        <v>2429</v>
      </c>
      <c r="B256" s="12" t="s">
        <v>8</v>
      </c>
      <c r="C256" s="12">
        <v>12.9</v>
      </c>
      <c r="D256" s="2">
        <v>513.25</v>
      </c>
      <c r="E256" s="2">
        <f>FastenersPriceList345[[#This Row],[1000 PCS/WT.]]/1000</f>
        <v>0.51324999999999998</v>
      </c>
      <c r="F256" s="2" t="s">
        <v>717</v>
      </c>
      <c r="G256" s="6" t="s">
        <v>1755</v>
      </c>
      <c r="H256" s="70">
        <v>50</v>
      </c>
      <c r="I256" s="72">
        <f>FastenersPriceList345[[#This Row],[Quantity (kg)]]/FastenersPriceList345[[#This Row],[SINGLE PC. WT.]]</f>
        <v>97.418412079883097</v>
      </c>
      <c r="J256" s="3">
        <v>155</v>
      </c>
      <c r="K256" s="3">
        <f>FastenersPriceList345[[#This Row],[1000 PCS/WT.]]*FastenersPriceList345[[#This Row],[Rate / PER kg (₹)]]</f>
        <v>79553.75</v>
      </c>
      <c r="L256" s="4">
        <f>FastenersPriceList345[[#This Row],[Rate / PER kg (₹)]]*FastenersPriceList345[[#This Row],[Quantity (kg)]]</f>
        <v>7750</v>
      </c>
      <c r="M256" s="4">
        <f>FastenersPriceList345[[#This Row],[SINGLE PC. WT.]]*FastenersPriceList345[[#This Row],[Rate / PER kg (₹)]]</f>
        <v>79.553749999999994</v>
      </c>
    </row>
    <row r="257" spans="1:13" ht="22.05" customHeight="1" x14ac:dyDescent="0.3">
      <c r="A257" s="2" t="s">
        <v>2430</v>
      </c>
      <c r="B257" s="12" t="s">
        <v>8</v>
      </c>
      <c r="C257" s="12">
        <v>12.9</v>
      </c>
      <c r="D257" s="2">
        <v>538.5</v>
      </c>
      <c r="E257" s="2">
        <f>FastenersPriceList345[[#This Row],[1000 PCS/WT.]]/1000</f>
        <v>0.53849999999999998</v>
      </c>
      <c r="F257" s="2" t="s">
        <v>718</v>
      </c>
      <c r="G257" s="6" t="s">
        <v>1755</v>
      </c>
      <c r="H257" s="70">
        <v>50</v>
      </c>
      <c r="I257" s="72">
        <f>FastenersPriceList345[[#This Row],[Quantity (kg)]]/FastenersPriceList345[[#This Row],[SINGLE PC. WT.]]</f>
        <v>92.850510677808728</v>
      </c>
      <c r="J257" s="3">
        <v>155</v>
      </c>
      <c r="K257" s="3">
        <f>FastenersPriceList345[[#This Row],[1000 PCS/WT.]]*FastenersPriceList345[[#This Row],[Rate / PER kg (₹)]]</f>
        <v>83467.5</v>
      </c>
      <c r="L257" s="4">
        <f>FastenersPriceList345[[#This Row],[Rate / PER kg (₹)]]*FastenersPriceList345[[#This Row],[Quantity (kg)]]</f>
        <v>7750</v>
      </c>
      <c r="M257" s="4">
        <f>FastenersPriceList345[[#This Row],[SINGLE PC. WT.]]*FastenersPriceList345[[#This Row],[Rate / PER kg (₹)]]</f>
        <v>83.467500000000001</v>
      </c>
    </row>
    <row r="258" spans="1:13" ht="22.05" customHeight="1" x14ac:dyDescent="0.3">
      <c r="A258" s="2" t="s">
        <v>2431</v>
      </c>
      <c r="B258" s="12" t="s">
        <v>8</v>
      </c>
      <c r="C258" s="12">
        <v>12.9</v>
      </c>
      <c r="D258" s="2">
        <v>563.75</v>
      </c>
      <c r="E258" s="2">
        <f>FastenersPriceList345[[#This Row],[1000 PCS/WT.]]/1000</f>
        <v>0.56374999999999997</v>
      </c>
      <c r="F258" s="2" t="s">
        <v>719</v>
      </c>
      <c r="G258" s="6" t="s">
        <v>1755</v>
      </c>
      <c r="H258" s="70">
        <v>50</v>
      </c>
      <c r="I258" s="72">
        <f>FastenersPriceList345[[#This Row],[Quantity (kg)]]/FastenersPriceList345[[#This Row],[SINGLE PC. WT.]]</f>
        <v>88.69179600886919</v>
      </c>
      <c r="J258" s="3">
        <v>155</v>
      </c>
      <c r="K258" s="3">
        <f>FastenersPriceList345[[#This Row],[1000 PCS/WT.]]*FastenersPriceList345[[#This Row],[Rate / PER kg (₹)]]</f>
        <v>87381.25</v>
      </c>
      <c r="L258" s="4">
        <f>FastenersPriceList345[[#This Row],[Rate / PER kg (₹)]]*FastenersPriceList345[[#This Row],[Quantity (kg)]]</f>
        <v>7750</v>
      </c>
      <c r="M258" s="4">
        <f>FastenersPriceList345[[#This Row],[SINGLE PC. WT.]]*FastenersPriceList345[[#This Row],[Rate / PER kg (₹)]]</f>
        <v>87.381249999999994</v>
      </c>
    </row>
    <row r="259" spans="1:13" ht="22.05" customHeight="1" x14ac:dyDescent="0.3">
      <c r="A259" s="2" t="s">
        <v>2432</v>
      </c>
      <c r="B259" s="12" t="s">
        <v>8</v>
      </c>
      <c r="C259" s="12">
        <v>12.9</v>
      </c>
      <c r="D259" s="2">
        <v>589</v>
      </c>
      <c r="E259" s="2">
        <f>FastenersPriceList345[[#This Row],[1000 PCS/WT.]]/1000</f>
        <v>0.58899999999999997</v>
      </c>
      <c r="F259" s="2" t="s">
        <v>720</v>
      </c>
      <c r="G259" s="6" t="s">
        <v>1755</v>
      </c>
      <c r="H259" s="70">
        <v>50</v>
      </c>
      <c r="I259" s="72">
        <f>FastenersPriceList345[[#This Row],[Quantity (kg)]]/FastenersPriceList345[[#This Row],[SINGLE PC. WT.]]</f>
        <v>84.889643463497464</v>
      </c>
      <c r="J259" s="3">
        <v>155</v>
      </c>
      <c r="K259" s="3">
        <f>FastenersPriceList345[[#This Row],[1000 PCS/WT.]]*FastenersPriceList345[[#This Row],[Rate / PER kg (₹)]]</f>
        <v>91295</v>
      </c>
      <c r="L259" s="4">
        <f>FastenersPriceList345[[#This Row],[Rate / PER kg (₹)]]*FastenersPriceList345[[#This Row],[Quantity (kg)]]</f>
        <v>7750</v>
      </c>
      <c r="M259" s="4">
        <f>FastenersPriceList345[[#This Row],[SINGLE PC. WT.]]*FastenersPriceList345[[#This Row],[Rate / PER kg (₹)]]</f>
        <v>91.295000000000002</v>
      </c>
    </row>
    <row r="260" spans="1:13" ht="22.05" customHeight="1" x14ac:dyDescent="0.3">
      <c r="A260" s="2" t="s">
        <v>2433</v>
      </c>
      <c r="B260" s="12" t="s">
        <v>8</v>
      </c>
      <c r="C260" s="12">
        <v>12.9</v>
      </c>
      <c r="D260" s="2">
        <v>614.25</v>
      </c>
      <c r="E260" s="2">
        <f>FastenersPriceList345[[#This Row],[1000 PCS/WT.]]/1000</f>
        <v>0.61424999999999996</v>
      </c>
      <c r="F260" s="2" t="s">
        <v>721</v>
      </c>
      <c r="G260" s="6" t="s">
        <v>1755</v>
      </c>
      <c r="H260" s="70">
        <v>50</v>
      </c>
      <c r="I260" s="72">
        <f>FastenersPriceList345[[#This Row],[Quantity (kg)]]/FastenersPriceList345[[#This Row],[SINGLE PC. WT.]]</f>
        <v>81.400081400081405</v>
      </c>
      <c r="J260" s="3">
        <v>155</v>
      </c>
      <c r="K260" s="3">
        <f>FastenersPriceList345[[#This Row],[1000 PCS/WT.]]*FastenersPriceList345[[#This Row],[Rate / PER kg (₹)]]</f>
        <v>95208.75</v>
      </c>
      <c r="L260" s="4">
        <f>FastenersPriceList345[[#This Row],[Rate / PER kg (₹)]]*FastenersPriceList345[[#This Row],[Quantity (kg)]]</f>
        <v>7750</v>
      </c>
      <c r="M260" s="4">
        <f>FastenersPriceList345[[#This Row],[SINGLE PC. WT.]]*FastenersPriceList345[[#This Row],[Rate / PER kg (₹)]]</f>
        <v>95.208749999999995</v>
      </c>
    </row>
    <row r="261" spans="1:13" ht="22.05" customHeight="1" x14ac:dyDescent="0.3">
      <c r="A261" s="2" t="s">
        <v>2434</v>
      </c>
      <c r="B261" s="12" t="s">
        <v>8</v>
      </c>
      <c r="C261" s="12">
        <v>12.9</v>
      </c>
      <c r="D261" s="2">
        <v>639.5</v>
      </c>
      <c r="E261" s="2">
        <f>FastenersPriceList345[[#This Row],[1000 PCS/WT.]]/1000</f>
        <v>0.63949999999999996</v>
      </c>
      <c r="F261" s="2" t="s">
        <v>722</v>
      </c>
      <c r="G261" s="6" t="s">
        <v>1755</v>
      </c>
      <c r="H261" s="70">
        <v>50</v>
      </c>
      <c r="I261" s="72">
        <f>FastenersPriceList345[[#This Row],[Quantity (kg)]]/FastenersPriceList345[[#This Row],[SINGLE PC. WT.]]</f>
        <v>78.186082877247856</v>
      </c>
      <c r="J261" s="3">
        <v>155</v>
      </c>
      <c r="K261" s="3">
        <f>FastenersPriceList345[[#This Row],[1000 PCS/WT.]]*FastenersPriceList345[[#This Row],[Rate / PER kg (₹)]]</f>
        <v>99122.5</v>
      </c>
      <c r="L261" s="4">
        <f>FastenersPriceList345[[#This Row],[Rate / PER kg (₹)]]*FastenersPriceList345[[#This Row],[Quantity (kg)]]</f>
        <v>7750</v>
      </c>
      <c r="M261" s="4">
        <f>FastenersPriceList345[[#This Row],[SINGLE PC. WT.]]*FastenersPriceList345[[#This Row],[Rate / PER kg (₹)]]</f>
        <v>99.122499999999988</v>
      </c>
    </row>
    <row r="262" spans="1:13" ht="22.05" customHeight="1" x14ac:dyDescent="0.3">
      <c r="A262" s="2" t="s">
        <v>2435</v>
      </c>
      <c r="B262" s="12" t="s">
        <v>8</v>
      </c>
      <c r="C262" s="12">
        <v>12.9</v>
      </c>
      <c r="D262" s="2">
        <v>664.75</v>
      </c>
      <c r="E262" s="2">
        <f>FastenersPriceList345[[#This Row],[1000 PCS/WT.]]/1000</f>
        <v>0.66474999999999995</v>
      </c>
      <c r="F262" s="2" t="s">
        <v>723</v>
      </c>
      <c r="G262" s="6" t="s">
        <v>1755</v>
      </c>
      <c r="H262" s="70">
        <v>50</v>
      </c>
      <c r="I262" s="72">
        <f>FastenersPriceList345[[#This Row],[Quantity (kg)]]/FastenersPriceList345[[#This Row],[SINGLE PC. WT.]]</f>
        <v>75.216246709289209</v>
      </c>
      <c r="J262" s="3">
        <v>155</v>
      </c>
      <c r="K262" s="3">
        <f>FastenersPriceList345[[#This Row],[1000 PCS/WT.]]*FastenersPriceList345[[#This Row],[Rate / PER kg (₹)]]</f>
        <v>103036.25</v>
      </c>
      <c r="L262" s="4">
        <f>FastenersPriceList345[[#This Row],[Rate / PER kg (₹)]]*FastenersPriceList345[[#This Row],[Quantity (kg)]]</f>
        <v>7750</v>
      </c>
      <c r="M262" s="4">
        <f>FastenersPriceList345[[#This Row],[SINGLE PC. WT.]]*FastenersPriceList345[[#This Row],[Rate / PER kg (₹)]]</f>
        <v>103.03625</v>
      </c>
    </row>
    <row r="263" spans="1:13" ht="22.05" customHeight="1" x14ac:dyDescent="0.3">
      <c r="A263" s="2" t="s">
        <v>2436</v>
      </c>
      <c r="B263" s="12" t="s">
        <v>8</v>
      </c>
      <c r="C263" s="12">
        <v>12.9</v>
      </c>
      <c r="D263" s="2">
        <v>690</v>
      </c>
      <c r="E263" s="2">
        <f>FastenersPriceList345[[#This Row],[1000 PCS/WT.]]/1000</f>
        <v>0.69</v>
      </c>
      <c r="F263" s="2" t="s">
        <v>724</v>
      </c>
      <c r="G263" s="6" t="s">
        <v>1755</v>
      </c>
      <c r="H263" s="70">
        <v>50</v>
      </c>
      <c r="I263" s="72">
        <f>FastenersPriceList345[[#This Row],[Quantity (kg)]]/FastenersPriceList345[[#This Row],[SINGLE PC. WT.]]</f>
        <v>72.463768115942031</v>
      </c>
      <c r="J263" s="3">
        <v>155</v>
      </c>
      <c r="K263" s="3">
        <f>FastenersPriceList345[[#This Row],[1000 PCS/WT.]]*FastenersPriceList345[[#This Row],[Rate / PER kg (₹)]]</f>
        <v>106950</v>
      </c>
      <c r="L263" s="4">
        <f>FastenersPriceList345[[#This Row],[Rate / PER kg (₹)]]*FastenersPriceList345[[#This Row],[Quantity (kg)]]</f>
        <v>7750</v>
      </c>
      <c r="M263" s="4">
        <f>FastenersPriceList345[[#This Row],[SINGLE PC. WT.]]*FastenersPriceList345[[#This Row],[Rate / PER kg (₹)]]</f>
        <v>106.94999999999999</v>
      </c>
    </row>
    <row r="264" spans="1:13" ht="22.05" customHeight="1" x14ac:dyDescent="0.3">
      <c r="A264" s="2" t="s">
        <v>2437</v>
      </c>
      <c r="B264" s="12" t="s">
        <v>8</v>
      </c>
      <c r="C264" s="12">
        <v>12.9</v>
      </c>
      <c r="D264" s="2">
        <v>716.5</v>
      </c>
      <c r="E264" s="2">
        <f>FastenersPriceList345[[#This Row],[1000 PCS/WT.]]/1000</f>
        <v>0.71650000000000003</v>
      </c>
      <c r="F264" s="2" t="s">
        <v>725</v>
      </c>
      <c r="G264" s="6" t="s">
        <v>1755</v>
      </c>
      <c r="H264" s="70">
        <v>50</v>
      </c>
      <c r="I264" s="72">
        <f>FastenersPriceList345[[#This Row],[Quantity (kg)]]/FastenersPriceList345[[#This Row],[SINGLE PC. WT.]]</f>
        <v>69.783670621074663</v>
      </c>
      <c r="J264" s="3">
        <v>155</v>
      </c>
      <c r="K264" s="3">
        <f>FastenersPriceList345[[#This Row],[1000 PCS/WT.]]*FastenersPriceList345[[#This Row],[Rate / PER kg (₹)]]</f>
        <v>111057.5</v>
      </c>
      <c r="L264" s="4">
        <f>FastenersPriceList345[[#This Row],[Rate / PER kg (₹)]]*FastenersPriceList345[[#This Row],[Quantity (kg)]]</f>
        <v>7750</v>
      </c>
      <c r="M264" s="4">
        <f>FastenersPriceList345[[#This Row],[SINGLE PC. WT.]]*FastenersPriceList345[[#This Row],[Rate / PER kg (₹)]]</f>
        <v>111.0575</v>
      </c>
    </row>
    <row r="265" spans="1:13" ht="22.05" customHeight="1" x14ac:dyDescent="0.3">
      <c r="A265" s="2" t="s">
        <v>2438</v>
      </c>
      <c r="B265" s="12" t="s">
        <v>8</v>
      </c>
      <c r="C265" s="12">
        <v>12.9</v>
      </c>
      <c r="D265" s="2">
        <v>743</v>
      </c>
      <c r="E265" s="2">
        <f>FastenersPriceList345[[#This Row],[1000 PCS/WT.]]/1000</f>
        <v>0.74299999999999999</v>
      </c>
      <c r="F265" s="2" t="s">
        <v>726</v>
      </c>
      <c r="G265" s="6" t="s">
        <v>1755</v>
      </c>
      <c r="H265" s="70">
        <v>50</v>
      </c>
      <c r="I265" s="72">
        <f>FastenersPriceList345[[#This Row],[Quantity (kg)]]/FastenersPriceList345[[#This Row],[SINGLE PC. WT.]]</f>
        <v>67.294751009421262</v>
      </c>
      <c r="J265" s="3">
        <v>155</v>
      </c>
      <c r="K265" s="3">
        <f>FastenersPriceList345[[#This Row],[1000 PCS/WT.]]*FastenersPriceList345[[#This Row],[Rate / PER kg (₹)]]</f>
        <v>115165</v>
      </c>
      <c r="L265" s="4">
        <f>FastenersPriceList345[[#This Row],[Rate / PER kg (₹)]]*FastenersPriceList345[[#This Row],[Quantity (kg)]]</f>
        <v>7750</v>
      </c>
      <c r="M265" s="4">
        <f>FastenersPriceList345[[#This Row],[SINGLE PC. WT.]]*FastenersPriceList345[[#This Row],[Rate / PER kg (₹)]]</f>
        <v>115.16499999999999</v>
      </c>
    </row>
    <row r="266" spans="1:13" ht="22.05" customHeight="1" x14ac:dyDescent="0.3">
      <c r="A266" s="2" t="s">
        <v>2439</v>
      </c>
      <c r="B266" s="12" t="s">
        <v>8</v>
      </c>
      <c r="C266" s="12">
        <v>12.9</v>
      </c>
      <c r="D266" s="2">
        <v>769.5</v>
      </c>
      <c r="E266" s="2">
        <f>FastenersPriceList345[[#This Row],[1000 PCS/WT.]]/1000</f>
        <v>0.76949999999999996</v>
      </c>
      <c r="F266" s="2" t="s">
        <v>727</v>
      </c>
      <c r="G266" s="6" t="s">
        <v>1755</v>
      </c>
      <c r="H266" s="70">
        <v>50</v>
      </c>
      <c r="I266" s="72">
        <f>FastenersPriceList345[[#This Row],[Quantity (kg)]]/FastenersPriceList345[[#This Row],[SINGLE PC. WT.]]</f>
        <v>64.977257959714109</v>
      </c>
      <c r="J266" s="3">
        <v>155</v>
      </c>
      <c r="K266" s="3">
        <f>FastenersPriceList345[[#This Row],[1000 PCS/WT.]]*FastenersPriceList345[[#This Row],[Rate / PER kg (₹)]]</f>
        <v>119272.5</v>
      </c>
      <c r="L266" s="4">
        <f>FastenersPriceList345[[#This Row],[Rate / PER kg (₹)]]*FastenersPriceList345[[#This Row],[Quantity (kg)]]</f>
        <v>7750</v>
      </c>
      <c r="M266" s="4">
        <f>FastenersPriceList345[[#This Row],[SINGLE PC. WT.]]*FastenersPriceList345[[#This Row],[Rate / PER kg (₹)]]</f>
        <v>119.27249999999999</v>
      </c>
    </row>
    <row r="267" spans="1:13" ht="22.05" customHeight="1" x14ac:dyDescent="0.3">
      <c r="A267" s="2" t="s">
        <v>2440</v>
      </c>
      <c r="B267" s="12" t="s">
        <v>8</v>
      </c>
      <c r="C267" s="12">
        <v>12.9</v>
      </c>
      <c r="D267" s="2">
        <v>824.75</v>
      </c>
      <c r="E267" s="2">
        <f>FastenersPriceList345[[#This Row],[1000 PCS/WT.]]/1000</f>
        <v>0.82474999999999998</v>
      </c>
      <c r="F267" s="2" t="s">
        <v>728</v>
      </c>
      <c r="G267" s="6" t="s">
        <v>1755</v>
      </c>
      <c r="H267" s="70">
        <v>50</v>
      </c>
      <c r="I267" s="72">
        <f>FastenersPriceList345[[#This Row],[Quantity (kg)]]/FastenersPriceList345[[#This Row],[SINGLE PC. WT.]]</f>
        <v>60.624431645953322</v>
      </c>
      <c r="J267" s="3">
        <v>155</v>
      </c>
      <c r="K267" s="3">
        <f>FastenersPriceList345[[#This Row],[1000 PCS/WT.]]*FastenersPriceList345[[#This Row],[Rate / PER kg (₹)]]</f>
        <v>127836.25</v>
      </c>
      <c r="L267" s="4">
        <f>FastenersPriceList345[[#This Row],[Rate / PER kg (₹)]]*FastenersPriceList345[[#This Row],[Quantity (kg)]]</f>
        <v>7750</v>
      </c>
      <c r="M267" s="4">
        <f>FastenersPriceList345[[#This Row],[SINGLE PC. WT.]]*FastenersPriceList345[[#This Row],[Rate / PER kg (₹)]]</f>
        <v>127.83624999999999</v>
      </c>
    </row>
    <row r="268" spans="1:13" ht="22.05" customHeight="1" x14ac:dyDescent="0.3">
      <c r="A268" s="2" t="s">
        <v>2441</v>
      </c>
      <c r="B268" s="12" t="s">
        <v>8</v>
      </c>
      <c r="C268" s="12">
        <v>12.9</v>
      </c>
      <c r="D268" s="2">
        <v>880</v>
      </c>
      <c r="E268" s="2">
        <f>FastenersPriceList345[[#This Row],[1000 PCS/WT.]]/1000</f>
        <v>0.88</v>
      </c>
      <c r="F268" s="2" t="s">
        <v>729</v>
      </c>
      <c r="G268" s="6" t="s">
        <v>1755</v>
      </c>
      <c r="H268" s="70">
        <v>50</v>
      </c>
      <c r="I268" s="72">
        <f>FastenersPriceList345[[#This Row],[Quantity (kg)]]/FastenersPriceList345[[#This Row],[SINGLE PC. WT.]]</f>
        <v>56.81818181818182</v>
      </c>
      <c r="J268" s="3">
        <v>155</v>
      </c>
      <c r="K268" s="3">
        <f>FastenersPriceList345[[#This Row],[1000 PCS/WT.]]*FastenersPriceList345[[#This Row],[Rate / PER kg (₹)]]</f>
        <v>136400</v>
      </c>
      <c r="L268" s="4">
        <f>FastenersPriceList345[[#This Row],[Rate / PER kg (₹)]]*FastenersPriceList345[[#This Row],[Quantity (kg)]]</f>
        <v>7750</v>
      </c>
      <c r="M268" s="4">
        <f>FastenersPriceList345[[#This Row],[SINGLE PC. WT.]]*FastenersPriceList345[[#This Row],[Rate / PER kg (₹)]]</f>
        <v>136.4</v>
      </c>
    </row>
    <row r="269" spans="1:13" ht="22.05" customHeight="1" x14ac:dyDescent="0.3">
      <c r="A269" s="2" t="s">
        <v>2442</v>
      </c>
      <c r="B269" s="12" t="s">
        <v>8</v>
      </c>
      <c r="C269" s="12">
        <v>12.9</v>
      </c>
      <c r="D269" s="2">
        <v>935.25</v>
      </c>
      <c r="E269" s="2">
        <f>FastenersPriceList345[[#This Row],[1000 PCS/WT.]]/1000</f>
        <v>0.93525000000000003</v>
      </c>
      <c r="F269" s="2" t="s">
        <v>730</v>
      </c>
      <c r="G269" s="6" t="s">
        <v>1755</v>
      </c>
      <c r="H269" s="70">
        <v>50</v>
      </c>
      <c r="I269" s="72">
        <f>FastenersPriceList345[[#This Row],[Quantity (kg)]]/FastenersPriceList345[[#This Row],[SINGLE PC. WT.]]</f>
        <v>53.461641272387062</v>
      </c>
      <c r="J269" s="3">
        <v>155</v>
      </c>
      <c r="K269" s="3">
        <f>FastenersPriceList345[[#This Row],[1000 PCS/WT.]]*FastenersPriceList345[[#This Row],[Rate / PER kg (₹)]]</f>
        <v>144963.75</v>
      </c>
      <c r="L269" s="4">
        <f>FastenersPriceList345[[#This Row],[Rate / PER kg (₹)]]*FastenersPriceList345[[#This Row],[Quantity (kg)]]</f>
        <v>7750</v>
      </c>
      <c r="M269" s="4">
        <f>FastenersPriceList345[[#This Row],[SINGLE PC. WT.]]*FastenersPriceList345[[#This Row],[Rate / PER kg (₹)]]</f>
        <v>144.96375</v>
      </c>
    </row>
    <row r="270" spans="1:13" ht="22.05" customHeight="1" x14ac:dyDescent="0.3">
      <c r="A270" s="2" t="s">
        <v>2443</v>
      </c>
      <c r="B270" s="12" t="s">
        <v>8</v>
      </c>
      <c r="C270" s="12">
        <v>12.9</v>
      </c>
      <c r="D270" s="2">
        <v>990.5</v>
      </c>
      <c r="E270" s="2">
        <f>FastenersPriceList345[[#This Row],[1000 PCS/WT.]]/1000</f>
        <v>0.99050000000000005</v>
      </c>
      <c r="F270" s="2" t="s">
        <v>731</v>
      </c>
      <c r="G270" s="6" t="s">
        <v>1755</v>
      </c>
      <c r="H270" s="70">
        <v>50</v>
      </c>
      <c r="I270" s="72">
        <f>FastenersPriceList345[[#This Row],[Quantity (kg)]]/FastenersPriceList345[[#This Row],[SINGLE PC. WT.]]</f>
        <v>50.479555779909134</v>
      </c>
      <c r="J270" s="3">
        <v>155</v>
      </c>
      <c r="K270" s="3">
        <f>FastenersPriceList345[[#This Row],[1000 PCS/WT.]]*FastenersPriceList345[[#This Row],[Rate / PER kg (₹)]]</f>
        <v>153527.5</v>
      </c>
      <c r="L270" s="4">
        <f>FastenersPriceList345[[#This Row],[Rate / PER kg (₹)]]*FastenersPriceList345[[#This Row],[Quantity (kg)]]</f>
        <v>7750</v>
      </c>
      <c r="M270" s="4">
        <f>FastenersPriceList345[[#This Row],[SINGLE PC. WT.]]*FastenersPriceList345[[#This Row],[Rate / PER kg (₹)]]</f>
        <v>153.5275</v>
      </c>
    </row>
    <row r="271" spans="1:13" ht="22.05" customHeight="1" x14ac:dyDescent="0.3">
      <c r="A271" s="2" t="s">
        <v>2444</v>
      </c>
      <c r="B271" s="12" t="s">
        <v>8</v>
      </c>
      <c r="C271" s="12">
        <v>12.9</v>
      </c>
      <c r="D271" s="2">
        <v>1045.75</v>
      </c>
      <c r="E271" s="2">
        <f>FastenersPriceList345[[#This Row],[1000 PCS/WT.]]/1000</f>
        <v>1.04575</v>
      </c>
      <c r="F271" s="2" t="s">
        <v>732</v>
      </c>
      <c r="G271" s="6" t="s">
        <v>1755</v>
      </c>
      <c r="H271" s="70">
        <v>50</v>
      </c>
      <c r="I271" s="72">
        <f>FastenersPriceList345[[#This Row],[Quantity (kg)]]/FastenersPriceList345[[#This Row],[SINGLE PC. WT.]]</f>
        <v>47.812574707147981</v>
      </c>
      <c r="J271" s="3">
        <v>155</v>
      </c>
      <c r="K271" s="3">
        <f>FastenersPriceList345[[#This Row],[1000 PCS/WT.]]*FastenersPriceList345[[#This Row],[Rate / PER kg (₹)]]</f>
        <v>162091.25</v>
      </c>
      <c r="L271" s="4">
        <f>FastenersPriceList345[[#This Row],[Rate / PER kg (₹)]]*FastenersPriceList345[[#This Row],[Quantity (kg)]]</f>
        <v>7750</v>
      </c>
      <c r="M271" s="4">
        <f>FastenersPriceList345[[#This Row],[SINGLE PC. WT.]]*FastenersPriceList345[[#This Row],[Rate / PER kg (₹)]]</f>
        <v>162.09125</v>
      </c>
    </row>
    <row r="272" spans="1:13" ht="22.05" customHeight="1" x14ac:dyDescent="0.3">
      <c r="A272" s="2" t="s">
        <v>2445</v>
      </c>
      <c r="B272" s="12" t="s">
        <v>8</v>
      </c>
      <c r="C272" s="12">
        <v>12.9</v>
      </c>
      <c r="D272" s="2">
        <v>1101</v>
      </c>
      <c r="E272" s="2">
        <f>FastenersPriceList345[[#This Row],[1000 PCS/WT.]]/1000</f>
        <v>1.101</v>
      </c>
      <c r="F272" s="2" t="s">
        <v>733</v>
      </c>
      <c r="G272" s="6" t="s">
        <v>1755</v>
      </c>
      <c r="H272" s="70">
        <v>50</v>
      </c>
      <c r="I272" s="72">
        <f>FastenersPriceList345[[#This Row],[Quantity (kg)]]/FastenersPriceList345[[#This Row],[SINGLE PC. WT.]]</f>
        <v>45.413260672116259</v>
      </c>
      <c r="J272" s="3">
        <v>155</v>
      </c>
      <c r="K272" s="3">
        <f>FastenersPriceList345[[#This Row],[1000 PCS/WT.]]*FastenersPriceList345[[#This Row],[Rate / PER kg (₹)]]</f>
        <v>170655</v>
      </c>
      <c r="L272" s="4">
        <f>FastenersPriceList345[[#This Row],[Rate / PER kg (₹)]]*FastenersPriceList345[[#This Row],[Quantity (kg)]]</f>
        <v>7750</v>
      </c>
      <c r="M272" s="4">
        <f>FastenersPriceList345[[#This Row],[SINGLE PC. WT.]]*FastenersPriceList345[[#This Row],[Rate / PER kg (₹)]]</f>
        <v>170.655</v>
      </c>
    </row>
    <row r="273" spans="1:13" ht="22.05" customHeight="1" x14ac:dyDescent="0.3">
      <c r="A273" s="2" t="s">
        <v>2446</v>
      </c>
      <c r="B273" s="12" t="s">
        <v>8</v>
      </c>
      <c r="C273" s="12">
        <v>12.9</v>
      </c>
      <c r="D273" s="2">
        <v>1156.25</v>
      </c>
      <c r="E273" s="2">
        <f>FastenersPriceList345[[#This Row],[1000 PCS/WT.]]/1000</f>
        <v>1.15625</v>
      </c>
      <c r="F273" s="2" t="s">
        <v>734</v>
      </c>
      <c r="G273" s="6" t="s">
        <v>1755</v>
      </c>
      <c r="H273" s="70">
        <v>50</v>
      </c>
      <c r="I273" s="72">
        <f>FastenersPriceList345[[#This Row],[Quantity (kg)]]/FastenersPriceList345[[#This Row],[SINGLE PC. WT.]]</f>
        <v>43.243243243243242</v>
      </c>
      <c r="J273" s="3">
        <v>155</v>
      </c>
      <c r="K273" s="3">
        <f>FastenersPriceList345[[#This Row],[1000 PCS/WT.]]*FastenersPriceList345[[#This Row],[Rate / PER kg (₹)]]</f>
        <v>179218.75</v>
      </c>
      <c r="L273" s="4">
        <f>FastenersPriceList345[[#This Row],[Rate / PER kg (₹)]]*FastenersPriceList345[[#This Row],[Quantity (kg)]]</f>
        <v>7750</v>
      </c>
      <c r="M273" s="4">
        <f>FastenersPriceList345[[#This Row],[SINGLE PC. WT.]]*FastenersPriceList345[[#This Row],[Rate / PER kg (₹)]]</f>
        <v>179.21875</v>
      </c>
    </row>
    <row r="274" spans="1:13" ht="22.05" customHeight="1" x14ac:dyDescent="0.3">
      <c r="A274" s="2" t="s">
        <v>2447</v>
      </c>
      <c r="B274" s="12" t="s">
        <v>8</v>
      </c>
      <c r="C274" s="12">
        <v>12.9</v>
      </c>
      <c r="D274" s="2">
        <v>1211.5</v>
      </c>
      <c r="E274" s="2">
        <f>FastenersPriceList345[[#This Row],[1000 PCS/WT.]]/1000</f>
        <v>1.2115</v>
      </c>
      <c r="F274" s="2" t="s">
        <v>735</v>
      </c>
      <c r="G274" s="6" t="s">
        <v>1755</v>
      </c>
      <c r="H274" s="70">
        <v>50</v>
      </c>
      <c r="I274" s="72">
        <f>FastenersPriceList345[[#This Row],[Quantity (kg)]]/FastenersPriceList345[[#This Row],[SINGLE PC. WT.]]</f>
        <v>41.271151465125875</v>
      </c>
      <c r="J274" s="3">
        <v>155</v>
      </c>
      <c r="K274" s="3">
        <f>FastenersPriceList345[[#This Row],[1000 PCS/WT.]]*FastenersPriceList345[[#This Row],[Rate / PER kg (₹)]]</f>
        <v>187782.5</v>
      </c>
      <c r="L274" s="4">
        <f>FastenersPriceList345[[#This Row],[Rate / PER kg (₹)]]*FastenersPriceList345[[#This Row],[Quantity (kg)]]</f>
        <v>7750</v>
      </c>
      <c r="M274" s="4">
        <f>FastenersPriceList345[[#This Row],[SINGLE PC. WT.]]*FastenersPriceList345[[#This Row],[Rate / PER kg (₹)]]</f>
        <v>187.7825</v>
      </c>
    </row>
    <row r="275" spans="1:13" ht="22.05" customHeight="1" x14ac:dyDescent="0.3">
      <c r="A275" s="2" t="s">
        <v>2448</v>
      </c>
      <c r="B275" s="12" t="s">
        <v>8</v>
      </c>
      <c r="C275" s="12">
        <v>12.9</v>
      </c>
      <c r="D275" s="2">
        <v>1266.75</v>
      </c>
      <c r="E275" s="2">
        <f>FastenersPriceList345[[#This Row],[1000 PCS/WT.]]/1000</f>
        <v>1.26675</v>
      </c>
      <c r="F275" s="2" t="s">
        <v>736</v>
      </c>
      <c r="G275" s="6" t="s">
        <v>1755</v>
      </c>
      <c r="H275" s="70">
        <v>50</v>
      </c>
      <c r="I275" s="72">
        <f>FastenersPriceList345[[#This Row],[Quantity (kg)]]/FastenersPriceList345[[#This Row],[SINGLE PC. WT.]]</f>
        <v>39.471087428458652</v>
      </c>
      <c r="J275" s="3">
        <v>155</v>
      </c>
      <c r="K275" s="3">
        <f>FastenersPriceList345[[#This Row],[1000 PCS/WT.]]*FastenersPriceList345[[#This Row],[Rate / PER kg (₹)]]</f>
        <v>196346.25</v>
      </c>
      <c r="L275" s="4">
        <f>FastenersPriceList345[[#This Row],[Rate / PER kg (₹)]]*FastenersPriceList345[[#This Row],[Quantity (kg)]]</f>
        <v>7750</v>
      </c>
      <c r="M275" s="4">
        <f>FastenersPriceList345[[#This Row],[SINGLE PC. WT.]]*FastenersPriceList345[[#This Row],[Rate / PER kg (₹)]]</f>
        <v>196.34625</v>
      </c>
    </row>
    <row r="276" spans="1:13" ht="22.05" customHeight="1" x14ac:dyDescent="0.3">
      <c r="A276" s="2" t="s">
        <v>2449</v>
      </c>
      <c r="B276" s="12" t="s">
        <v>8</v>
      </c>
      <c r="C276" s="12">
        <v>12.9</v>
      </c>
      <c r="D276" s="2">
        <v>1322</v>
      </c>
      <c r="E276" s="2">
        <f>FastenersPriceList345[[#This Row],[1000 PCS/WT.]]/1000</f>
        <v>1.3220000000000001</v>
      </c>
      <c r="F276" s="2" t="s">
        <v>737</v>
      </c>
      <c r="G276" s="6" t="s">
        <v>1755</v>
      </c>
      <c r="H276" s="70">
        <v>50</v>
      </c>
      <c r="I276" s="72">
        <f>FastenersPriceList345[[#This Row],[Quantity (kg)]]/FastenersPriceList345[[#This Row],[SINGLE PC. WT.]]</f>
        <v>37.821482602118003</v>
      </c>
      <c r="J276" s="3">
        <v>155</v>
      </c>
      <c r="K276" s="3">
        <f>FastenersPriceList345[[#This Row],[1000 PCS/WT.]]*FastenersPriceList345[[#This Row],[Rate / PER kg (₹)]]</f>
        <v>204910</v>
      </c>
      <c r="L276" s="4">
        <f>FastenersPriceList345[[#This Row],[Rate / PER kg (₹)]]*FastenersPriceList345[[#This Row],[Quantity (kg)]]</f>
        <v>7750</v>
      </c>
      <c r="M276" s="4">
        <f>FastenersPriceList345[[#This Row],[SINGLE PC. WT.]]*FastenersPriceList345[[#This Row],[Rate / PER kg (₹)]]</f>
        <v>204.91</v>
      </c>
    </row>
    <row r="277" spans="1:13" ht="22.05" customHeight="1" x14ac:dyDescent="0.3">
      <c r="A277" s="2" t="s">
        <v>2450</v>
      </c>
      <c r="B277" s="12" t="s">
        <v>8</v>
      </c>
      <c r="C277" s="12">
        <v>12.9</v>
      </c>
      <c r="D277" s="2">
        <v>1377.25</v>
      </c>
      <c r="E277" s="2">
        <f>FastenersPriceList345[[#This Row],[1000 PCS/WT.]]/1000</f>
        <v>1.3772500000000001</v>
      </c>
      <c r="F277" s="2" t="s">
        <v>738</v>
      </c>
      <c r="G277" s="6" t="s">
        <v>1755</v>
      </c>
      <c r="H277" s="70">
        <v>50</v>
      </c>
      <c r="I277" s="72">
        <f>FastenersPriceList345[[#This Row],[Quantity (kg)]]/FastenersPriceList345[[#This Row],[SINGLE PC. WT.]]</f>
        <v>36.304229442730076</v>
      </c>
      <c r="J277" s="3">
        <v>160</v>
      </c>
      <c r="K277" s="3">
        <f>FastenersPriceList345[[#This Row],[1000 PCS/WT.]]*FastenersPriceList345[[#This Row],[Rate / PER kg (₹)]]</f>
        <v>220360</v>
      </c>
      <c r="L277" s="4">
        <f>FastenersPriceList345[[#This Row],[Rate / PER kg (₹)]]*FastenersPriceList345[[#This Row],[Quantity (kg)]]</f>
        <v>8000</v>
      </c>
      <c r="M277" s="4">
        <f>FastenersPriceList345[[#This Row],[SINGLE PC. WT.]]*FastenersPriceList345[[#This Row],[Rate / PER kg (₹)]]</f>
        <v>220.36</v>
      </c>
    </row>
    <row r="278" spans="1:13" ht="22.05" customHeight="1" x14ac:dyDescent="0.3">
      <c r="A278" s="2" t="s">
        <v>2451</v>
      </c>
      <c r="B278" s="12" t="s">
        <v>8</v>
      </c>
      <c r="C278" s="12">
        <v>12.9</v>
      </c>
      <c r="D278" s="2">
        <v>1432.5</v>
      </c>
      <c r="E278" s="2">
        <f>FastenersPriceList345[[#This Row],[1000 PCS/WT.]]/1000</f>
        <v>1.4325000000000001</v>
      </c>
      <c r="F278" s="2" t="s">
        <v>739</v>
      </c>
      <c r="G278" s="6" t="s">
        <v>1755</v>
      </c>
      <c r="H278" s="70">
        <v>50</v>
      </c>
      <c r="I278" s="72">
        <f>FastenersPriceList345[[#This Row],[Quantity (kg)]]/FastenersPriceList345[[#This Row],[SINGLE PC. WT.]]</f>
        <v>34.904013961605585</v>
      </c>
      <c r="J278" s="3">
        <v>160</v>
      </c>
      <c r="K278" s="3">
        <f>FastenersPriceList345[[#This Row],[1000 PCS/WT.]]*FastenersPriceList345[[#This Row],[Rate / PER kg (₹)]]</f>
        <v>229200</v>
      </c>
      <c r="L278" s="4">
        <f>FastenersPriceList345[[#This Row],[Rate / PER kg (₹)]]*FastenersPriceList345[[#This Row],[Quantity (kg)]]</f>
        <v>8000</v>
      </c>
      <c r="M278" s="4">
        <f>FastenersPriceList345[[#This Row],[SINGLE PC. WT.]]*FastenersPriceList345[[#This Row],[Rate / PER kg (₹)]]</f>
        <v>229.20000000000002</v>
      </c>
    </row>
    <row r="279" spans="1:13" ht="22.05" customHeight="1" x14ac:dyDescent="0.3">
      <c r="A279" s="2" t="s">
        <v>2452</v>
      </c>
      <c r="B279" s="12" t="s">
        <v>8</v>
      </c>
      <c r="C279" s="12">
        <v>12.9</v>
      </c>
      <c r="D279" s="2">
        <v>1487.75</v>
      </c>
      <c r="E279" s="2">
        <f>FastenersPriceList345[[#This Row],[1000 PCS/WT.]]/1000</f>
        <v>1.4877499999999999</v>
      </c>
      <c r="F279" s="2" t="s">
        <v>740</v>
      </c>
      <c r="G279" s="6" t="s">
        <v>1755</v>
      </c>
      <c r="H279" s="70">
        <v>50</v>
      </c>
      <c r="I279" s="72">
        <f>FastenersPriceList345[[#This Row],[Quantity (kg)]]/FastenersPriceList345[[#This Row],[SINGLE PC. WT.]]</f>
        <v>33.607797008906068</v>
      </c>
      <c r="J279" s="3">
        <v>160</v>
      </c>
      <c r="K279" s="3">
        <f>FastenersPriceList345[[#This Row],[1000 PCS/WT.]]*FastenersPriceList345[[#This Row],[Rate / PER kg (₹)]]</f>
        <v>238040</v>
      </c>
      <c r="L279" s="4">
        <f>FastenersPriceList345[[#This Row],[Rate / PER kg (₹)]]*FastenersPriceList345[[#This Row],[Quantity (kg)]]</f>
        <v>8000</v>
      </c>
      <c r="M279" s="4">
        <f>FastenersPriceList345[[#This Row],[SINGLE PC. WT.]]*FastenersPriceList345[[#This Row],[Rate / PER kg (₹)]]</f>
        <v>238.04</v>
      </c>
    </row>
    <row r="280" spans="1:13" ht="22.05" customHeight="1" x14ac:dyDescent="0.3">
      <c r="A280" s="2" t="s">
        <v>2453</v>
      </c>
      <c r="B280" s="12" t="s">
        <v>8</v>
      </c>
      <c r="C280" s="12">
        <v>12.9</v>
      </c>
      <c r="D280" s="2">
        <v>1543</v>
      </c>
      <c r="E280" s="2">
        <f>FastenersPriceList345[[#This Row],[1000 PCS/WT.]]/1000</f>
        <v>1.5429999999999999</v>
      </c>
      <c r="F280" s="2" t="s">
        <v>741</v>
      </c>
      <c r="G280" s="6" t="s">
        <v>1755</v>
      </c>
      <c r="H280" s="70">
        <v>50</v>
      </c>
      <c r="I280" s="72">
        <f>FastenersPriceList345[[#This Row],[Quantity (kg)]]/FastenersPriceList345[[#This Row],[SINGLE PC. WT.]]</f>
        <v>32.404406999351913</v>
      </c>
      <c r="J280" s="3">
        <v>160</v>
      </c>
      <c r="K280" s="3">
        <f>FastenersPriceList345[[#This Row],[1000 PCS/WT.]]*FastenersPriceList345[[#This Row],[Rate / PER kg (₹)]]</f>
        <v>246880</v>
      </c>
      <c r="L280" s="4">
        <f>FastenersPriceList345[[#This Row],[Rate / PER kg (₹)]]*FastenersPriceList345[[#This Row],[Quantity (kg)]]</f>
        <v>8000</v>
      </c>
      <c r="M280" s="4">
        <f>FastenersPriceList345[[#This Row],[SINGLE PC. WT.]]*FastenersPriceList345[[#This Row],[Rate / PER kg (₹)]]</f>
        <v>246.88</v>
      </c>
    </row>
    <row r="281" spans="1:13" ht="22.05" customHeight="1" x14ac:dyDescent="0.3">
      <c r="A281" s="2" t="s">
        <v>2454</v>
      </c>
      <c r="B281" s="12" t="s">
        <v>8</v>
      </c>
      <c r="C281" s="12">
        <v>12.9</v>
      </c>
      <c r="D281" s="2">
        <v>1598.25</v>
      </c>
      <c r="E281" s="2">
        <f>FastenersPriceList345[[#This Row],[1000 PCS/WT.]]/1000</f>
        <v>1.5982499999999999</v>
      </c>
      <c r="F281" s="2" t="s">
        <v>742</v>
      </c>
      <c r="G281" s="6" t="s">
        <v>1755</v>
      </c>
      <c r="H281" s="70">
        <v>50</v>
      </c>
      <c r="I281" s="72">
        <f>FastenersPriceList345[[#This Row],[Quantity (kg)]]/FastenersPriceList345[[#This Row],[SINGLE PC. WT.]]</f>
        <v>31.284217112466763</v>
      </c>
      <c r="J281" s="3">
        <v>160</v>
      </c>
      <c r="K281" s="3">
        <f>FastenersPriceList345[[#This Row],[1000 PCS/WT.]]*FastenersPriceList345[[#This Row],[Rate / PER kg (₹)]]</f>
        <v>255720</v>
      </c>
      <c r="L281" s="4">
        <f>FastenersPriceList345[[#This Row],[Rate / PER kg (₹)]]*FastenersPriceList345[[#This Row],[Quantity (kg)]]</f>
        <v>8000</v>
      </c>
      <c r="M281" s="4">
        <f>FastenersPriceList345[[#This Row],[SINGLE PC. WT.]]*FastenersPriceList345[[#This Row],[Rate / PER kg (₹)]]</f>
        <v>255.72</v>
      </c>
    </row>
    <row r="282" spans="1:13" ht="22.05" customHeight="1" x14ac:dyDescent="0.3">
      <c r="A282" s="2" t="s">
        <v>2455</v>
      </c>
      <c r="B282" s="12" t="s">
        <v>8</v>
      </c>
      <c r="C282" s="12">
        <v>12.9</v>
      </c>
      <c r="D282" s="2">
        <v>1653.5</v>
      </c>
      <c r="E282" s="2">
        <f>FastenersPriceList345[[#This Row],[1000 PCS/WT.]]/1000</f>
        <v>1.6535</v>
      </c>
      <c r="F282" s="2" t="s">
        <v>743</v>
      </c>
      <c r="G282" s="6" t="s">
        <v>1755</v>
      </c>
      <c r="H282" s="70">
        <v>50</v>
      </c>
      <c r="I282" s="72">
        <f>FastenersPriceList345[[#This Row],[Quantity (kg)]]/FastenersPriceList345[[#This Row],[SINGLE PC. WT.]]</f>
        <v>30.238887208950711</v>
      </c>
      <c r="J282" s="3">
        <v>160</v>
      </c>
      <c r="K282" s="3">
        <f>FastenersPriceList345[[#This Row],[1000 PCS/WT.]]*FastenersPriceList345[[#This Row],[Rate / PER kg (₹)]]</f>
        <v>264560</v>
      </c>
      <c r="L282" s="4">
        <f>FastenersPriceList345[[#This Row],[Rate / PER kg (₹)]]*FastenersPriceList345[[#This Row],[Quantity (kg)]]</f>
        <v>8000</v>
      </c>
      <c r="M282" s="4">
        <f>FastenersPriceList345[[#This Row],[SINGLE PC. WT.]]*FastenersPriceList345[[#This Row],[Rate / PER kg (₹)]]</f>
        <v>264.56</v>
      </c>
    </row>
    <row r="283" spans="1:13" ht="22.05" customHeight="1" x14ac:dyDescent="0.3">
      <c r="A283" s="2" t="s">
        <v>2456</v>
      </c>
      <c r="B283" s="12" t="s">
        <v>8</v>
      </c>
      <c r="C283" s="12">
        <v>12.9</v>
      </c>
      <c r="D283" s="2">
        <v>1708.75</v>
      </c>
      <c r="E283" s="2">
        <f>FastenersPriceList345[[#This Row],[1000 PCS/WT.]]/1000</f>
        <v>1.70875</v>
      </c>
      <c r="F283" s="2" t="s">
        <v>744</v>
      </c>
      <c r="G283" s="6" t="s">
        <v>1755</v>
      </c>
      <c r="H283" s="70">
        <v>50</v>
      </c>
      <c r="I283" s="72">
        <f>FastenersPriceList345[[#This Row],[Quantity (kg)]]/FastenersPriceList345[[#This Row],[SINGLE PC. WT.]]</f>
        <v>29.261155815654718</v>
      </c>
      <c r="J283" s="3">
        <v>160</v>
      </c>
      <c r="K283" s="3">
        <f>FastenersPriceList345[[#This Row],[1000 PCS/WT.]]*FastenersPriceList345[[#This Row],[Rate / PER kg (₹)]]</f>
        <v>273400</v>
      </c>
      <c r="L283" s="4">
        <f>FastenersPriceList345[[#This Row],[Rate / PER kg (₹)]]*FastenersPriceList345[[#This Row],[Quantity (kg)]]</f>
        <v>8000</v>
      </c>
      <c r="M283" s="4">
        <f>FastenersPriceList345[[#This Row],[SINGLE PC. WT.]]*FastenersPriceList345[[#This Row],[Rate / PER kg (₹)]]</f>
        <v>273.39999999999998</v>
      </c>
    </row>
    <row r="284" spans="1:13" ht="22.05" customHeight="1" x14ac:dyDescent="0.3">
      <c r="A284" s="2" t="s">
        <v>2457</v>
      </c>
      <c r="B284" s="12" t="s">
        <v>8</v>
      </c>
      <c r="C284" s="12">
        <v>12.9</v>
      </c>
      <c r="D284" s="2">
        <v>1764</v>
      </c>
      <c r="E284" s="2">
        <f>FastenersPriceList345[[#This Row],[1000 PCS/WT.]]/1000</f>
        <v>1.764</v>
      </c>
      <c r="F284" s="2" t="s">
        <v>745</v>
      </c>
      <c r="G284" s="6" t="s">
        <v>1755</v>
      </c>
      <c r="H284" s="70">
        <v>50</v>
      </c>
      <c r="I284" s="72">
        <f>FastenersPriceList345[[#This Row],[Quantity (kg)]]/FastenersPriceList345[[#This Row],[SINGLE PC. WT.]]</f>
        <v>28.344671201814059</v>
      </c>
      <c r="J284" s="3">
        <v>160</v>
      </c>
      <c r="K284" s="3">
        <f>FastenersPriceList345[[#This Row],[1000 PCS/WT.]]*FastenersPriceList345[[#This Row],[Rate / PER kg (₹)]]</f>
        <v>282240</v>
      </c>
      <c r="L284" s="4">
        <f>FastenersPriceList345[[#This Row],[Rate / PER kg (₹)]]*FastenersPriceList345[[#This Row],[Quantity (kg)]]</f>
        <v>8000</v>
      </c>
      <c r="M284" s="4">
        <f>FastenersPriceList345[[#This Row],[SINGLE PC. WT.]]*FastenersPriceList345[[#This Row],[Rate / PER kg (₹)]]</f>
        <v>282.24</v>
      </c>
    </row>
    <row r="285" spans="1:13" ht="22.05" customHeight="1" x14ac:dyDescent="0.3">
      <c r="A285" s="2" t="s">
        <v>2458</v>
      </c>
      <c r="B285" s="12" t="s">
        <v>8</v>
      </c>
      <c r="C285" s="12">
        <v>12.9</v>
      </c>
      <c r="D285" s="2">
        <v>1819.25</v>
      </c>
      <c r="E285" s="2">
        <f>FastenersPriceList345[[#This Row],[1000 PCS/WT.]]/1000</f>
        <v>1.81925</v>
      </c>
      <c r="F285" s="2" t="s">
        <v>746</v>
      </c>
      <c r="G285" s="6" t="s">
        <v>1755</v>
      </c>
      <c r="H285" s="70">
        <v>50</v>
      </c>
      <c r="I285" s="72">
        <f>FastenersPriceList345[[#This Row],[Quantity (kg)]]/FastenersPriceList345[[#This Row],[SINGLE PC. WT.]]</f>
        <v>27.48385323622372</v>
      </c>
      <c r="J285" s="3">
        <v>160</v>
      </c>
      <c r="K285" s="3">
        <f>FastenersPriceList345[[#This Row],[1000 PCS/WT.]]*FastenersPriceList345[[#This Row],[Rate / PER kg (₹)]]</f>
        <v>291080</v>
      </c>
      <c r="L285" s="4">
        <f>FastenersPriceList345[[#This Row],[Rate / PER kg (₹)]]*FastenersPriceList345[[#This Row],[Quantity (kg)]]</f>
        <v>8000</v>
      </c>
      <c r="M285" s="4">
        <f>FastenersPriceList345[[#This Row],[SINGLE PC. WT.]]*FastenersPriceList345[[#This Row],[Rate / PER kg (₹)]]</f>
        <v>291.08</v>
      </c>
    </row>
    <row r="286" spans="1:13" ht="22.05" customHeight="1" x14ac:dyDescent="0.3">
      <c r="A286" s="2" t="s">
        <v>2459</v>
      </c>
      <c r="B286" s="12" t="s">
        <v>8</v>
      </c>
      <c r="C286" s="12">
        <v>12.9</v>
      </c>
      <c r="D286" s="2">
        <v>1874.5</v>
      </c>
      <c r="E286" s="2">
        <f>FastenersPriceList345[[#This Row],[1000 PCS/WT.]]/1000</f>
        <v>1.8745000000000001</v>
      </c>
      <c r="F286" s="2" t="s">
        <v>747</v>
      </c>
      <c r="G286" s="6" t="s">
        <v>1755</v>
      </c>
      <c r="H286" s="70">
        <v>50</v>
      </c>
      <c r="I286" s="72">
        <f>FastenersPriceList345[[#This Row],[Quantity (kg)]]/FastenersPriceList345[[#This Row],[SINGLE PC. WT.]]</f>
        <v>26.673779674579887</v>
      </c>
      <c r="J286" s="3">
        <v>160</v>
      </c>
      <c r="K286" s="3">
        <f>FastenersPriceList345[[#This Row],[1000 PCS/WT.]]*FastenersPriceList345[[#This Row],[Rate / PER kg (₹)]]</f>
        <v>299920</v>
      </c>
      <c r="L286" s="4">
        <f>FastenersPriceList345[[#This Row],[Rate / PER kg (₹)]]*FastenersPriceList345[[#This Row],[Quantity (kg)]]</f>
        <v>8000</v>
      </c>
      <c r="M286" s="4">
        <f>FastenersPriceList345[[#This Row],[SINGLE PC. WT.]]*FastenersPriceList345[[#This Row],[Rate / PER kg (₹)]]</f>
        <v>299.92</v>
      </c>
    </row>
    <row r="287" spans="1:13" ht="22.05" customHeight="1" x14ac:dyDescent="0.3">
      <c r="A287" s="2" t="s">
        <v>2460</v>
      </c>
      <c r="B287" s="12" t="s">
        <v>8</v>
      </c>
      <c r="C287" s="12">
        <v>12.9</v>
      </c>
      <c r="D287" s="2">
        <v>592</v>
      </c>
      <c r="E287" s="2">
        <f>FastenersPriceList345[[#This Row],[1000 PCS/WT.]]/1000</f>
        <v>0.59199999999999997</v>
      </c>
      <c r="F287" s="2" t="s">
        <v>748</v>
      </c>
      <c r="G287" s="6" t="s">
        <v>1755</v>
      </c>
      <c r="H287" s="70">
        <v>50</v>
      </c>
      <c r="I287" s="72">
        <f>FastenersPriceList345[[#This Row],[Quantity (kg)]]/FastenersPriceList345[[#This Row],[SINGLE PC. WT.]]</f>
        <v>84.459459459459467</v>
      </c>
      <c r="J287" s="3">
        <v>158</v>
      </c>
      <c r="K287" s="3">
        <f>FastenersPriceList345[[#This Row],[1000 PCS/WT.]]*FastenersPriceList345[[#This Row],[Rate / PER kg (₹)]]</f>
        <v>93536</v>
      </c>
      <c r="L287" s="4">
        <f>FastenersPriceList345[[#This Row],[Rate / PER kg (₹)]]*FastenersPriceList345[[#This Row],[Quantity (kg)]]</f>
        <v>7900</v>
      </c>
      <c r="M287" s="4">
        <f>FastenersPriceList345[[#This Row],[SINGLE PC. WT.]]*FastenersPriceList345[[#This Row],[Rate / PER kg (₹)]]</f>
        <v>93.536000000000001</v>
      </c>
    </row>
    <row r="288" spans="1:13" ht="22.05" customHeight="1" x14ac:dyDescent="0.3">
      <c r="A288" s="2" t="s">
        <v>2461</v>
      </c>
      <c r="B288" s="12" t="s">
        <v>8</v>
      </c>
      <c r="C288" s="12">
        <v>12.9</v>
      </c>
      <c r="D288" s="2">
        <v>620</v>
      </c>
      <c r="E288" s="2">
        <f>FastenersPriceList345[[#This Row],[1000 PCS/WT.]]/1000</f>
        <v>0.62</v>
      </c>
      <c r="F288" s="2" t="s">
        <v>749</v>
      </c>
      <c r="G288" s="6" t="s">
        <v>1755</v>
      </c>
      <c r="H288" s="70">
        <v>50</v>
      </c>
      <c r="I288" s="72">
        <f>FastenersPriceList345[[#This Row],[Quantity (kg)]]/FastenersPriceList345[[#This Row],[SINGLE PC. WT.]]</f>
        <v>80.645161290322577</v>
      </c>
      <c r="J288" s="3">
        <v>158</v>
      </c>
      <c r="K288" s="3">
        <f>FastenersPriceList345[[#This Row],[1000 PCS/WT.]]*FastenersPriceList345[[#This Row],[Rate / PER kg (₹)]]</f>
        <v>97960</v>
      </c>
      <c r="L288" s="4">
        <f>FastenersPriceList345[[#This Row],[Rate / PER kg (₹)]]*FastenersPriceList345[[#This Row],[Quantity (kg)]]</f>
        <v>7900</v>
      </c>
      <c r="M288" s="4">
        <f>FastenersPriceList345[[#This Row],[SINGLE PC. WT.]]*FastenersPriceList345[[#This Row],[Rate / PER kg (₹)]]</f>
        <v>97.96</v>
      </c>
    </row>
    <row r="289" spans="1:13" ht="22.05" customHeight="1" x14ac:dyDescent="0.3">
      <c r="A289" s="2" t="s">
        <v>2462</v>
      </c>
      <c r="B289" s="12" t="s">
        <v>8</v>
      </c>
      <c r="C289" s="12">
        <v>12.9</v>
      </c>
      <c r="D289" s="2">
        <v>648</v>
      </c>
      <c r="E289" s="2">
        <f>FastenersPriceList345[[#This Row],[1000 PCS/WT.]]/1000</f>
        <v>0.64800000000000002</v>
      </c>
      <c r="F289" s="2" t="s">
        <v>750</v>
      </c>
      <c r="G289" s="6" t="s">
        <v>1755</v>
      </c>
      <c r="H289" s="70">
        <v>50</v>
      </c>
      <c r="I289" s="72">
        <f>FastenersPriceList345[[#This Row],[Quantity (kg)]]/FastenersPriceList345[[#This Row],[SINGLE PC. WT.]]</f>
        <v>77.160493827160494</v>
      </c>
      <c r="J289" s="3">
        <v>158</v>
      </c>
      <c r="K289" s="3">
        <f>FastenersPriceList345[[#This Row],[1000 PCS/WT.]]*FastenersPriceList345[[#This Row],[Rate / PER kg (₹)]]</f>
        <v>102384</v>
      </c>
      <c r="L289" s="4">
        <f>FastenersPriceList345[[#This Row],[Rate / PER kg (₹)]]*FastenersPriceList345[[#This Row],[Quantity (kg)]]</f>
        <v>7900</v>
      </c>
      <c r="M289" s="4">
        <f>FastenersPriceList345[[#This Row],[SINGLE PC. WT.]]*FastenersPriceList345[[#This Row],[Rate / PER kg (₹)]]</f>
        <v>102.384</v>
      </c>
    </row>
    <row r="290" spans="1:13" ht="22.05" customHeight="1" x14ac:dyDescent="0.3">
      <c r="A290" s="2" t="s">
        <v>2463</v>
      </c>
      <c r="B290" s="12" t="s">
        <v>8</v>
      </c>
      <c r="C290" s="12">
        <v>12.9</v>
      </c>
      <c r="D290" s="2">
        <v>676</v>
      </c>
      <c r="E290" s="2">
        <f>FastenersPriceList345[[#This Row],[1000 PCS/WT.]]/1000</f>
        <v>0.67600000000000005</v>
      </c>
      <c r="F290" s="2" t="s">
        <v>751</v>
      </c>
      <c r="G290" s="6" t="s">
        <v>1755</v>
      </c>
      <c r="H290" s="70">
        <v>50</v>
      </c>
      <c r="I290" s="72">
        <f>FastenersPriceList345[[#This Row],[Quantity (kg)]]/FastenersPriceList345[[#This Row],[SINGLE PC. WT.]]</f>
        <v>73.964497041420117</v>
      </c>
      <c r="J290" s="3">
        <v>158</v>
      </c>
      <c r="K290" s="3">
        <f>FastenersPriceList345[[#This Row],[1000 PCS/WT.]]*FastenersPriceList345[[#This Row],[Rate / PER kg (₹)]]</f>
        <v>106808</v>
      </c>
      <c r="L290" s="4">
        <f>FastenersPriceList345[[#This Row],[Rate / PER kg (₹)]]*FastenersPriceList345[[#This Row],[Quantity (kg)]]</f>
        <v>7900</v>
      </c>
      <c r="M290" s="4">
        <f>FastenersPriceList345[[#This Row],[SINGLE PC. WT.]]*FastenersPriceList345[[#This Row],[Rate / PER kg (₹)]]</f>
        <v>106.80800000000001</v>
      </c>
    </row>
    <row r="291" spans="1:13" ht="22.05" customHeight="1" x14ac:dyDescent="0.3">
      <c r="A291" s="2" t="s">
        <v>2464</v>
      </c>
      <c r="B291" s="12" t="s">
        <v>8</v>
      </c>
      <c r="C291" s="12">
        <v>12.9</v>
      </c>
      <c r="D291" s="2">
        <v>704</v>
      </c>
      <c r="E291" s="2">
        <f>FastenersPriceList345[[#This Row],[1000 PCS/WT.]]/1000</f>
        <v>0.70399999999999996</v>
      </c>
      <c r="F291" s="2" t="s">
        <v>752</v>
      </c>
      <c r="G291" s="6" t="s">
        <v>1755</v>
      </c>
      <c r="H291" s="70">
        <v>50</v>
      </c>
      <c r="I291" s="72">
        <f>FastenersPriceList345[[#This Row],[Quantity (kg)]]/FastenersPriceList345[[#This Row],[SINGLE PC. WT.]]</f>
        <v>71.02272727272728</v>
      </c>
      <c r="J291" s="3">
        <v>158</v>
      </c>
      <c r="K291" s="3">
        <f>FastenersPriceList345[[#This Row],[1000 PCS/WT.]]*FastenersPriceList345[[#This Row],[Rate / PER kg (₹)]]</f>
        <v>111232</v>
      </c>
      <c r="L291" s="4">
        <f>FastenersPriceList345[[#This Row],[Rate / PER kg (₹)]]*FastenersPriceList345[[#This Row],[Quantity (kg)]]</f>
        <v>7900</v>
      </c>
      <c r="M291" s="4">
        <f>FastenersPriceList345[[#This Row],[SINGLE PC. WT.]]*FastenersPriceList345[[#This Row],[Rate / PER kg (₹)]]</f>
        <v>111.232</v>
      </c>
    </row>
    <row r="292" spans="1:13" ht="22.05" customHeight="1" x14ac:dyDescent="0.3">
      <c r="A292" s="2" t="s">
        <v>2465</v>
      </c>
      <c r="B292" s="12" t="s">
        <v>8</v>
      </c>
      <c r="C292" s="12">
        <v>12.9</v>
      </c>
      <c r="D292" s="2">
        <v>732</v>
      </c>
      <c r="E292" s="2">
        <f>FastenersPriceList345[[#This Row],[1000 PCS/WT.]]/1000</f>
        <v>0.73199999999999998</v>
      </c>
      <c r="F292" s="2" t="s">
        <v>753</v>
      </c>
      <c r="G292" s="6" t="s">
        <v>1755</v>
      </c>
      <c r="H292" s="70">
        <v>50</v>
      </c>
      <c r="I292" s="72">
        <f>FastenersPriceList345[[#This Row],[Quantity (kg)]]/FastenersPriceList345[[#This Row],[SINGLE PC. WT.]]</f>
        <v>68.306010928961754</v>
      </c>
      <c r="J292" s="3">
        <v>158</v>
      </c>
      <c r="K292" s="3">
        <f>FastenersPriceList345[[#This Row],[1000 PCS/WT.]]*FastenersPriceList345[[#This Row],[Rate / PER kg (₹)]]</f>
        <v>115656</v>
      </c>
      <c r="L292" s="4">
        <f>FastenersPriceList345[[#This Row],[Rate / PER kg (₹)]]*FastenersPriceList345[[#This Row],[Quantity (kg)]]</f>
        <v>7900</v>
      </c>
      <c r="M292" s="4">
        <f>FastenersPriceList345[[#This Row],[SINGLE PC. WT.]]*FastenersPriceList345[[#This Row],[Rate / PER kg (₹)]]</f>
        <v>115.65599999999999</v>
      </c>
    </row>
    <row r="293" spans="1:13" ht="22.05" customHeight="1" x14ac:dyDescent="0.3">
      <c r="A293" s="2" t="s">
        <v>2466</v>
      </c>
      <c r="B293" s="12" t="s">
        <v>8</v>
      </c>
      <c r="C293" s="12">
        <v>12.9</v>
      </c>
      <c r="D293" s="2">
        <v>760</v>
      </c>
      <c r="E293" s="2">
        <f>FastenersPriceList345[[#This Row],[1000 PCS/WT.]]/1000</f>
        <v>0.76</v>
      </c>
      <c r="F293" s="2" t="s">
        <v>754</v>
      </c>
      <c r="G293" s="6" t="s">
        <v>1755</v>
      </c>
      <c r="H293" s="70">
        <v>50</v>
      </c>
      <c r="I293" s="72">
        <f>FastenersPriceList345[[#This Row],[Quantity (kg)]]/FastenersPriceList345[[#This Row],[SINGLE PC. WT.]]</f>
        <v>65.78947368421052</v>
      </c>
      <c r="J293" s="3">
        <v>158</v>
      </c>
      <c r="K293" s="3">
        <f>FastenersPriceList345[[#This Row],[1000 PCS/WT.]]*FastenersPriceList345[[#This Row],[Rate / PER kg (₹)]]</f>
        <v>120080</v>
      </c>
      <c r="L293" s="4">
        <f>FastenersPriceList345[[#This Row],[Rate / PER kg (₹)]]*FastenersPriceList345[[#This Row],[Quantity (kg)]]</f>
        <v>7900</v>
      </c>
      <c r="M293" s="4">
        <f>FastenersPriceList345[[#This Row],[SINGLE PC. WT.]]*FastenersPriceList345[[#This Row],[Rate / PER kg (₹)]]</f>
        <v>120.08</v>
      </c>
    </row>
    <row r="294" spans="1:13" ht="22.05" customHeight="1" x14ac:dyDescent="0.3">
      <c r="A294" s="2" t="s">
        <v>2467</v>
      </c>
      <c r="B294" s="12" t="s">
        <v>8</v>
      </c>
      <c r="C294" s="12">
        <v>12.9</v>
      </c>
      <c r="D294" s="2">
        <v>788</v>
      </c>
      <c r="E294" s="2">
        <f>FastenersPriceList345[[#This Row],[1000 PCS/WT.]]/1000</f>
        <v>0.78800000000000003</v>
      </c>
      <c r="F294" s="2" t="s">
        <v>755</v>
      </c>
      <c r="G294" s="6" t="s">
        <v>1755</v>
      </c>
      <c r="H294" s="70">
        <v>50</v>
      </c>
      <c r="I294" s="72">
        <f>FastenersPriceList345[[#This Row],[Quantity (kg)]]/FastenersPriceList345[[#This Row],[SINGLE PC. WT.]]</f>
        <v>63.451776649746193</v>
      </c>
      <c r="J294" s="3">
        <v>158</v>
      </c>
      <c r="K294" s="3">
        <f>FastenersPriceList345[[#This Row],[1000 PCS/WT.]]*FastenersPriceList345[[#This Row],[Rate / PER kg (₹)]]</f>
        <v>124504</v>
      </c>
      <c r="L294" s="4">
        <f>FastenersPriceList345[[#This Row],[Rate / PER kg (₹)]]*FastenersPriceList345[[#This Row],[Quantity (kg)]]</f>
        <v>7900</v>
      </c>
      <c r="M294" s="4">
        <f>FastenersPriceList345[[#This Row],[SINGLE PC. WT.]]*FastenersPriceList345[[#This Row],[Rate / PER kg (₹)]]</f>
        <v>124.504</v>
      </c>
    </row>
    <row r="295" spans="1:13" ht="22.05" customHeight="1" x14ac:dyDescent="0.3">
      <c r="A295" s="2" t="s">
        <v>2468</v>
      </c>
      <c r="B295" s="12" t="s">
        <v>8</v>
      </c>
      <c r="C295" s="12">
        <v>12.9</v>
      </c>
      <c r="D295" s="2">
        <v>821</v>
      </c>
      <c r="E295" s="2">
        <f>FastenersPriceList345[[#This Row],[1000 PCS/WT.]]/1000</f>
        <v>0.82099999999999995</v>
      </c>
      <c r="F295" s="2" t="s">
        <v>756</v>
      </c>
      <c r="G295" s="6" t="s">
        <v>1755</v>
      </c>
      <c r="H295" s="70">
        <v>50</v>
      </c>
      <c r="I295" s="72">
        <f>FastenersPriceList345[[#This Row],[Quantity (kg)]]/FastenersPriceList345[[#This Row],[SINGLE PC. WT.]]</f>
        <v>60.90133982947625</v>
      </c>
      <c r="J295" s="3">
        <v>158</v>
      </c>
      <c r="K295" s="3">
        <f>FastenersPriceList345[[#This Row],[1000 PCS/WT.]]*FastenersPriceList345[[#This Row],[Rate / PER kg (₹)]]</f>
        <v>129718</v>
      </c>
      <c r="L295" s="4">
        <f>FastenersPriceList345[[#This Row],[Rate / PER kg (₹)]]*FastenersPriceList345[[#This Row],[Quantity (kg)]]</f>
        <v>7900</v>
      </c>
      <c r="M295" s="4">
        <f>FastenersPriceList345[[#This Row],[SINGLE PC. WT.]]*FastenersPriceList345[[#This Row],[Rate / PER kg (₹)]]</f>
        <v>129.71799999999999</v>
      </c>
    </row>
    <row r="296" spans="1:13" ht="22.05" customHeight="1" x14ac:dyDescent="0.3">
      <c r="A296" s="2" t="s">
        <v>2469</v>
      </c>
      <c r="B296" s="12" t="s">
        <v>8</v>
      </c>
      <c r="C296" s="12">
        <v>12.9</v>
      </c>
      <c r="D296" s="2">
        <v>854</v>
      </c>
      <c r="E296" s="2">
        <f>FastenersPriceList345[[#This Row],[1000 PCS/WT.]]/1000</f>
        <v>0.85399999999999998</v>
      </c>
      <c r="F296" s="2" t="s">
        <v>757</v>
      </c>
      <c r="G296" s="6" t="s">
        <v>1755</v>
      </c>
      <c r="H296" s="70">
        <v>50</v>
      </c>
      <c r="I296" s="72">
        <f>FastenersPriceList345[[#This Row],[Quantity (kg)]]/FastenersPriceList345[[#This Row],[SINGLE PC. WT.]]</f>
        <v>58.548009367681502</v>
      </c>
      <c r="J296" s="3">
        <v>158</v>
      </c>
      <c r="K296" s="3">
        <f>FastenersPriceList345[[#This Row],[1000 PCS/WT.]]*FastenersPriceList345[[#This Row],[Rate / PER kg (₹)]]</f>
        <v>134932</v>
      </c>
      <c r="L296" s="4">
        <f>FastenersPriceList345[[#This Row],[Rate / PER kg (₹)]]*FastenersPriceList345[[#This Row],[Quantity (kg)]]</f>
        <v>7900</v>
      </c>
      <c r="M296" s="4">
        <f>FastenersPriceList345[[#This Row],[SINGLE PC. WT.]]*FastenersPriceList345[[#This Row],[Rate / PER kg (₹)]]</f>
        <v>134.93199999999999</v>
      </c>
    </row>
    <row r="297" spans="1:13" ht="22.05" customHeight="1" x14ac:dyDescent="0.3">
      <c r="A297" s="2" t="s">
        <v>2470</v>
      </c>
      <c r="B297" s="12" t="s">
        <v>8</v>
      </c>
      <c r="C297" s="12">
        <v>12.9</v>
      </c>
      <c r="D297" s="2">
        <v>887</v>
      </c>
      <c r="E297" s="2">
        <f>FastenersPriceList345[[#This Row],[1000 PCS/WT.]]/1000</f>
        <v>0.88700000000000001</v>
      </c>
      <c r="F297" s="2" t="s">
        <v>758</v>
      </c>
      <c r="G297" s="6" t="s">
        <v>1755</v>
      </c>
      <c r="H297" s="70">
        <v>50</v>
      </c>
      <c r="I297" s="72">
        <f>FastenersPriceList345[[#This Row],[Quantity (kg)]]/FastenersPriceList345[[#This Row],[SINGLE PC. WT.]]</f>
        <v>56.369785794813978</v>
      </c>
      <c r="J297" s="3">
        <v>158</v>
      </c>
      <c r="K297" s="3">
        <f>FastenersPriceList345[[#This Row],[1000 PCS/WT.]]*FastenersPriceList345[[#This Row],[Rate / PER kg (₹)]]</f>
        <v>140146</v>
      </c>
      <c r="L297" s="4">
        <f>FastenersPriceList345[[#This Row],[Rate / PER kg (₹)]]*FastenersPriceList345[[#This Row],[Quantity (kg)]]</f>
        <v>7900</v>
      </c>
      <c r="M297" s="4">
        <f>FastenersPriceList345[[#This Row],[SINGLE PC. WT.]]*FastenersPriceList345[[#This Row],[Rate / PER kg (₹)]]</f>
        <v>140.14600000000002</v>
      </c>
    </row>
    <row r="298" spans="1:13" ht="22.05" customHeight="1" x14ac:dyDescent="0.3">
      <c r="A298" s="2" t="s">
        <v>2471</v>
      </c>
      <c r="B298" s="12" t="s">
        <v>8</v>
      </c>
      <c r="C298" s="12">
        <v>12.9</v>
      </c>
      <c r="D298" s="2">
        <v>953</v>
      </c>
      <c r="E298" s="2">
        <f>FastenersPriceList345[[#This Row],[1000 PCS/WT.]]/1000</f>
        <v>0.95299999999999996</v>
      </c>
      <c r="F298" s="2" t="s">
        <v>759</v>
      </c>
      <c r="G298" s="6" t="s">
        <v>1755</v>
      </c>
      <c r="H298" s="70">
        <v>50</v>
      </c>
      <c r="I298" s="72">
        <f>FastenersPriceList345[[#This Row],[Quantity (kg)]]/FastenersPriceList345[[#This Row],[SINGLE PC. WT.]]</f>
        <v>52.465897166841557</v>
      </c>
      <c r="J298" s="3">
        <v>158</v>
      </c>
      <c r="K298" s="3">
        <f>FastenersPriceList345[[#This Row],[1000 PCS/WT.]]*FastenersPriceList345[[#This Row],[Rate / PER kg (₹)]]</f>
        <v>150574</v>
      </c>
      <c r="L298" s="4">
        <f>FastenersPriceList345[[#This Row],[Rate / PER kg (₹)]]*FastenersPriceList345[[#This Row],[Quantity (kg)]]</f>
        <v>7900</v>
      </c>
      <c r="M298" s="4">
        <f>FastenersPriceList345[[#This Row],[SINGLE PC. WT.]]*FastenersPriceList345[[#This Row],[Rate / PER kg (₹)]]</f>
        <v>150.57399999999998</v>
      </c>
    </row>
    <row r="299" spans="1:13" ht="22.05" customHeight="1" x14ac:dyDescent="0.3">
      <c r="A299" s="2" t="s">
        <v>2472</v>
      </c>
      <c r="B299" s="12" t="s">
        <v>8</v>
      </c>
      <c r="C299" s="12">
        <v>12.9</v>
      </c>
      <c r="D299" s="2">
        <v>1023</v>
      </c>
      <c r="E299" s="2">
        <f>FastenersPriceList345[[#This Row],[1000 PCS/WT.]]/1000</f>
        <v>1.0229999999999999</v>
      </c>
      <c r="F299" s="2" t="s">
        <v>760</v>
      </c>
      <c r="G299" s="6" t="s">
        <v>1755</v>
      </c>
      <c r="H299" s="70">
        <v>50</v>
      </c>
      <c r="I299" s="72">
        <f>FastenersPriceList345[[#This Row],[Quantity (kg)]]/FastenersPriceList345[[#This Row],[SINGLE PC. WT.]]</f>
        <v>48.875855327468237</v>
      </c>
      <c r="J299" s="3">
        <v>158</v>
      </c>
      <c r="K299" s="3">
        <f>FastenersPriceList345[[#This Row],[1000 PCS/WT.]]*FastenersPriceList345[[#This Row],[Rate / PER kg (₹)]]</f>
        <v>161634</v>
      </c>
      <c r="L299" s="4">
        <f>FastenersPriceList345[[#This Row],[Rate / PER kg (₹)]]*FastenersPriceList345[[#This Row],[Quantity (kg)]]</f>
        <v>7900</v>
      </c>
      <c r="M299" s="4">
        <f>FastenersPriceList345[[#This Row],[SINGLE PC. WT.]]*FastenersPriceList345[[#This Row],[Rate / PER kg (₹)]]</f>
        <v>161.63399999999999</v>
      </c>
    </row>
    <row r="300" spans="1:13" ht="22.05" customHeight="1" x14ac:dyDescent="0.3">
      <c r="A300" s="2" t="s">
        <v>2473</v>
      </c>
      <c r="B300" s="12" t="s">
        <v>8</v>
      </c>
      <c r="C300" s="12">
        <v>12.9</v>
      </c>
      <c r="D300" s="2">
        <v>1093</v>
      </c>
      <c r="E300" s="2">
        <f>FastenersPriceList345[[#This Row],[1000 PCS/WT.]]/1000</f>
        <v>1.093</v>
      </c>
      <c r="F300" s="2" t="s">
        <v>761</v>
      </c>
      <c r="G300" s="6" t="s">
        <v>1755</v>
      </c>
      <c r="H300" s="70">
        <v>50</v>
      </c>
      <c r="I300" s="72">
        <f>FastenersPriceList345[[#This Row],[Quantity (kg)]]/FastenersPriceList345[[#This Row],[SINGLE PC. WT.]]</f>
        <v>45.745654162854528</v>
      </c>
      <c r="J300" s="3">
        <v>158</v>
      </c>
      <c r="K300" s="3">
        <f>FastenersPriceList345[[#This Row],[1000 PCS/WT.]]*FastenersPriceList345[[#This Row],[Rate / PER kg (₹)]]</f>
        <v>172694</v>
      </c>
      <c r="L300" s="4">
        <f>FastenersPriceList345[[#This Row],[Rate / PER kg (₹)]]*FastenersPriceList345[[#This Row],[Quantity (kg)]]</f>
        <v>7900</v>
      </c>
      <c r="M300" s="4">
        <f>FastenersPriceList345[[#This Row],[SINGLE PC. WT.]]*FastenersPriceList345[[#This Row],[Rate / PER kg (₹)]]</f>
        <v>172.69399999999999</v>
      </c>
    </row>
    <row r="301" spans="1:13" ht="22.05" customHeight="1" x14ac:dyDescent="0.3">
      <c r="A301" s="2" t="s">
        <v>2474</v>
      </c>
      <c r="B301" s="12" t="s">
        <v>8</v>
      </c>
      <c r="C301" s="12">
        <v>12.9</v>
      </c>
      <c r="D301" s="2">
        <v>1163</v>
      </c>
      <c r="E301" s="2">
        <f>FastenersPriceList345[[#This Row],[1000 PCS/WT.]]/1000</f>
        <v>1.163</v>
      </c>
      <c r="F301" s="2" t="s">
        <v>762</v>
      </c>
      <c r="G301" s="6" t="s">
        <v>1755</v>
      </c>
      <c r="H301" s="70">
        <v>50</v>
      </c>
      <c r="I301" s="72">
        <f>FastenersPriceList345[[#This Row],[Quantity (kg)]]/FastenersPriceList345[[#This Row],[SINGLE PC. WT.]]</f>
        <v>42.992261392949267</v>
      </c>
      <c r="J301" s="3">
        <v>158</v>
      </c>
      <c r="K301" s="3">
        <f>FastenersPriceList345[[#This Row],[1000 PCS/WT.]]*FastenersPriceList345[[#This Row],[Rate / PER kg (₹)]]</f>
        <v>183754</v>
      </c>
      <c r="L301" s="4">
        <f>FastenersPriceList345[[#This Row],[Rate / PER kg (₹)]]*FastenersPriceList345[[#This Row],[Quantity (kg)]]</f>
        <v>7900</v>
      </c>
      <c r="M301" s="4">
        <f>FastenersPriceList345[[#This Row],[SINGLE PC. WT.]]*FastenersPriceList345[[#This Row],[Rate / PER kg (₹)]]</f>
        <v>183.75400000000002</v>
      </c>
    </row>
    <row r="302" spans="1:13" ht="22.05" customHeight="1" x14ac:dyDescent="0.3">
      <c r="A302" s="2" t="s">
        <v>2475</v>
      </c>
      <c r="B302" s="12" t="s">
        <v>8</v>
      </c>
      <c r="C302" s="12">
        <v>12.9</v>
      </c>
      <c r="D302" s="2">
        <v>1233</v>
      </c>
      <c r="E302" s="2">
        <f>FastenersPriceList345[[#This Row],[1000 PCS/WT.]]/1000</f>
        <v>1.2330000000000001</v>
      </c>
      <c r="F302" s="2" t="s">
        <v>763</v>
      </c>
      <c r="G302" s="6" t="s">
        <v>1755</v>
      </c>
      <c r="H302" s="70">
        <v>50</v>
      </c>
      <c r="I302" s="72">
        <f>FastenersPriceList345[[#This Row],[Quantity (kg)]]/FastenersPriceList345[[#This Row],[SINGLE PC. WT.]]</f>
        <v>40.551500405515</v>
      </c>
      <c r="J302" s="3">
        <v>158</v>
      </c>
      <c r="K302" s="3">
        <f>FastenersPriceList345[[#This Row],[1000 PCS/WT.]]*FastenersPriceList345[[#This Row],[Rate / PER kg (₹)]]</f>
        <v>194814</v>
      </c>
      <c r="L302" s="4">
        <f>FastenersPriceList345[[#This Row],[Rate / PER kg (₹)]]*FastenersPriceList345[[#This Row],[Quantity (kg)]]</f>
        <v>7900</v>
      </c>
      <c r="M302" s="4">
        <f>FastenersPriceList345[[#This Row],[SINGLE PC. WT.]]*FastenersPriceList345[[#This Row],[Rate / PER kg (₹)]]</f>
        <v>194.81400000000002</v>
      </c>
    </row>
    <row r="303" spans="1:13" ht="22.05" customHeight="1" x14ac:dyDescent="0.3">
      <c r="A303" s="2" t="s">
        <v>2476</v>
      </c>
      <c r="B303" s="12" t="s">
        <v>8</v>
      </c>
      <c r="C303" s="12">
        <v>12.9</v>
      </c>
      <c r="D303" s="2">
        <v>1303</v>
      </c>
      <c r="E303" s="2">
        <f>FastenersPriceList345[[#This Row],[1000 PCS/WT.]]/1000</f>
        <v>1.3029999999999999</v>
      </c>
      <c r="F303" s="2" t="s">
        <v>764</v>
      </c>
      <c r="G303" s="6" t="s">
        <v>1755</v>
      </c>
      <c r="H303" s="70">
        <v>50</v>
      </c>
      <c r="I303" s="72">
        <f>FastenersPriceList345[[#This Row],[Quantity (kg)]]/FastenersPriceList345[[#This Row],[SINGLE PC. WT.]]</f>
        <v>38.372985418265543</v>
      </c>
      <c r="J303" s="3">
        <v>158</v>
      </c>
      <c r="K303" s="3">
        <f>FastenersPriceList345[[#This Row],[1000 PCS/WT.]]*FastenersPriceList345[[#This Row],[Rate / PER kg (₹)]]</f>
        <v>205874</v>
      </c>
      <c r="L303" s="4">
        <f>FastenersPriceList345[[#This Row],[Rate / PER kg (₹)]]*FastenersPriceList345[[#This Row],[Quantity (kg)]]</f>
        <v>7900</v>
      </c>
      <c r="M303" s="4">
        <f>FastenersPriceList345[[#This Row],[SINGLE PC. WT.]]*FastenersPriceList345[[#This Row],[Rate / PER kg (₹)]]</f>
        <v>205.874</v>
      </c>
    </row>
    <row r="304" spans="1:13" ht="22.05" customHeight="1" x14ac:dyDescent="0.3">
      <c r="A304" s="2" t="s">
        <v>2477</v>
      </c>
      <c r="B304" s="12" t="s">
        <v>8</v>
      </c>
      <c r="C304" s="12">
        <v>12.9</v>
      </c>
      <c r="D304" s="2">
        <v>1373</v>
      </c>
      <c r="E304" s="2">
        <f>FastenersPriceList345[[#This Row],[1000 PCS/WT.]]/1000</f>
        <v>1.373</v>
      </c>
      <c r="F304" s="2" t="s">
        <v>765</v>
      </c>
      <c r="G304" s="6" t="s">
        <v>1755</v>
      </c>
      <c r="H304" s="70">
        <v>50</v>
      </c>
      <c r="I304" s="72">
        <f>FastenersPriceList345[[#This Row],[Quantity (kg)]]/FastenersPriceList345[[#This Row],[SINGLE PC. WT.]]</f>
        <v>36.416605972323381</v>
      </c>
      <c r="J304" s="3">
        <v>158</v>
      </c>
      <c r="K304" s="3">
        <f>FastenersPriceList345[[#This Row],[1000 PCS/WT.]]*FastenersPriceList345[[#This Row],[Rate / PER kg (₹)]]</f>
        <v>216934</v>
      </c>
      <c r="L304" s="4">
        <f>FastenersPriceList345[[#This Row],[Rate / PER kg (₹)]]*FastenersPriceList345[[#This Row],[Quantity (kg)]]</f>
        <v>7900</v>
      </c>
      <c r="M304" s="4">
        <f>FastenersPriceList345[[#This Row],[SINGLE PC. WT.]]*FastenersPriceList345[[#This Row],[Rate / PER kg (₹)]]</f>
        <v>216.934</v>
      </c>
    </row>
    <row r="305" spans="1:13" ht="22.05" customHeight="1" x14ac:dyDescent="0.3">
      <c r="A305" s="2" t="s">
        <v>2478</v>
      </c>
      <c r="B305" s="12" t="s">
        <v>8</v>
      </c>
      <c r="C305" s="12">
        <v>12.9</v>
      </c>
      <c r="D305" s="2">
        <v>1443</v>
      </c>
      <c r="E305" s="2">
        <f>FastenersPriceList345[[#This Row],[1000 PCS/WT.]]/1000</f>
        <v>1.4430000000000001</v>
      </c>
      <c r="F305" s="2" t="s">
        <v>766</v>
      </c>
      <c r="G305" s="6" t="s">
        <v>1755</v>
      </c>
      <c r="H305" s="70">
        <v>50</v>
      </c>
      <c r="I305" s="72">
        <f>FastenersPriceList345[[#This Row],[Quantity (kg)]]/FastenersPriceList345[[#This Row],[SINGLE PC. WT.]]</f>
        <v>34.650034650034648</v>
      </c>
      <c r="J305" s="3">
        <v>158</v>
      </c>
      <c r="K305" s="3">
        <f>FastenersPriceList345[[#This Row],[1000 PCS/WT.]]*FastenersPriceList345[[#This Row],[Rate / PER kg (₹)]]</f>
        <v>227994</v>
      </c>
      <c r="L305" s="4">
        <f>FastenersPriceList345[[#This Row],[Rate / PER kg (₹)]]*FastenersPriceList345[[#This Row],[Quantity (kg)]]</f>
        <v>7900</v>
      </c>
      <c r="M305" s="4">
        <f>FastenersPriceList345[[#This Row],[SINGLE PC. WT.]]*FastenersPriceList345[[#This Row],[Rate / PER kg (₹)]]</f>
        <v>227.994</v>
      </c>
    </row>
    <row r="306" spans="1:13" ht="22.05" customHeight="1" x14ac:dyDescent="0.3">
      <c r="A306" s="2" t="s">
        <v>2479</v>
      </c>
      <c r="B306" s="12" t="s">
        <v>8</v>
      </c>
      <c r="C306" s="12">
        <v>12.9</v>
      </c>
      <c r="D306" s="2">
        <v>1513</v>
      </c>
      <c r="E306" s="2">
        <f>FastenersPriceList345[[#This Row],[1000 PCS/WT.]]/1000</f>
        <v>1.5129999999999999</v>
      </c>
      <c r="F306" s="2" t="s">
        <v>767</v>
      </c>
      <c r="G306" s="6" t="s">
        <v>1755</v>
      </c>
      <c r="H306" s="70">
        <v>50</v>
      </c>
      <c r="I306" s="72">
        <f>FastenersPriceList345[[#This Row],[Quantity (kg)]]/FastenersPriceList345[[#This Row],[SINGLE PC. WT.]]</f>
        <v>33.046926635822871</v>
      </c>
      <c r="J306" s="3">
        <v>158</v>
      </c>
      <c r="K306" s="3">
        <f>FastenersPriceList345[[#This Row],[1000 PCS/WT.]]*FastenersPriceList345[[#This Row],[Rate / PER kg (₹)]]</f>
        <v>239054</v>
      </c>
      <c r="L306" s="4">
        <f>FastenersPriceList345[[#This Row],[Rate / PER kg (₹)]]*FastenersPriceList345[[#This Row],[Quantity (kg)]]</f>
        <v>7900</v>
      </c>
      <c r="M306" s="4">
        <f>FastenersPriceList345[[#This Row],[SINGLE PC. WT.]]*FastenersPriceList345[[#This Row],[Rate / PER kg (₹)]]</f>
        <v>239.05399999999997</v>
      </c>
    </row>
    <row r="307" spans="1:13" ht="22.05" customHeight="1" x14ac:dyDescent="0.3">
      <c r="A307" s="2" t="s">
        <v>2480</v>
      </c>
      <c r="B307" s="12" t="s">
        <v>8</v>
      </c>
      <c r="C307" s="12">
        <v>12.9</v>
      </c>
      <c r="D307" s="2">
        <v>1583</v>
      </c>
      <c r="E307" s="2">
        <f>FastenersPriceList345[[#This Row],[1000 PCS/WT.]]/1000</f>
        <v>1.583</v>
      </c>
      <c r="F307" s="2" t="s">
        <v>768</v>
      </c>
      <c r="G307" s="6" t="s">
        <v>1755</v>
      </c>
      <c r="H307" s="70">
        <v>50</v>
      </c>
      <c r="I307" s="72">
        <f>FastenersPriceList345[[#This Row],[Quantity (kg)]]/FastenersPriceList345[[#This Row],[SINGLE PC. WT.]]</f>
        <v>31.585596967782692</v>
      </c>
      <c r="J307" s="3">
        <v>158</v>
      </c>
      <c r="K307" s="3">
        <f>FastenersPriceList345[[#This Row],[1000 PCS/WT.]]*FastenersPriceList345[[#This Row],[Rate / PER kg (₹)]]</f>
        <v>250114</v>
      </c>
      <c r="L307" s="4">
        <f>FastenersPriceList345[[#This Row],[Rate / PER kg (₹)]]*FastenersPriceList345[[#This Row],[Quantity (kg)]]</f>
        <v>7900</v>
      </c>
      <c r="M307" s="4">
        <f>FastenersPriceList345[[#This Row],[SINGLE PC. WT.]]*FastenersPriceList345[[#This Row],[Rate / PER kg (₹)]]</f>
        <v>250.114</v>
      </c>
    </row>
    <row r="308" spans="1:13" ht="22.05" customHeight="1" x14ac:dyDescent="0.3">
      <c r="A308" s="2" t="s">
        <v>2481</v>
      </c>
      <c r="B308" s="12" t="s">
        <v>8</v>
      </c>
      <c r="C308" s="12">
        <v>12.9</v>
      </c>
      <c r="D308" s="2">
        <v>1653</v>
      </c>
      <c r="E308" s="2">
        <f>FastenersPriceList345[[#This Row],[1000 PCS/WT.]]/1000</f>
        <v>1.653</v>
      </c>
      <c r="F308" s="2" t="s">
        <v>769</v>
      </c>
      <c r="G308" s="6" t="s">
        <v>1755</v>
      </c>
      <c r="H308" s="70">
        <v>50</v>
      </c>
      <c r="I308" s="72">
        <f>FastenersPriceList345[[#This Row],[Quantity (kg)]]/FastenersPriceList345[[#This Row],[SINGLE PC. WT.]]</f>
        <v>30.248033877797944</v>
      </c>
      <c r="J308" s="3">
        <v>158</v>
      </c>
      <c r="K308" s="3">
        <f>FastenersPriceList345[[#This Row],[1000 PCS/WT.]]*FastenersPriceList345[[#This Row],[Rate / PER kg (₹)]]</f>
        <v>261174</v>
      </c>
      <c r="L308" s="4">
        <f>FastenersPriceList345[[#This Row],[Rate / PER kg (₹)]]*FastenersPriceList345[[#This Row],[Quantity (kg)]]</f>
        <v>7900</v>
      </c>
      <c r="M308" s="4">
        <f>FastenersPriceList345[[#This Row],[SINGLE PC. WT.]]*FastenersPriceList345[[#This Row],[Rate / PER kg (₹)]]</f>
        <v>261.17399999999998</v>
      </c>
    </row>
    <row r="309" spans="1:13" ht="22.05" customHeight="1" x14ac:dyDescent="0.3">
      <c r="A309" s="2" t="s">
        <v>2482</v>
      </c>
      <c r="B309" s="12" t="s">
        <v>8</v>
      </c>
      <c r="C309" s="12">
        <v>12.9</v>
      </c>
      <c r="D309" s="2">
        <v>1723</v>
      </c>
      <c r="E309" s="2">
        <f>FastenersPriceList345[[#This Row],[1000 PCS/WT.]]/1000</f>
        <v>1.7230000000000001</v>
      </c>
      <c r="F309" s="2" t="s">
        <v>770</v>
      </c>
      <c r="G309" s="6" t="s">
        <v>1755</v>
      </c>
      <c r="H309" s="70">
        <v>50</v>
      </c>
      <c r="I309" s="72">
        <f>FastenersPriceList345[[#This Row],[Quantity (kg)]]/FastenersPriceList345[[#This Row],[SINGLE PC. WT.]]</f>
        <v>29.019152640742888</v>
      </c>
      <c r="J309" s="3">
        <v>155</v>
      </c>
      <c r="K309" s="3">
        <f>FastenersPriceList345[[#This Row],[1000 PCS/WT.]]*FastenersPriceList345[[#This Row],[Rate / PER kg (₹)]]</f>
        <v>267065</v>
      </c>
      <c r="L309" s="4">
        <f>FastenersPriceList345[[#This Row],[Rate / PER kg (₹)]]*FastenersPriceList345[[#This Row],[Quantity (kg)]]</f>
        <v>7750</v>
      </c>
      <c r="M309" s="4">
        <f>FastenersPriceList345[[#This Row],[SINGLE PC. WT.]]*FastenersPriceList345[[#This Row],[Rate / PER kg (₹)]]</f>
        <v>267.065</v>
      </c>
    </row>
    <row r="310" spans="1:13" ht="22.05" customHeight="1" x14ac:dyDescent="0.3">
      <c r="A310" s="2" t="s">
        <v>2483</v>
      </c>
      <c r="B310" s="12" t="s">
        <v>8</v>
      </c>
      <c r="C310" s="12">
        <v>12.9</v>
      </c>
      <c r="D310" s="2">
        <v>1793</v>
      </c>
      <c r="E310" s="2">
        <f>FastenersPriceList345[[#This Row],[1000 PCS/WT.]]/1000</f>
        <v>1.7929999999999999</v>
      </c>
      <c r="F310" s="2" t="s">
        <v>771</v>
      </c>
      <c r="G310" s="6" t="s">
        <v>1755</v>
      </c>
      <c r="H310" s="70">
        <v>50</v>
      </c>
      <c r="I310" s="72">
        <f>FastenersPriceList345[[#This Row],[Quantity (kg)]]/FastenersPriceList345[[#This Row],[SINGLE PC. WT.]]</f>
        <v>27.886224205242613</v>
      </c>
      <c r="J310" s="3">
        <v>155</v>
      </c>
      <c r="K310" s="3">
        <f>FastenersPriceList345[[#This Row],[1000 PCS/WT.]]*FastenersPriceList345[[#This Row],[Rate / PER kg (₹)]]</f>
        <v>277915</v>
      </c>
      <c r="L310" s="4">
        <f>FastenersPriceList345[[#This Row],[Rate / PER kg (₹)]]*FastenersPriceList345[[#This Row],[Quantity (kg)]]</f>
        <v>7750</v>
      </c>
      <c r="M310" s="4">
        <f>FastenersPriceList345[[#This Row],[SINGLE PC. WT.]]*FastenersPriceList345[[#This Row],[Rate / PER kg (₹)]]</f>
        <v>277.91499999999996</v>
      </c>
    </row>
    <row r="311" spans="1:13" ht="22.05" customHeight="1" x14ac:dyDescent="0.3">
      <c r="A311" s="2" t="s">
        <v>2484</v>
      </c>
      <c r="B311" s="12" t="s">
        <v>8</v>
      </c>
      <c r="C311" s="12">
        <v>12.9</v>
      </c>
      <c r="D311" s="2">
        <v>1863</v>
      </c>
      <c r="E311" s="2">
        <f>FastenersPriceList345[[#This Row],[1000 PCS/WT.]]/1000</f>
        <v>1.863</v>
      </c>
      <c r="F311" s="2" t="s">
        <v>772</v>
      </c>
      <c r="G311" s="6" t="s">
        <v>1755</v>
      </c>
      <c r="H311" s="70">
        <v>50</v>
      </c>
      <c r="I311" s="72">
        <f>FastenersPriceList345[[#This Row],[Quantity (kg)]]/FastenersPriceList345[[#This Row],[SINGLE PC. WT.]]</f>
        <v>26.838432635534083</v>
      </c>
      <c r="J311" s="3">
        <v>155</v>
      </c>
      <c r="K311" s="3">
        <f>FastenersPriceList345[[#This Row],[1000 PCS/WT.]]*FastenersPriceList345[[#This Row],[Rate / PER kg (₹)]]</f>
        <v>288765</v>
      </c>
      <c r="L311" s="4">
        <f>FastenersPriceList345[[#This Row],[Rate / PER kg (₹)]]*FastenersPriceList345[[#This Row],[Quantity (kg)]]</f>
        <v>7750</v>
      </c>
      <c r="M311" s="4">
        <f>FastenersPriceList345[[#This Row],[SINGLE PC. WT.]]*FastenersPriceList345[[#This Row],[Rate / PER kg (₹)]]</f>
        <v>288.76499999999999</v>
      </c>
    </row>
    <row r="312" spans="1:13" ht="22.05" customHeight="1" x14ac:dyDescent="0.3">
      <c r="A312" s="2" t="s">
        <v>2485</v>
      </c>
      <c r="B312" s="12" t="s">
        <v>8</v>
      </c>
      <c r="C312" s="12">
        <v>12.9</v>
      </c>
      <c r="D312" s="2">
        <v>1933</v>
      </c>
      <c r="E312" s="2">
        <f>FastenersPriceList345[[#This Row],[1000 PCS/WT.]]/1000</f>
        <v>1.9330000000000001</v>
      </c>
      <c r="F312" s="2" t="s">
        <v>773</v>
      </c>
      <c r="G312" s="6" t="s">
        <v>1755</v>
      </c>
      <c r="H312" s="70">
        <v>50</v>
      </c>
      <c r="I312" s="72">
        <f>FastenersPriceList345[[#This Row],[Quantity (kg)]]/FastenersPriceList345[[#This Row],[SINGLE PC. WT.]]</f>
        <v>25.866528711846868</v>
      </c>
      <c r="J312" s="3">
        <v>155</v>
      </c>
      <c r="K312" s="3">
        <f>FastenersPriceList345[[#This Row],[1000 PCS/WT.]]*FastenersPriceList345[[#This Row],[Rate / PER kg (₹)]]</f>
        <v>299615</v>
      </c>
      <c r="L312" s="4">
        <f>FastenersPriceList345[[#This Row],[Rate / PER kg (₹)]]*FastenersPriceList345[[#This Row],[Quantity (kg)]]</f>
        <v>7750</v>
      </c>
      <c r="M312" s="4">
        <f>FastenersPriceList345[[#This Row],[SINGLE PC. WT.]]*FastenersPriceList345[[#This Row],[Rate / PER kg (₹)]]</f>
        <v>299.61500000000001</v>
      </c>
    </row>
    <row r="313" spans="1:13" ht="22.05" customHeight="1" x14ac:dyDescent="0.3">
      <c r="A313" s="2" t="s">
        <v>2486</v>
      </c>
      <c r="B313" s="12" t="s">
        <v>8</v>
      </c>
      <c r="C313" s="12">
        <v>12.9</v>
      </c>
      <c r="D313" s="2">
        <v>2003</v>
      </c>
      <c r="E313" s="2">
        <f>FastenersPriceList345[[#This Row],[1000 PCS/WT.]]/1000</f>
        <v>2.0030000000000001</v>
      </c>
      <c r="F313" s="2" t="s">
        <v>774</v>
      </c>
      <c r="G313" s="6" t="s">
        <v>1755</v>
      </c>
      <c r="H313" s="70">
        <v>50</v>
      </c>
      <c r="I313" s="72">
        <f>FastenersPriceList345[[#This Row],[Quantity (kg)]]/FastenersPriceList345[[#This Row],[SINGLE PC. WT.]]</f>
        <v>24.962556165751373</v>
      </c>
      <c r="J313" s="3">
        <v>155</v>
      </c>
      <c r="K313" s="3">
        <f>FastenersPriceList345[[#This Row],[1000 PCS/WT.]]*FastenersPriceList345[[#This Row],[Rate / PER kg (₹)]]</f>
        <v>310465</v>
      </c>
      <c r="L313" s="4">
        <f>FastenersPriceList345[[#This Row],[Rate / PER kg (₹)]]*FastenersPriceList345[[#This Row],[Quantity (kg)]]</f>
        <v>7750</v>
      </c>
      <c r="M313" s="4">
        <f>FastenersPriceList345[[#This Row],[SINGLE PC. WT.]]*FastenersPriceList345[[#This Row],[Rate / PER kg (₹)]]</f>
        <v>310.46500000000003</v>
      </c>
    </row>
    <row r="314" spans="1:13" ht="22.05" customHeight="1" x14ac:dyDescent="0.3">
      <c r="A314" s="2" t="s">
        <v>2487</v>
      </c>
      <c r="B314" s="12" t="s">
        <v>8</v>
      </c>
      <c r="C314" s="12">
        <v>12.9</v>
      </c>
      <c r="D314" s="2">
        <v>2073</v>
      </c>
      <c r="E314" s="2">
        <f>FastenersPriceList345[[#This Row],[1000 PCS/WT.]]/1000</f>
        <v>2.073</v>
      </c>
      <c r="F314" s="2" t="s">
        <v>775</v>
      </c>
      <c r="G314" s="6" t="s">
        <v>1755</v>
      </c>
      <c r="H314" s="70">
        <v>50</v>
      </c>
      <c r="I314" s="72">
        <f>FastenersPriceList345[[#This Row],[Quantity (kg)]]/FastenersPriceList345[[#This Row],[SINGLE PC. WT.]]</f>
        <v>24.119633381572601</v>
      </c>
      <c r="J314" s="3">
        <v>155</v>
      </c>
      <c r="K314" s="3">
        <f>FastenersPriceList345[[#This Row],[1000 PCS/WT.]]*FastenersPriceList345[[#This Row],[Rate / PER kg (₹)]]</f>
        <v>321315</v>
      </c>
      <c r="L314" s="4">
        <f>FastenersPriceList345[[#This Row],[Rate / PER kg (₹)]]*FastenersPriceList345[[#This Row],[Quantity (kg)]]</f>
        <v>7750</v>
      </c>
      <c r="M314" s="4">
        <f>FastenersPriceList345[[#This Row],[SINGLE PC. WT.]]*FastenersPriceList345[[#This Row],[Rate / PER kg (₹)]]</f>
        <v>321.315</v>
      </c>
    </row>
    <row r="315" spans="1:13" ht="22.05" customHeight="1" x14ac:dyDescent="0.3">
      <c r="A315" s="2" t="s">
        <v>2488</v>
      </c>
      <c r="B315" s="12" t="s">
        <v>8</v>
      </c>
      <c r="C315" s="12">
        <v>12.9</v>
      </c>
      <c r="D315" s="2">
        <v>2143</v>
      </c>
      <c r="E315" s="2">
        <f>FastenersPriceList345[[#This Row],[1000 PCS/WT.]]/1000</f>
        <v>2.1429999999999998</v>
      </c>
      <c r="F315" s="2" t="s">
        <v>776</v>
      </c>
      <c r="G315" s="6" t="s">
        <v>1755</v>
      </c>
      <c r="H315" s="70">
        <v>50</v>
      </c>
      <c r="I315" s="72">
        <f>FastenersPriceList345[[#This Row],[Quantity (kg)]]/FastenersPriceList345[[#This Row],[SINGLE PC. WT.]]</f>
        <v>23.331777881474572</v>
      </c>
      <c r="J315" s="3">
        <v>155</v>
      </c>
      <c r="K315" s="3">
        <f>FastenersPriceList345[[#This Row],[1000 PCS/WT.]]*FastenersPriceList345[[#This Row],[Rate / PER kg (₹)]]</f>
        <v>332165</v>
      </c>
      <c r="L315" s="4">
        <f>FastenersPriceList345[[#This Row],[Rate / PER kg (₹)]]*FastenersPriceList345[[#This Row],[Quantity (kg)]]</f>
        <v>7750</v>
      </c>
      <c r="M315" s="4">
        <f>FastenersPriceList345[[#This Row],[SINGLE PC. WT.]]*FastenersPriceList345[[#This Row],[Rate / PER kg (₹)]]</f>
        <v>332.16499999999996</v>
      </c>
    </row>
    <row r="316" spans="1:13" ht="22.05" customHeight="1" x14ac:dyDescent="0.3">
      <c r="A316" s="2" t="s">
        <v>2489</v>
      </c>
      <c r="B316" s="12" t="s">
        <v>8</v>
      </c>
      <c r="C316" s="12">
        <v>12.9</v>
      </c>
      <c r="D316" s="2">
        <v>2213</v>
      </c>
      <c r="E316" s="2">
        <f>FastenersPriceList345[[#This Row],[1000 PCS/WT.]]/1000</f>
        <v>2.2130000000000001</v>
      </c>
      <c r="F316" s="2" t="s">
        <v>777</v>
      </c>
      <c r="G316" s="6" t="s">
        <v>1755</v>
      </c>
      <c r="H316" s="70">
        <v>50</v>
      </c>
      <c r="I316" s="72">
        <f>FastenersPriceList345[[#This Row],[Quantity (kg)]]/FastenersPriceList345[[#This Row],[SINGLE PC. WT.]]</f>
        <v>22.593764121102573</v>
      </c>
      <c r="J316" s="3">
        <v>155</v>
      </c>
      <c r="K316" s="3">
        <f>FastenersPriceList345[[#This Row],[1000 PCS/WT.]]*FastenersPriceList345[[#This Row],[Rate / PER kg (₹)]]</f>
        <v>343015</v>
      </c>
      <c r="L316" s="4">
        <f>FastenersPriceList345[[#This Row],[Rate / PER kg (₹)]]*FastenersPriceList345[[#This Row],[Quantity (kg)]]</f>
        <v>7750</v>
      </c>
      <c r="M316" s="4">
        <f>FastenersPriceList345[[#This Row],[SINGLE PC. WT.]]*FastenersPriceList345[[#This Row],[Rate / PER kg (₹)]]</f>
        <v>343.01499999999999</v>
      </c>
    </row>
    <row r="317" spans="1:13" ht="22.05" customHeight="1" x14ac:dyDescent="0.3">
      <c r="A317" s="2" t="s">
        <v>2490</v>
      </c>
      <c r="B317" s="12" t="s">
        <v>8</v>
      </c>
      <c r="C317" s="12">
        <v>12.9</v>
      </c>
      <c r="D317" s="2">
        <v>2283</v>
      </c>
      <c r="E317" s="2">
        <f>FastenersPriceList345[[#This Row],[1000 PCS/WT.]]/1000</f>
        <v>2.2829999999999999</v>
      </c>
      <c r="F317" s="2" t="s">
        <v>778</v>
      </c>
      <c r="G317" s="6" t="s">
        <v>1755</v>
      </c>
      <c r="H317" s="70">
        <v>50</v>
      </c>
      <c r="I317" s="72">
        <f>FastenersPriceList345[[#This Row],[Quantity (kg)]]/FastenersPriceList345[[#This Row],[SINGLE PC. WT.]]</f>
        <v>21.901007446342533</v>
      </c>
      <c r="J317" s="3">
        <v>155</v>
      </c>
      <c r="K317" s="3">
        <f>FastenersPriceList345[[#This Row],[1000 PCS/WT.]]*FastenersPriceList345[[#This Row],[Rate / PER kg (₹)]]</f>
        <v>353865</v>
      </c>
      <c r="L317" s="4">
        <f>FastenersPriceList345[[#This Row],[Rate / PER kg (₹)]]*FastenersPriceList345[[#This Row],[Quantity (kg)]]</f>
        <v>7750</v>
      </c>
      <c r="M317" s="4">
        <f>FastenersPriceList345[[#This Row],[SINGLE PC. WT.]]*FastenersPriceList345[[#This Row],[Rate / PER kg (₹)]]</f>
        <v>353.86500000000001</v>
      </c>
    </row>
    <row r="318" spans="1:13" ht="22.05" customHeight="1" x14ac:dyDescent="0.3">
      <c r="A318" s="2" t="s">
        <v>2491</v>
      </c>
      <c r="B318" s="12" t="s">
        <v>8</v>
      </c>
      <c r="C318" s="12">
        <v>12.9</v>
      </c>
      <c r="D318" s="2">
        <v>2353</v>
      </c>
      <c r="E318" s="2">
        <f>FastenersPriceList345[[#This Row],[1000 PCS/WT.]]/1000</f>
        <v>2.3530000000000002</v>
      </c>
      <c r="F318" s="2" t="s">
        <v>779</v>
      </c>
      <c r="G318" s="6" t="s">
        <v>1755</v>
      </c>
      <c r="H318" s="70">
        <v>50</v>
      </c>
      <c r="I318" s="72">
        <f>FastenersPriceList345[[#This Row],[Quantity (kg)]]/FastenersPriceList345[[#This Row],[SINGLE PC. WT.]]</f>
        <v>21.249468763280916</v>
      </c>
      <c r="J318" s="3">
        <v>155</v>
      </c>
      <c r="K318" s="3">
        <f>FastenersPriceList345[[#This Row],[1000 PCS/WT.]]*FastenersPriceList345[[#This Row],[Rate / PER kg (₹)]]</f>
        <v>364715</v>
      </c>
      <c r="L318" s="4">
        <f>FastenersPriceList345[[#This Row],[Rate / PER kg (₹)]]*FastenersPriceList345[[#This Row],[Quantity (kg)]]</f>
        <v>7750</v>
      </c>
      <c r="M318" s="4">
        <f>FastenersPriceList345[[#This Row],[SINGLE PC. WT.]]*FastenersPriceList345[[#This Row],[Rate / PER kg (₹)]]</f>
        <v>364.71500000000003</v>
      </c>
    </row>
    <row r="319" spans="1:13" ht="22.05" customHeight="1" x14ac:dyDescent="0.3">
      <c r="A319" s="2" t="s">
        <v>2492</v>
      </c>
      <c r="B319" s="12" t="s">
        <v>8</v>
      </c>
      <c r="C319" s="12">
        <v>12.9</v>
      </c>
      <c r="D319" s="2">
        <v>795</v>
      </c>
      <c r="E319" s="2">
        <f>FastenersPriceList345[[#This Row],[1000 PCS/WT.]]/1000</f>
        <v>0.79500000000000004</v>
      </c>
      <c r="F319" s="2" t="s">
        <v>780</v>
      </c>
      <c r="G319" s="6" t="s">
        <v>1755</v>
      </c>
      <c r="H319" s="70">
        <v>50</v>
      </c>
      <c r="I319" s="72">
        <f>FastenersPriceList345[[#This Row],[Quantity (kg)]]/FastenersPriceList345[[#This Row],[SINGLE PC. WT.]]</f>
        <v>62.893081761006286</v>
      </c>
      <c r="J319" s="3">
        <v>158</v>
      </c>
      <c r="K319" s="3">
        <f>FastenersPriceList345[[#This Row],[1000 PCS/WT.]]*FastenersPriceList345[[#This Row],[Rate / PER kg (₹)]]</f>
        <v>125610</v>
      </c>
      <c r="L319" s="4">
        <f>FastenersPriceList345[[#This Row],[Rate / PER kg (₹)]]*FastenersPriceList345[[#This Row],[Quantity (kg)]]</f>
        <v>7900</v>
      </c>
      <c r="M319" s="4">
        <f>FastenersPriceList345[[#This Row],[SINGLE PC. WT.]]*FastenersPriceList345[[#This Row],[Rate / PER kg (₹)]]</f>
        <v>125.61</v>
      </c>
    </row>
    <row r="320" spans="1:13" ht="22.05" customHeight="1" x14ac:dyDescent="0.3">
      <c r="A320" s="2" t="s">
        <v>2493</v>
      </c>
      <c r="B320" s="12" t="s">
        <v>8</v>
      </c>
      <c r="C320" s="12">
        <v>12.9</v>
      </c>
      <c r="D320" s="2">
        <v>835</v>
      </c>
      <c r="E320" s="2">
        <f>FastenersPriceList345[[#This Row],[1000 PCS/WT.]]/1000</f>
        <v>0.83499999999999996</v>
      </c>
      <c r="F320" s="2" t="s">
        <v>781</v>
      </c>
      <c r="G320" s="6" t="s">
        <v>1755</v>
      </c>
      <c r="H320" s="70">
        <v>50</v>
      </c>
      <c r="I320" s="72">
        <f>FastenersPriceList345[[#This Row],[Quantity (kg)]]/FastenersPriceList345[[#This Row],[SINGLE PC. WT.]]</f>
        <v>59.880239520958085</v>
      </c>
      <c r="J320" s="3">
        <v>158</v>
      </c>
      <c r="K320" s="3">
        <f>FastenersPriceList345[[#This Row],[1000 PCS/WT.]]*FastenersPriceList345[[#This Row],[Rate / PER kg (₹)]]</f>
        <v>131930</v>
      </c>
      <c r="L320" s="4">
        <f>FastenersPriceList345[[#This Row],[Rate / PER kg (₹)]]*FastenersPriceList345[[#This Row],[Quantity (kg)]]</f>
        <v>7900</v>
      </c>
      <c r="M320" s="4">
        <f>FastenersPriceList345[[#This Row],[SINGLE PC. WT.]]*FastenersPriceList345[[#This Row],[Rate / PER kg (₹)]]</f>
        <v>131.93</v>
      </c>
    </row>
    <row r="321" spans="1:13" ht="22.05" customHeight="1" x14ac:dyDescent="0.3">
      <c r="A321" s="2" t="s">
        <v>2494</v>
      </c>
      <c r="B321" s="12" t="s">
        <v>8</v>
      </c>
      <c r="C321" s="12">
        <v>12.9</v>
      </c>
      <c r="D321" s="2">
        <v>875</v>
      </c>
      <c r="E321" s="2">
        <f>FastenersPriceList345[[#This Row],[1000 PCS/WT.]]/1000</f>
        <v>0.875</v>
      </c>
      <c r="F321" s="2" t="s">
        <v>782</v>
      </c>
      <c r="G321" s="6" t="s">
        <v>1755</v>
      </c>
      <c r="H321" s="70">
        <v>50</v>
      </c>
      <c r="I321" s="72">
        <f>FastenersPriceList345[[#This Row],[Quantity (kg)]]/FastenersPriceList345[[#This Row],[SINGLE PC. WT.]]</f>
        <v>57.142857142857146</v>
      </c>
      <c r="J321" s="3">
        <v>158</v>
      </c>
      <c r="K321" s="3">
        <f>FastenersPriceList345[[#This Row],[1000 PCS/WT.]]*FastenersPriceList345[[#This Row],[Rate / PER kg (₹)]]</f>
        <v>138250</v>
      </c>
      <c r="L321" s="4">
        <f>FastenersPriceList345[[#This Row],[Rate / PER kg (₹)]]*FastenersPriceList345[[#This Row],[Quantity (kg)]]</f>
        <v>7900</v>
      </c>
      <c r="M321" s="4">
        <f>FastenersPriceList345[[#This Row],[SINGLE PC. WT.]]*FastenersPriceList345[[#This Row],[Rate / PER kg (₹)]]</f>
        <v>138.25</v>
      </c>
    </row>
    <row r="322" spans="1:13" ht="22.05" customHeight="1" x14ac:dyDescent="0.3">
      <c r="A322" s="2" t="s">
        <v>2495</v>
      </c>
      <c r="B322" s="12" t="s">
        <v>8</v>
      </c>
      <c r="C322" s="12">
        <v>12.9</v>
      </c>
      <c r="D322" s="2">
        <v>915</v>
      </c>
      <c r="E322" s="2">
        <f>FastenersPriceList345[[#This Row],[1000 PCS/WT.]]/1000</f>
        <v>0.91500000000000004</v>
      </c>
      <c r="F322" s="2" t="s">
        <v>783</v>
      </c>
      <c r="G322" s="6" t="s">
        <v>1755</v>
      </c>
      <c r="H322" s="70">
        <v>50</v>
      </c>
      <c r="I322" s="72">
        <f>FastenersPriceList345[[#This Row],[Quantity (kg)]]/FastenersPriceList345[[#This Row],[SINGLE PC. WT.]]</f>
        <v>54.644808743169399</v>
      </c>
      <c r="J322" s="3">
        <v>158</v>
      </c>
      <c r="K322" s="3">
        <f>FastenersPriceList345[[#This Row],[1000 PCS/WT.]]*FastenersPriceList345[[#This Row],[Rate / PER kg (₹)]]</f>
        <v>144570</v>
      </c>
      <c r="L322" s="4">
        <f>FastenersPriceList345[[#This Row],[Rate / PER kg (₹)]]*FastenersPriceList345[[#This Row],[Quantity (kg)]]</f>
        <v>7900</v>
      </c>
      <c r="M322" s="4">
        <f>FastenersPriceList345[[#This Row],[SINGLE PC. WT.]]*FastenersPriceList345[[#This Row],[Rate / PER kg (₹)]]</f>
        <v>144.57</v>
      </c>
    </row>
    <row r="323" spans="1:13" ht="22.05" customHeight="1" x14ac:dyDescent="0.3">
      <c r="A323" s="2" t="s">
        <v>2496</v>
      </c>
      <c r="B323" s="12" t="s">
        <v>8</v>
      </c>
      <c r="C323" s="12">
        <v>12.9</v>
      </c>
      <c r="D323" s="2">
        <v>955</v>
      </c>
      <c r="E323" s="2">
        <f>FastenersPriceList345[[#This Row],[1000 PCS/WT.]]/1000</f>
        <v>0.95499999999999996</v>
      </c>
      <c r="F323" s="2" t="s">
        <v>784</v>
      </c>
      <c r="G323" s="6" t="s">
        <v>1755</v>
      </c>
      <c r="H323" s="70">
        <v>50</v>
      </c>
      <c r="I323" s="72">
        <f>FastenersPriceList345[[#This Row],[Quantity (kg)]]/FastenersPriceList345[[#This Row],[SINGLE PC. WT.]]</f>
        <v>52.356020942408378</v>
      </c>
      <c r="J323" s="3">
        <v>158</v>
      </c>
      <c r="K323" s="3">
        <f>FastenersPriceList345[[#This Row],[1000 PCS/WT.]]*FastenersPriceList345[[#This Row],[Rate / PER kg (₹)]]</f>
        <v>150890</v>
      </c>
      <c r="L323" s="4">
        <f>FastenersPriceList345[[#This Row],[Rate / PER kg (₹)]]*FastenersPriceList345[[#This Row],[Quantity (kg)]]</f>
        <v>7900</v>
      </c>
      <c r="M323" s="4">
        <f>FastenersPriceList345[[#This Row],[SINGLE PC. WT.]]*FastenersPriceList345[[#This Row],[Rate / PER kg (₹)]]</f>
        <v>150.88999999999999</v>
      </c>
    </row>
    <row r="324" spans="1:13" ht="22.05" customHeight="1" x14ac:dyDescent="0.3">
      <c r="A324" s="2" t="s">
        <v>2497</v>
      </c>
      <c r="B324" s="12" t="s">
        <v>8</v>
      </c>
      <c r="C324" s="12">
        <v>12.9</v>
      </c>
      <c r="D324" s="2">
        <v>995</v>
      </c>
      <c r="E324" s="2">
        <f>FastenersPriceList345[[#This Row],[1000 PCS/WT.]]/1000</f>
        <v>0.995</v>
      </c>
      <c r="F324" s="2" t="s">
        <v>785</v>
      </c>
      <c r="G324" s="6" t="s">
        <v>1755</v>
      </c>
      <c r="H324" s="70">
        <v>50</v>
      </c>
      <c r="I324" s="72">
        <f>FastenersPriceList345[[#This Row],[Quantity (kg)]]/FastenersPriceList345[[#This Row],[SINGLE PC. WT.]]</f>
        <v>50.251256281407038</v>
      </c>
      <c r="J324" s="3">
        <v>158</v>
      </c>
      <c r="K324" s="3">
        <f>FastenersPriceList345[[#This Row],[1000 PCS/WT.]]*FastenersPriceList345[[#This Row],[Rate / PER kg (₹)]]</f>
        <v>157210</v>
      </c>
      <c r="L324" s="4">
        <f>FastenersPriceList345[[#This Row],[Rate / PER kg (₹)]]*FastenersPriceList345[[#This Row],[Quantity (kg)]]</f>
        <v>7900</v>
      </c>
      <c r="M324" s="4">
        <f>FastenersPriceList345[[#This Row],[SINGLE PC. WT.]]*FastenersPriceList345[[#This Row],[Rate / PER kg (₹)]]</f>
        <v>157.21</v>
      </c>
    </row>
    <row r="325" spans="1:13" ht="22.05" customHeight="1" x14ac:dyDescent="0.3">
      <c r="A325" s="2" t="s">
        <v>2498</v>
      </c>
      <c r="B325" s="12" t="s">
        <v>8</v>
      </c>
      <c r="C325" s="12">
        <v>12.9</v>
      </c>
      <c r="D325" s="2">
        <v>1035</v>
      </c>
      <c r="E325" s="2">
        <f>FastenersPriceList345[[#This Row],[1000 PCS/WT.]]/1000</f>
        <v>1.0349999999999999</v>
      </c>
      <c r="F325" s="2" t="s">
        <v>786</v>
      </c>
      <c r="G325" s="6" t="s">
        <v>1755</v>
      </c>
      <c r="H325" s="70">
        <v>50</v>
      </c>
      <c r="I325" s="72">
        <f>FastenersPriceList345[[#This Row],[Quantity (kg)]]/FastenersPriceList345[[#This Row],[SINGLE PC. WT.]]</f>
        <v>48.309178743961354</v>
      </c>
      <c r="J325" s="3">
        <v>158</v>
      </c>
      <c r="K325" s="3">
        <f>FastenersPriceList345[[#This Row],[1000 PCS/WT.]]*FastenersPriceList345[[#This Row],[Rate / PER kg (₹)]]</f>
        <v>163530</v>
      </c>
      <c r="L325" s="4">
        <f>FastenersPriceList345[[#This Row],[Rate / PER kg (₹)]]*FastenersPriceList345[[#This Row],[Quantity (kg)]]</f>
        <v>7900</v>
      </c>
      <c r="M325" s="4">
        <f>FastenersPriceList345[[#This Row],[SINGLE PC. WT.]]*FastenersPriceList345[[#This Row],[Rate / PER kg (₹)]]</f>
        <v>163.53</v>
      </c>
    </row>
    <row r="326" spans="1:13" ht="22.05" customHeight="1" x14ac:dyDescent="0.3">
      <c r="A326" s="2" t="s">
        <v>2499</v>
      </c>
      <c r="B326" s="12" t="s">
        <v>8</v>
      </c>
      <c r="C326" s="12">
        <v>12.9</v>
      </c>
      <c r="D326" s="2">
        <v>1075</v>
      </c>
      <c r="E326" s="2">
        <f>FastenersPriceList345[[#This Row],[1000 PCS/WT.]]/1000</f>
        <v>1.075</v>
      </c>
      <c r="F326" s="2" t="s">
        <v>787</v>
      </c>
      <c r="G326" s="6" t="s">
        <v>1755</v>
      </c>
      <c r="H326" s="70">
        <v>50</v>
      </c>
      <c r="I326" s="72">
        <f>FastenersPriceList345[[#This Row],[Quantity (kg)]]/FastenersPriceList345[[#This Row],[SINGLE PC. WT.]]</f>
        <v>46.511627906976749</v>
      </c>
      <c r="J326" s="3">
        <v>158</v>
      </c>
      <c r="K326" s="3">
        <f>FastenersPriceList345[[#This Row],[1000 PCS/WT.]]*FastenersPriceList345[[#This Row],[Rate / PER kg (₹)]]</f>
        <v>169850</v>
      </c>
      <c r="L326" s="4">
        <f>FastenersPriceList345[[#This Row],[Rate / PER kg (₹)]]*FastenersPriceList345[[#This Row],[Quantity (kg)]]</f>
        <v>7900</v>
      </c>
      <c r="M326" s="4">
        <f>FastenersPriceList345[[#This Row],[SINGLE PC. WT.]]*FastenersPriceList345[[#This Row],[Rate / PER kg (₹)]]</f>
        <v>169.85</v>
      </c>
    </row>
    <row r="327" spans="1:13" ht="22.05" customHeight="1" x14ac:dyDescent="0.3">
      <c r="A327" s="2" t="s">
        <v>2500</v>
      </c>
      <c r="B327" s="12" t="s">
        <v>8</v>
      </c>
      <c r="C327" s="12">
        <v>12.9</v>
      </c>
      <c r="D327" s="2">
        <v>1115</v>
      </c>
      <c r="E327" s="2">
        <f>FastenersPriceList345[[#This Row],[1000 PCS/WT.]]/1000</f>
        <v>1.115</v>
      </c>
      <c r="F327" s="2" t="s">
        <v>788</v>
      </c>
      <c r="G327" s="6" t="s">
        <v>1755</v>
      </c>
      <c r="H327" s="70">
        <v>50</v>
      </c>
      <c r="I327" s="72">
        <f>FastenersPriceList345[[#This Row],[Quantity (kg)]]/FastenersPriceList345[[#This Row],[SINGLE PC. WT.]]</f>
        <v>44.843049327354258</v>
      </c>
      <c r="J327" s="3">
        <v>158</v>
      </c>
      <c r="K327" s="3">
        <f>FastenersPriceList345[[#This Row],[1000 PCS/WT.]]*FastenersPriceList345[[#This Row],[Rate / PER kg (₹)]]</f>
        <v>176170</v>
      </c>
      <c r="L327" s="4">
        <f>FastenersPriceList345[[#This Row],[Rate / PER kg (₹)]]*FastenersPriceList345[[#This Row],[Quantity (kg)]]</f>
        <v>7900</v>
      </c>
      <c r="M327" s="4">
        <f>FastenersPriceList345[[#This Row],[SINGLE PC. WT.]]*FastenersPriceList345[[#This Row],[Rate / PER kg (₹)]]</f>
        <v>176.17</v>
      </c>
    </row>
    <row r="328" spans="1:13" ht="22.05" customHeight="1" x14ac:dyDescent="0.3">
      <c r="A328" s="2" t="s">
        <v>2501</v>
      </c>
      <c r="B328" s="12" t="s">
        <v>8</v>
      </c>
      <c r="C328" s="12">
        <v>12.9</v>
      </c>
      <c r="D328" s="2">
        <v>1155</v>
      </c>
      <c r="E328" s="2">
        <f>FastenersPriceList345[[#This Row],[1000 PCS/WT.]]/1000</f>
        <v>1.155</v>
      </c>
      <c r="F328" s="2" t="s">
        <v>789</v>
      </c>
      <c r="G328" s="6" t="s">
        <v>1755</v>
      </c>
      <c r="H328" s="70">
        <v>50</v>
      </c>
      <c r="I328" s="72">
        <f>FastenersPriceList345[[#This Row],[Quantity (kg)]]/FastenersPriceList345[[#This Row],[SINGLE PC. WT.]]</f>
        <v>43.290043290043286</v>
      </c>
      <c r="J328" s="3">
        <v>158</v>
      </c>
      <c r="K328" s="3">
        <f>FastenersPriceList345[[#This Row],[1000 PCS/WT.]]*FastenersPriceList345[[#This Row],[Rate / PER kg (₹)]]</f>
        <v>182490</v>
      </c>
      <c r="L328" s="4">
        <f>FastenersPriceList345[[#This Row],[Rate / PER kg (₹)]]*FastenersPriceList345[[#This Row],[Quantity (kg)]]</f>
        <v>7900</v>
      </c>
      <c r="M328" s="4">
        <f>FastenersPriceList345[[#This Row],[SINGLE PC. WT.]]*FastenersPriceList345[[#This Row],[Rate / PER kg (₹)]]</f>
        <v>182.49</v>
      </c>
    </row>
    <row r="329" spans="1:13" ht="22.05" customHeight="1" x14ac:dyDescent="0.3">
      <c r="A329" s="2" t="s">
        <v>2502</v>
      </c>
      <c r="B329" s="12" t="s">
        <v>8</v>
      </c>
      <c r="C329" s="12">
        <v>12.9</v>
      </c>
      <c r="D329" s="2">
        <v>1195</v>
      </c>
      <c r="E329" s="2">
        <f>FastenersPriceList345[[#This Row],[1000 PCS/WT.]]/1000</f>
        <v>1.1950000000000001</v>
      </c>
      <c r="F329" s="2" t="s">
        <v>790</v>
      </c>
      <c r="G329" s="6" t="s">
        <v>1755</v>
      </c>
      <c r="H329" s="70">
        <v>50</v>
      </c>
      <c r="I329" s="72">
        <f>FastenersPriceList345[[#This Row],[Quantity (kg)]]/FastenersPriceList345[[#This Row],[SINGLE PC. WT.]]</f>
        <v>41.841004184100413</v>
      </c>
      <c r="J329" s="3">
        <v>158</v>
      </c>
      <c r="K329" s="3">
        <f>FastenersPriceList345[[#This Row],[1000 PCS/WT.]]*FastenersPriceList345[[#This Row],[Rate / PER kg (₹)]]</f>
        <v>188810</v>
      </c>
      <c r="L329" s="4">
        <f>FastenersPriceList345[[#This Row],[Rate / PER kg (₹)]]*FastenersPriceList345[[#This Row],[Quantity (kg)]]</f>
        <v>7900</v>
      </c>
      <c r="M329" s="4">
        <f>FastenersPriceList345[[#This Row],[SINGLE PC. WT.]]*FastenersPriceList345[[#This Row],[Rate / PER kg (₹)]]</f>
        <v>188.81</v>
      </c>
    </row>
    <row r="330" spans="1:13" ht="22.05" customHeight="1" x14ac:dyDescent="0.3">
      <c r="A330" s="2" t="s">
        <v>2503</v>
      </c>
      <c r="B330" s="12" t="s">
        <v>8</v>
      </c>
      <c r="C330" s="12">
        <v>12.9</v>
      </c>
      <c r="D330" s="2">
        <v>1250</v>
      </c>
      <c r="E330" s="2">
        <f>FastenersPriceList345[[#This Row],[1000 PCS/WT.]]/1000</f>
        <v>1.25</v>
      </c>
      <c r="F330" s="2" t="s">
        <v>791</v>
      </c>
      <c r="G330" s="6" t="s">
        <v>1755</v>
      </c>
      <c r="H330" s="70">
        <v>50</v>
      </c>
      <c r="I330" s="72">
        <f>FastenersPriceList345[[#This Row],[Quantity (kg)]]/FastenersPriceList345[[#This Row],[SINGLE PC. WT.]]</f>
        <v>40</v>
      </c>
      <c r="J330" s="3">
        <v>158</v>
      </c>
      <c r="K330" s="3">
        <f>FastenersPriceList345[[#This Row],[1000 PCS/WT.]]*FastenersPriceList345[[#This Row],[Rate / PER kg (₹)]]</f>
        <v>197500</v>
      </c>
      <c r="L330" s="4">
        <f>FastenersPriceList345[[#This Row],[Rate / PER kg (₹)]]*FastenersPriceList345[[#This Row],[Quantity (kg)]]</f>
        <v>7900</v>
      </c>
      <c r="M330" s="4">
        <f>FastenersPriceList345[[#This Row],[SINGLE PC. WT.]]*FastenersPriceList345[[#This Row],[Rate / PER kg (₹)]]</f>
        <v>197.5</v>
      </c>
    </row>
    <row r="331" spans="1:13" ht="22.05" customHeight="1" x14ac:dyDescent="0.3">
      <c r="A331" s="2" t="s">
        <v>2504</v>
      </c>
      <c r="B331" s="12" t="s">
        <v>8</v>
      </c>
      <c r="C331" s="12">
        <v>12.9</v>
      </c>
      <c r="D331" s="2">
        <v>1330</v>
      </c>
      <c r="E331" s="2">
        <f>FastenersPriceList345[[#This Row],[1000 PCS/WT.]]/1000</f>
        <v>1.33</v>
      </c>
      <c r="F331" s="2" t="s">
        <v>792</v>
      </c>
      <c r="G331" s="6" t="s">
        <v>1755</v>
      </c>
      <c r="H331" s="70">
        <v>50</v>
      </c>
      <c r="I331" s="72">
        <f>FastenersPriceList345[[#This Row],[Quantity (kg)]]/FastenersPriceList345[[#This Row],[SINGLE PC. WT.]]</f>
        <v>37.593984962406012</v>
      </c>
      <c r="J331" s="3">
        <v>158</v>
      </c>
      <c r="K331" s="3">
        <f>FastenersPriceList345[[#This Row],[1000 PCS/WT.]]*FastenersPriceList345[[#This Row],[Rate / PER kg (₹)]]</f>
        <v>210140</v>
      </c>
      <c r="L331" s="4">
        <f>FastenersPriceList345[[#This Row],[Rate / PER kg (₹)]]*FastenersPriceList345[[#This Row],[Quantity (kg)]]</f>
        <v>7900</v>
      </c>
      <c r="M331" s="4">
        <f>FastenersPriceList345[[#This Row],[SINGLE PC. WT.]]*FastenersPriceList345[[#This Row],[Rate / PER kg (₹)]]</f>
        <v>210.14000000000001</v>
      </c>
    </row>
    <row r="332" spans="1:13" ht="22.05" customHeight="1" x14ac:dyDescent="0.3">
      <c r="A332" s="2" t="s">
        <v>2505</v>
      </c>
      <c r="B332" s="12" t="s">
        <v>8</v>
      </c>
      <c r="C332" s="12">
        <v>12.9</v>
      </c>
      <c r="D332" s="2">
        <v>1410</v>
      </c>
      <c r="E332" s="2">
        <f>FastenersPriceList345[[#This Row],[1000 PCS/WT.]]/1000</f>
        <v>1.41</v>
      </c>
      <c r="F332" s="2" t="s">
        <v>793</v>
      </c>
      <c r="G332" s="6" t="s">
        <v>1755</v>
      </c>
      <c r="H332" s="70">
        <v>50</v>
      </c>
      <c r="I332" s="72">
        <f>FastenersPriceList345[[#This Row],[Quantity (kg)]]/FastenersPriceList345[[#This Row],[SINGLE PC. WT.]]</f>
        <v>35.460992907801419</v>
      </c>
      <c r="J332" s="3">
        <v>158</v>
      </c>
      <c r="K332" s="3">
        <f>FastenersPriceList345[[#This Row],[1000 PCS/WT.]]*FastenersPriceList345[[#This Row],[Rate / PER kg (₹)]]</f>
        <v>222780</v>
      </c>
      <c r="L332" s="4">
        <f>FastenersPriceList345[[#This Row],[Rate / PER kg (₹)]]*FastenersPriceList345[[#This Row],[Quantity (kg)]]</f>
        <v>7900</v>
      </c>
      <c r="M332" s="4">
        <f>FastenersPriceList345[[#This Row],[SINGLE PC. WT.]]*FastenersPriceList345[[#This Row],[Rate / PER kg (₹)]]</f>
        <v>222.78</v>
      </c>
    </row>
    <row r="333" spans="1:13" ht="22.05" customHeight="1" x14ac:dyDescent="0.3">
      <c r="A333" s="2" t="s">
        <v>2506</v>
      </c>
      <c r="B333" s="12" t="s">
        <v>8</v>
      </c>
      <c r="C333" s="12">
        <v>12.9</v>
      </c>
      <c r="D333" s="2">
        <v>1490</v>
      </c>
      <c r="E333" s="2">
        <f>FastenersPriceList345[[#This Row],[1000 PCS/WT.]]/1000</f>
        <v>1.49</v>
      </c>
      <c r="F333" s="2" t="s">
        <v>794</v>
      </c>
      <c r="G333" s="6" t="s">
        <v>1755</v>
      </c>
      <c r="H333" s="70">
        <v>50</v>
      </c>
      <c r="I333" s="72">
        <f>FastenersPriceList345[[#This Row],[Quantity (kg)]]/FastenersPriceList345[[#This Row],[SINGLE PC. WT.]]</f>
        <v>33.557046979865774</v>
      </c>
      <c r="J333" s="3">
        <v>158</v>
      </c>
      <c r="K333" s="3">
        <f>FastenersPriceList345[[#This Row],[1000 PCS/WT.]]*FastenersPriceList345[[#This Row],[Rate / PER kg (₹)]]</f>
        <v>235420</v>
      </c>
      <c r="L333" s="4">
        <f>FastenersPriceList345[[#This Row],[Rate / PER kg (₹)]]*FastenersPriceList345[[#This Row],[Quantity (kg)]]</f>
        <v>7900</v>
      </c>
      <c r="M333" s="4">
        <f>FastenersPriceList345[[#This Row],[SINGLE PC. WT.]]*FastenersPriceList345[[#This Row],[Rate / PER kg (₹)]]</f>
        <v>235.42</v>
      </c>
    </row>
    <row r="334" spans="1:13" ht="22.05" customHeight="1" x14ac:dyDescent="0.3">
      <c r="A334" s="2" t="s">
        <v>2507</v>
      </c>
      <c r="B334" s="12" t="s">
        <v>8</v>
      </c>
      <c r="C334" s="12">
        <v>12.9</v>
      </c>
      <c r="D334" s="2">
        <v>1570</v>
      </c>
      <c r="E334" s="2">
        <f>FastenersPriceList345[[#This Row],[1000 PCS/WT.]]/1000</f>
        <v>1.57</v>
      </c>
      <c r="F334" s="2" t="s">
        <v>795</v>
      </c>
      <c r="G334" s="6" t="s">
        <v>1755</v>
      </c>
      <c r="H334" s="70">
        <v>50</v>
      </c>
      <c r="I334" s="72">
        <f>FastenersPriceList345[[#This Row],[Quantity (kg)]]/FastenersPriceList345[[#This Row],[SINGLE PC. WT.]]</f>
        <v>31.847133757961782</v>
      </c>
      <c r="J334" s="3">
        <v>158</v>
      </c>
      <c r="K334" s="3">
        <f>FastenersPriceList345[[#This Row],[1000 PCS/WT.]]*FastenersPriceList345[[#This Row],[Rate / PER kg (₹)]]</f>
        <v>248060</v>
      </c>
      <c r="L334" s="4">
        <f>FastenersPriceList345[[#This Row],[Rate / PER kg (₹)]]*FastenersPriceList345[[#This Row],[Quantity (kg)]]</f>
        <v>7900</v>
      </c>
      <c r="M334" s="4">
        <f>FastenersPriceList345[[#This Row],[SINGLE PC. WT.]]*FastenersPriceList345[[#This Row],[Rate / PER kg (₹)]]</f>
        <v>248.06</v>
      </c>
    </row>
    <row r="335" spans="1:13" ht="22.05" customHeight="1" x14ac:dyDescent="0.3">
      <c r="A335" s="2" t="s">
        <v>2508</v>
      </c>
      <c r="B335" s="12" t="s">
        <v>8</v>
      </c>
      <c r="C335" s="12">
        <v>12.9</v>
      </c>
      <c r="D335" s="2">
        <v>1650</v>
      </c>
      <c r="E335" s="2">
        <f>FastenersPriceList345[[#This Row],[1000 PCS/WT.]]/1000</f>
        <v>1.65</v>
      </c>
      <c r="F335" s="2" t="s">
        <v>796</v>
      </c>
      <c r="G335" s="6" t="s">
        <v>1755</v>
      </c>
      <c r="H335" s="70">
        <v>50</v>
      </c>
      <c r="I335" s="72">
        <f>FastenersPriceList345[[#This Row],[Quantity (kg)]]/FastenersPriceList345[[#This Row],[SINGLE PC. WT.]]</f>
        <v>30.303030303030305</v>
      </c>
      <c r="J335" s="3">
        <v>158</v>
      </c>
      <c r="K335" s="3">
        <f>FastenersPriceList345[[#This Row],[1000 PCS/WT.]]*FastenersPriceList345[[#This Row],[Rate / PER kg (₹)]]</f>
        <v>260700</v>
      </c>
      <c r="L335" s="4">
        <f>FastenersPriceList345[[#This Row],[Rate / PER kg (₹)]]*FastenersPriceList345[[#This Row],[Quantity (kg)]]</f>
        <v>7900</v>
      </c>
      <c r="M335" s="4">
        <f>FastenersPriceList345[[#This Row],[SINGLE PC. WT.]]*FastenersPriceList345[[#This Row],[Rate / PER kg (₹)]]</f>
        <v>260.7</v>
      </c>
    </row>
    <row r="336" spans="1:13" ht="22.05" customHeight="1" x14ac:dyDescent="0.3">
      <c r="A336" s="2" t="s">
        <v>2509</v>
      </c>
      <c r="B336" s="12" t="s">
        <v>8</v>
      </c>
      <c r="C336" s="12">
        <v>12.9</v>
      </c>
      <c r="D336" s="2">
        <v>1730</v>
      </c>
      <c r="E336" s="2">
        <f>FastenersPriceList345[[#This Row],[1000 PCS/WT.]]/1000</f>
        <v>1.73</v>
      </c>
      <c r="F336" s="2" t="s">
        <v>797</v>
      </c>
      <c r="G336" s="6" t="s">
        <v>1755</v>
      </c>
      <c r="H336" s="70">
        <v>50</v>
      </c>
      <c r="I336" s="72">
        <f>FastenersPriceList345[[#This Row],[Quantity (kg)]]/FastenersPriceList345[[#This Row],[SINGLE PC. WT.]]</f>
        <v>28.901734104046245</v>
      </c>
      <c r="J336" s="3">
        <v>158</v>
      </c>
      <c r="K336" s="3">
        <f>FastenersPriceList345[[#This Row],[1000 PCS/WT.]]*FastenersPriceList345[[#This Row],[Rate / PER kg (₹)]]</f>
        <v>273340</v>
      </c>
      <c r="L336" s="4">
        <f>FastenersPriceList345[[#This Row],[Rate / PER kg (₹)]]*FastenersPriceList345[[#This Row],[Quantity (kg)]]</f>
        <v>7900</v>
      </c>
      <c r="M336" s="4">
        <f>FastenersPriceList345[[#This Row],[SINGLE PC. WT.]]*FastenersPriceList345[[#This Row],[Rate / PER kg (₹)]]</f>
        <v>273.33999999999997</v>
      </c>
    </row>
    <row r="337" spans="1:13" ht="22.05" customHeight="1" x14ac:dyDescent="0.3">
      <c r="A337" s="2" t="s">
        <v>2510</v>
      </c>
      <c r="B337" s="12" t="s">
        <v>8</v>
      </c>
      <c r="C337" s="12">
        <v>12.9</v>
      </c>
      <c r="D337" s="2">
        <v>1810</v>
      </c>
      <c r="E337" s="2">
        <f>FastenersPriceList345[[#This Row],[1000 PCS/WT.]]/1000</f>
        <v>1.81</v>
      </c>
      <c r="F337" s="2" t="s">
        <v>798</v>
      </c>
      <c r="G337" s="6" t="s">
        <v>1755</v>
      </c>
      <c r="H337" s="70">
        <v>50</v>
      </c>
      <c r="I337" s="72">
        <f>FastenersPriceList345[[#This Row],[Quantity (kg)]]/FastenersPriceList345[[#This Row],[SINGLE PC. WT.]]</f>
        <v>27.624309392265193</v>
      </c>
      <c r="J337" s="3">
        <v>158</v>
      </c>
      <c r="K337" s="3">
        <f>FastenersPriceList345[[#This Row],[1000 PCS/WT.]]*FastenersPriceList345[[#This Row],[Rate / PER kg (₹)]]</f>
        <v>285980</v>
      </c>
      <c r="L337" s="4">
        <f>FastenersPriceList345[[#This Row],[Rate / PER kg (₹)]]*FastenersPriceList345[[#This Row],[Quantity (kg)]]</f>
        <v>7900</v>
      </c>
      <c r="M337" s="4">
        <f>FastenersPriceList345[[#This Row],[SINGLE PC. WT.]]*FastenersPriceList345[[#This Row],[Rate / PER kg (₹)]]</f>
        <v>285.98</v>
      </c>
    </row>
    <row r="338" spans="1:13" ht="22.05" customHeight="1" x14ac:dyDescent="0.3">
      <c r="A338" s="2" t="s">
        <v>2511</v>
      </c>
      <c r="B338" s="12" t="s">
        <v>8</v>
      </c>
      <c r="C338" s="12">
        <v>12.9</v>
      </c>
      <c r="D338" s="2">
        <v>1890</v>
      </c>
      <c r="E338" s="2">
        <f>FastenersPriceList345[[#This Row],[1000 PCS/WT.]]/1000</f>
        <v>1.89</v>
      </c>
      <c r="F338" s="2" t="s">
        <v>799</v>
      </c>
      <c r="G338" s="6" t="s">
        <v>1755</v>
      </c>
      <c r="H338" s="70">
        <v>50</v>
      </c>
      <c r="I338" s="72">
        <f>FastenersPriceList345[[#This Row],[Quantity (kg)]]/FastenersPriceList345[[#This Row],[SINGLE PC. WT.]]</f>
        <v>26.455026455026456</v>
      </c>
      <c r="J338" s="3">
        <v>158</v>
      </c>
      <c r="K338" s="3">
        <f>FastenersPriceList345[[#This Row],[1000 PCS/WT.]]*FastenersPriceList345[[#This Row],[Rate / PER kg (₹)]]</f>
        <v>298620</v>
      </c>
      <c r="L338" s="4">
        <f>FastenersPriceList345[[#This Row],[Rate / PER kg (₹)]]*FastenersPriceList345[[#This Row],[Quantity (kg)]]</f>
        <v>7900</v>
      </c>
      <c r="M338" s="4">
        <f>FastenersPriceList345[[#This Row],[SINGLE PC. WT.]]*FastenersPriceList345[[#This Row],[Rate / PER kg (₹)]]</f>
        <v>298.62</v>
      </c>
    </row>
    <row r="339" spans="1:13" ht="22.05" customHeight="1" x14ac:dyDescent="0.3">
      <c r="A339" s="2" t="s">
        <v>2512</v>
      </c>
      <c r="B339" s="12" t="s">
        <v>8</v>
      </c>
      <c r="C339" s="12">
        <v>12.9</v>
      </c>
      <c r="D339" s="2">
        <v>1970</v>
      </c>
      <c r="E339" s="2">
        <f>FastenersPriceList345[[#This Row],[1000 PCS/WT.]]/1000</f>
        <v>1.97</v>
      </c>
      <c r="F339" s="2" t="s">
        <v>800</v>
      </c>
      <c r="G339" s="6" t="s">
        <v>1755</v>
      </c>
      <c r="H339" s="70">
        <v>50</v>
      </c>
      <c r="I339" s="72">
        <f>FastenersPriceList345[[#This Row],[Quantity (kg)]]/FastenersPriceList345[[#This Row],[SINGLE PC. WT.]]</f>
        <v>25.380710659898476</v>
      </c>
      <c r="J339" s="3">
        <v>158</v>
      </c>
      <c r="K339" s="3">
        <f>FastenersPriceList345[[#This Row],[1000 PCS/WT.]]*FastenersPriceList345[[#This Row],[Rate / PER kg (₹)]]</f>
        <v>311260</v>
      </c>
      <c r="L339" s="4">
        <f>FastenersPriceList345[[#This Row],[Rate / PER kg (₹)]]*FastenersPriceList345[[#This Row],[Quantity (kg)]]</f>
        <v>7900</v>
      </c>
      <c r="M339" s="4">
        <f>FastenersPriceList345[[#This Row],[SINGLE PC. WT.]]*FastenersPriceList345[[#This Row],[Rate / PER kg (₹)]]</f>
        <v>311.26</v>
      </c>
    </row>
    <row r="340" spans="1:13" ht="22.05" customHeight="1" x14ac:dyDescent="0.3">
      <c r="A340" s="2" t="s">
        <v>2513</v>
      </c>
      <c r="B340" s="12" t="s">
        <v>8</v>
      </c>
      <c r="C340" s="12">
        <v>12.9</v>
      </c>
      <c r="D340" s="2">
        <v>2050</v>
      </c>
      <c r="E340" s="2">
        <f>FastenersPriceList345[[#This Row],[1000 PCS/WT.]]/1000</f>
        <v>2.0499999999999998</v>
      </c>
      <c r="F340" s="2" t="s">
        <v>801</v>
      </c>
      <c r="G340" s="6" t="s">
        <v>1755</v>
      </c>
      <c r="H340" s="70">
        <v>50</v>
      </c>
      <c r="I340" s="72">
        <f>FastenersPriceList345[[#This Row],[Quantity (kg)]]/FastenersPriceList345[[#This Row],[SINGLE PC. WT.]]</f>
        <v>24.390243902439025</v>
      </c>
      <c r="J340" s="3">
        <v>160</v>
      </c>
      <c r="K340" s="3">
        <f>FastenersPriceList345[[#This Row],[1000 PCS/WT.]]*FastenersPriceList345[[#This Row],[Rate / PER kg (₹)]]</f>
        <v>328000</v>
      </c>
      <c r="L340" s="4">
        <f>FastenersPriceList345[[#This Row],[Rate / PER kg (₹)]]*FastenersPriceList345[[#This Row],[Quantity (kg)]]</f>
        <v>8000</v>
      </c>
      <c r="M340" s="4">
        <f>FastenersPriceList345[[#This Row],[SINGLE PC. WT.]]*FastenersPriceList345[[#This Row],[Rate / PER kg (₹)]]</f>
        <v>328</v>
      </c>
    </row>
    <row r="341" spans="1:13" ht="22.05" customHeight="1" x14ac:dyDescent="0.3">
      <c r="A341" s="2" t="s">
        <v>2514</v>
      </c>
      <c r="B341" s="12" t="s">
        <v>8</v>
      </c>
      <c r="C341" s="12">
        <v>12.9</v>
      </c>
      <c r="D341" s="2">
        <v>2130</v>
      </c>
      <c r="E341" s="2">
        <f>FastenersPriceList345[[#This Row],[1000 PCS/WT.]]/1000</f>
        <v>2.13</v>
      </c>
      <c r="F341" s="2" t="s">
        <v>802</v>
      </c>
      <c r="G341" s="6" t="s">
        <v>1755</v>
      </c>
      <c r="H341" s="70">
        <v>50</v>
      </c>
      <c r="I341" s="72">
        <f>FastenersPriceList345[[#This Row],[Quantity (kg)]]/FastenersPriceList345[[#This Row],[SINGLE PC. WT.]]</f>
        <v>23.474178403755868</v>
      </c>
      <c r="J341" s="3">
        <v>160</v>
      </c>
      <c r="K341" s="3">
        <f>FastenersPriceList345[[#This Row],[1000 PCS/WT.]]*FastenersPriceList345[[#This Row],[Rate / PER kg (₹)]]</f>
        <v>340800</v>
      </c>
      <c r="L341" s="4">
        <f>FastenersPriceList345[[#This Row],[Rate / PER kg (₹)]]*FastenersPriceList345[[#This Row],[Quantity (kg)]]</f>
        <v>8000</v>
      </c>
      <c r="M341" s="4">
        <f>FastenersPriceList345[[#This Row],[SINGLE PC. WT.]]*FastenersPriceList345[[#This Row],[Rate / PER kg (₹)]]</f>
        <v>340.79999999999995</v>
      </c>
    </row>
    <row r="342" spans="1:13" ht="22.05" customHeight="1" x14ac:dyDescent="0.3">
      <c r="A342" s="2" t="s">
        <v>2515</v>
      </c>
      <c r="B342" s="12" t="s">
        <v>8</v>
      </c>
      <c r="C342" s="12">
        <v>12.9</v>
      </c>
      <c r="D342" s="2">
        <v>2210</v>
      </c>
      <c r="E342" s="2">
        <f>FastenersPriceList345[[#This Row],[1000 PCS/WT.]]/1000</f>
        <v>2.21</v>
      </c>
      <c r="F342" s="2" t="s">
        <v>803</v>
      </c>
      <c r="G342" s="6" t="s">
        <v>1755</v>
      </c>
      <c r="H342" s="70">
        <v>50</v>
      </c>
      <c r="I342" s="72">
        <f>FastenersPriceList345[[#This Row],[Quantity (kg)]]/FastenersPriceList345[[#This Row],[SINGLE PC. WT.]]</f>
        <v>22.624434389140273</v>
      </c>
      <c r="J342" s="3">
        <v>160</v>
      </c>
      <c r="K342" s="3">
        <f>FastenersPriceList345[[#This Row],[1000 PCS/WT.]]*FastenersPriceList345[[#This Row],[Rate / PER kg (₹)]]</f>
        <v>353600</v>
      </c>
      <c r="L342" s="4">
        <f>FastenersPriceList345[[#This Row],[Rate / PER kg (₹)]]*FastenersPriceList345[[#This Row],[Quantity (kg)]]</f>
        <v>8000</v>
      </c>
      <c r="M342" s="4">
        <f>FastenersPriceList345[[#This Row],[SINGLE PC. WT.]]*FastenersPriceList345[[#This Row],[Rate / PER kg (₹)]]</f>
        <v>353.6</v>
      </c>
    </row>
    <row r="343" spans="1:13" ht="22.05" customHeight="1" x14ac:dyDescent="0.3">
      <c r="A343" s="2" t="s">
        <v>2516</v>
      </c>
      <c r="B343" s="12" t="s">
        <v>8</v>
      </c>
      <c r="C343" s="12">
        <v>12.9</v>
      </c>
      <c r="D343" s="2">
        <v>2290</v>
      </c>
      <c r="E343" s="2">
        <f>FastenersPriceList345[[#This Row],[1000 PCS/WT.]]/1000</f>
        <v>2.29</v>
      </c>
      <c r="F343" s="2" t="s">
        <v>804</v>
      </c>
      <c r="G343" s="6" t="s">
        <v>1755</v>
      </c>
      <c r="H343" s="70">
        <v>50</v>
      </c>
      <c r="I343" s="72">
        <f>FastenersPriceList345[[#This Row],[Quantity (kg)]]/FastenersPriceList345[[#This Row],[SINGLE PC. WT.]]</f>
        <v>21.834061135371179</v>
      </c>
      <c r="J343" s="3">
        <v>160</v>
      </c>
      <c r="K343" s="3">
        <f>FastenersPriceList345[[#This Row],[1000 PCS/WT.]]*FastenersPriceList345[[#This Row],[Rate / PER kg (₹)]]</f>
        <v>366400</v>
      </c>
      <c r="L343" s="4">
        <f>FastenersPriceList345[[#This Row],[Rate / PER kg (₹)]]*FastenersPriceList345[[#This Row],[Quantity (kg)]]</f>
        <v>8000</v>
      </c>
      <c r="M343" s="4">
        <f>FastenersPriceList345[[#This Row],[SINGLE PC. WT.]]*FastenersPriceList345[[#This Row],[Rate / PER kg (₹)]]</f>
        <v>366.4</v>
      </c>
    </row>
    <row r="344" spans="1:13" ht="22.05" customHeight="1" x14ac:dyDescent="0.3">
      <c r="A344" s="2" t="s">
        <v>2517</v>
      </c>
      <c r="B344" s="12" t="s">
        <v>8</v>
      </c>
      <c r="C344" s="12">
        <v>12.9</v>
      </c>
      <c r="D344" s="2">
        <v>2370</v>
      </c>
      <c r="E344" s="2">
        <f>FastenersPriceList345[[#This Row],[1000 PCS/WT.]]/1000</f>
        <v>2.37</v>
      </c>
      <c r="F344" s="2" t="s">
        <v>805</v>
      </c>
      <c r="G344" s="6" t="s">
        <v>1755</v>
      </c>
      <c r="H344" s="70">
        <v>50</v>
      </c>
      <c r="I344" s="72">
        <f>FastenersPriceList345[[#This Row],[Quantity (kg)]]/FastenersPriceList345[[#This Row],[SINGLE PC. WT.]]</f>
        <v>21.09704641350211</v>
      </c>
      <c r="J344" s="3">
        <v>160</v>
      </c>
      <c r="K344" s="3">
        <f>FastenersPriceList345[[#This Row],[1000 PCS/WT.]]*FastenersPriceList345[[#This Row],[Rate / PER kg (₹)]]</f>
        <v>379200</v>
      </c>
      <c r="L344" s="4">
        <f>FastenersPriceList345[[#This Row],[Rate / PER kg (₹)]]*FastenersPriceList345[[#This Row],[Quantity (kg)]]</f>
        <v>8000</v>
      </c>
      <c r="M344" s="4">
        <f>FastenersPriceList345[[#This Row],[SINGLE PC. WT.]]*FastenersPriceList345[[#This Row],[Rate / PER kg (₹)]]</f>
        <v>379.20000000000005</v>
      </c>
    </row>
    <row r="345" spans="1:13" ht="22.05" customHeight="1" x14ac:dyDescent="0.3">
      <c r="A345" s="2" t="s">
        <v>2518</v>
      </c>
      <c r="B345" s="12" t="s">
        <v>8</v>
      </c>
      <c r="C345" s="12">
        <v>12.9</v>
      </c>
      <c r="D345" s="2">
        <v>2450</v>
      </c>
      <c r="E345" s="2">
        <f>FastenersPriceList345[[#This Row],[1000 PCS/WT.]]/1000</f>
        <v>2.4500000000000002</v>
      </c>
      <c r="F345" s="2" t="s">
        <v>806</v>
      </c>
      <c r="G345" s="6" t="s">
        <v>1755</v>
      </c>
      <c r="H345" s="70">
        <v>50</v>
      </c>
      <c r="I345" s="72">
        <f>FastenersPriceList345[[#This Row],[Quantity (kg)]]/FastenersPriceList345[[#This Row],[SINGLE PC. WT.]]</f>
        <v>20.408163265306122</v>
      </c>
      <c r="J345" s="3">
        <v>160</v>
      </c>
      <c r="K345" s="3">
        <f>FastenersPriceList345[[#This Row],[1000 PCS/WT.]]*FastenersPriceList345[[#This Row],[Rate / PER kg (₹)]]</f>
        <v>392000</v>
      </c>
      <c r="L345" s="4">
        <f>FastenersPriceList345[[#This Row],[Rate / PER kg (₹)]]*FastenersPriceList345[[#This Row],[Quantity (kg)]]</f>
        <v>8000</v>
      </c>
      <c r="M345" s="4">
        <f>FastenersPriceList345[[#This Row],[SINGLE PC. WT.]]*FastenersPriceList345[[#This Row],[Rate / PER kg (₹)]]</f>
        <v>392</v>
      </c>
    </row>
    <row r="346" spans="1:13" ht="22.05" customHeight="1" x14ac:dyDescent="0.3">
      <c r="A346" s="2" t="s">
        <v>2519</v>
      </c>
      <c r="B346" s="12" t="s">
        <v>8</v>
      </c>
      <c r="C346" s="12">
        <v>12.9</v>
      </c>
      <c r="D346" s="2">
        <v>2530</v>
      </c>
      <c r="E346" s="2">
        <f>FastenersPriceList345[[#This Row],[1000 PCS/WT.]]/1000</f>
        <v>2.5299999999999998</v>
      </c>
      <c r="F346" s="2" t="s">
        <v>807</v>
      </c>
      <c r="G346" s="6" t="s">
        <v>1755</v>
      </c>
      <c r="H346" s="70">
        <v>50</v>
      </c>
      <c r="I346" s="72">
        <f>FastenersPriceList345[[#This Row],[Quantity (kg)]]/FastenersPriceList345[[#This Row],[SINGLE PC. WT.]]</f>
        <v>19.762845849802375</v>
      </c>
      <c r="J346" s="3">
        <v>160</v>
      </c>
      <c r="K346" s="3">
        <f>FastenersPriceList345[[#This Row],[1000 PCS/WT.]]*FastenersPriceList345[[#This Row],[Rate / PER kg (₹)]]</f>
        <v>404800</v>
      </c>
      <c r="L346" s="4">
        <f>FastenersPriceList345[[#This Row],[Rate / PER kg (₹)]]*FastenersPriceList345[[#This Row],[Quantity (kg)]]</f>
        <v>8000</v>
      </c>
      <c r="M346" s="4">
        <f>FastenersPriceList345[[#This Row],[SINGLE PC. WT.]]*FastenersPriceList345[[#This Row],[Rate / PER kg (₹)]]</f>
        <v>404.79999999999995</v>
      </c>
    </row>
    <row r="347" spans="1:13" ht="22.05" customHeight="1" x14ac:dyDescent="0.3">
      <c r="A347" s="2" t="s">
        <v>2520</v>
      </c>
      <c r="B347" s="12" t="s">
        <v>8</v>
      </c>
      <c r="C347" s="12">
        <v>12.9</v>
      </c>
      <c r="D347" s="2">
        <v>2610</v>
      </c>
      <c r="E347" s="2">
        <f>FastenersPriceList345[[#This Row],[1000 PCS/WT.]]/1000</f>
        <v>2.61</v>
      </c>
      <c r="F347" s="2" t="s">
        <v>808</v>
      </c>
      <c r="G347" s="6" t="s">
        <v>1755</v>
      </c>
      <c r="H347" s="70">
        <v>50</v>
      </c>
      <c r="I347" s="72">
        <f>FastenersPriceList345[[#This Row],[Quantity (kg)]]/FastenersPriceList345[[#This Row],[SINGLE PC. WT.]]</f>
        <v>19.157088122605366</v>
      </c>
      <c r="J347" s="3">
        <v>160</v>
      </c>
      <c r="K347" s="3">
        <f>FastenersPriceList345[[#This Row],[1000 PCS/WT.]]*FastenersPriceList345[[#This Row],[Rate / PER kg (₹)]]</f>
        <v>417600</v>
      </c>
      <c r="L347" s="4">
        <f>FastenersPriceList345[[#This Row],[Rate / PER kg (₹)]]*FastenersPriceList345[[#This Row],[Quantity (kg)]]</f>
        <v>8000</v>
      </c>
      <c r="M347" s="4">
        <f>FastenersPriceList345[[#This Row],[SINGLE PC. WT.]]*FastenersPriceList345[[#This Row],[Rate / PER kg (₹)]]</f>
        <v>417.59999999999997</v>
      </c>
    </row>
    <row r="348" spans="1:13" ht="22.05" customHeight="1" x14ac:dyDescent="0.3">
      <c r="A348" s="2" t="s">
        <v>2521</v>
      </c>
      <c r="B348" s="12" t="s">
        <v>8</v>
      </c>
      <c r="C348" s="12">
        <v>12.9</v>
      </c>
      <c r="D348" s="2">
        <v>2690</v>
      </c>
      <c r="E348" s="2">
        <f>FastenersPriceList345[[#This Row],[1000 PCS/WT.]]/1000</f>
        <v>2.69</v>
      </c>
      <c r="F348" s="2" t="s">
        <v>809</v>
      </c>
      <c r="G348" s="6" t="s">
        <v>1755</v>
      </c>
      <c r="H348" s="70">
        <v>50</v>
      </c>
      <c r="I348" s="72">
        <f>FastenersPriceList345[[#This Row],[Quantity (kg)]]/FastenersPriceList345[[#This Row],[SINGLE PC. WT.]]</f>
        <v>18.587360594795541</v>
      </c>
      <c r="J348" s="3">
        <v>160</v>
      </c>
      <c r="K348" s="3">
        <f>FastenersPriceList345[[#This Row],[1000 PCS/WT.]]*FastenersPriceList345[[#This Row],[Rate / PER kg (₹)]]</f>
        <v>430400</v>
      </c>
      <c r="L348" s="4">
        <f>FastenersPriceList345[[#This Row],[Rate / PER kg (₹)]]*FastenersPriceList345[[#This Row],[Quantity (kg)]]</f>
        <v>8000</v>
      </c>
      <c r="M348" s="4">
        <f>FastenersPriceList345[[#This Row],[SINGLE PC. WT.]]*FastenersPriceList345[[#This Row],[Rate / PER kg (₹)]]</f>
        <v>430.4</v>
      </c>
    </row>
    <row r="349" spans="1:13" ht="22.05" customHeight="1" x14ac:dyDescent="0.3">
      <c r="A349" s="2" t="s">
        <v>2522</v>
      </c>
      <c r="B349" s="12" t="s">
        <v>8</v>
      </c>
      <c r="C349" s="12">
        <v>12.9</v>
      </c>
      <c r="D349" s="2">
        <v>2770</v>
      </c>
      <c r="E349" s="2">
        <f>FastenersPriceList345[[#This Row],[1000 PCS/WT.]]/1000</f>
        <v>2.77</v>
      </c>
      <c r="F349" s="2" t="s">
        <v>810</v>
      </c>
      <c r="G349" s="6" t="s">
        <v>1755</v>
      </c>
      <c r="H349" s="70">
        <v>50</v>
      </c>
      <c r="I349" s="72">
        <f>FastenersPriceList345[[#This Row],[Quantity (kg)]]/FastenersPriceList345[[#This Row],[SINGLE PC. WT.]]</f>
        <v>18.050541516245488</v>
      </c>
      <c r="J349" s="3">
        <v>160</v>
      </c>
      <c r="K349" s="3">
        <f>FastenersPriceList345[[#This Row],[1000 PCS/WT.]]*FastenersPriceList345[[#This Row],[Rate / PER kg (₹)]]</f>
        <v>443200</v>
      </c>
      <c r="L349" s="4">
        <f>FastenersPriceList345[[#This Row],[Rate / PER kg (₹)]]*FastenersPriceList345[[#This Row],[Quantity (kg)]]</f>
        <v>8000</v>
      </c>
      <c r="M349" s="4">
        <f>FastenersPriceList345[[#This Row],[SINGLE PC. WT.]]*FastenersPriceList345[[#This Row],[Rate / PER kg (₹)]]</f>
        <v>443.2</v>
      </c>
    </row>
    <row r="350" spans="1:13" ht="22.05" customHeight="1" x14ac:dyDescent="0.3">
      <c r="A350" s="2" t="s">
        <v>2523</v>
      </c>
      <c r="B350" s="12" t="s">
        <v>8</v>
      </c>
      <c r="C350" s="12">
        <v>12.9</v>
      </c>
      <c r="D350" s="2">
        <v>1087</v>
      </c>
      <c r="E350" s="2">
        <f>FastenersPriceList345[[#This Row],[1000 PCS/WT.]]/1000</f>
        <v>1.087</v>
      </c>
      <c r="F350" s="2" t="s">
        <v>811</v>
      </c>
      <c r="G350" s="6" t="s">
        <v>1755</v>
      </c>
      <c r="H350" s="70">
        <v>50</v>
      </c>
      <c r="I350" s="72">
        <f>FastenersPriceList345[[#This Row],[Quantity (kg)]]/FastenersPriceList345[[#This Row],[SINGLE PC. WT.]]</f>
        <v>45.998160073597056</v>
      </c>
      <c r="J350" s="3">
        <v>158</v>
      </c>
      <c r="K350" s="3">
        <f>FastenersPriceList345[[#This Row],[1000 PCS/WT.]]*FastenersPriceList345[[#This Row],[Rate / PER kg (₹)]]</f>
        <v>171746</v>
      </c>
      <c r="L350" s="4">
        <f>FastenersPriceList345[[#This Row],[Rate / PER kg (₹)]]*FastenersPriceList345[[#This Row],[Quantity (kg)]]</f>
        <v>7900</v>
      </c>
      <c r="M350" s="4">
        <f>FastenersPriceList345[[#This Row],[SINGLE PC. WT.]]*FastenersPriceList345[[#This Row],[Rate / PER kg (₹)]]</f>
        <v>171.74599999999998</v>
      </c>
    </row>
    <row r="351" spans="1:13" ht="22.05" customHeight="1" x14ac:dyDescent="0.3">
      <c r="A351" s="2" t="s">
        <v>2524</v>
      </c>
      <c r="B351" s="12" t="s">
        <v>8</v>
      </c>
      <c r="C351" s="12">
        <v>12.9</v>
      </c>
      <c r="D351" s="2">
        <v>1134</v>
      </c>
      <c r="E351" s="2">
        <f>FastenersPriceList345[[#This Row],[1000 PCS/WT.]]/1000</f>
        <v>1.1339999999999999</v>
      </c>
      <c r="F351" s="2" t="s">
        <v>812</v>
      </c>
      <c r="G351" s="6" t="s">
        <v>1755</v>
      </c>
      <c r="H351" s="70">
        <v>50</v>
      </c>
      <c r="I351" s="72">
        <f>FastenersPriceList345[[#This Row],[Quantity (kg)]]/FastenersPriceList345[[#This Row],[SINGLE PC. WT.]]</f>
        <v>44.091710758377431</v>
      </c>
      <c r="J351" s="3">
        <v>158</v>
      </c>
      <c r="K351" s="3">
        <f>FastenersPriceList345[[#This Row],[1000 PCS/WT.]]*FastenersPriceList345[[#This Row],[Rate / PER kg (₹)]]</f>
        <v>179172</v>
      </c>
      <c r="L351" s="4">
        <f>FastenersPriceList345[[#This Row],[Rate / PER kg (₹)]]*FastenersPriceList345[[#This Row],[Quantity (kg)]]</f>
        <v>7900</v>
      </c>
      <c r="M351" s="4">
        <f>FastenersPriceList345[[#This Row],[SINGLE PC. WT.]]*FastenersPriceList345[[#This Row],[Rate / PER kg (₹)]]</f>
        <v>179.172</v>
      </c>
    </row>
    <row r="352" spans="1:13" ht="22.05" customHeight="1" x14ac:dyDescent="0.3">
      <c r="A352" s="2" t="s">
        <v>2525</v>
      </c>
      <c r="B352" s="12" t="s">
        <v>8</v>
      </c>
      <c r="C352" s="12">
        <v>12.9</v>
      </c>
      <c r="D352" s="2">
        <v>1181</v>
      </c>
      <c r="E352" s="2">
        <f>FastenersPriceList345[[#This Row],[1000 PCS/WT.]]/1000</f>
        <v>1.181</v>
      </c>
      <c r="F352" s="2" t="s">
        <v>813</v>
      </c>
      <c r="G352" s="6" t="s">
        <v>1755</v>
      </c>
      <c r="H352" s="70">
        <v>50</v>
      </c>
      <c r="I352" s="72">
        <f>FastenersPriceList345[[#This Row],[Quantity (kg)]]/FastenersPriceList345[[#This Row],[SINGLE PC. WT.]]</f>
        <v>42.337002540220148</v>
      </c>
      <c r="J352" s="3">
        <v>158</v>
      </c>
      <c r="K352" s="3">
        <f>FastenersPriceList345[[#This Row],[1000 PCS/WT.]]*FastenersPriceList345[[#This Row],[Rate / PER kg (₹)]]</f>
        <v>186598</v>
      </c>
      <c r="L352" s="4">
        <f>FastenersPriceList345[[#This Row],[Rate / PER kg (₹)]]*FastenersPriceList345[[#This Row],[Quantity (kg)]]</f>
        <v>7900</v>
      </c>
      <c r="M352" s="4">
        <f>FastenersPriceList345[[#This Row],[SINGLE PC. WT.]]*FastenersPriceList345[[#This Row],[Rate / PER kg (₹)]]</f>
        <v>186.59800000000001</v>
      </c>
    </row>
    <row r="353" spans="1:13" ht="22.05" customHeight="1" x14ac:dyDescent="0.3">
      <c r="A353" s="2" t="s">
        <v>2526</v>
      </c>
      <c r="B353" s="12" t="s">
        <v>8</v>
      </c>
      <c r="C353" s="12">
        <v>12.9</v>
      </c>
      <c r="D353" s="2">
        <v>1228</v>
      </c>
      <c r="E353" s="2">
        <f>FastenersPriceList345[[#This Row],[1000 PCS/WT.]]/1000</f>
        <v>1.228</v>
      </c>
      <c r="F353" s="2" t="s">
        <v>814</v>
      </c>
      <c r="G353" s="6" t="s">
        <v>1755</v>
      </c>
      <c r="H353" s="70">
        <v>50</v>
      </c>
      <c r="I353" s="72">
        <f>FastenersPriceList345[[#This Row],[Quantity (kg)]]/FastenersPriceList345[[#This Row],[SINGLE PC. WT.]]</f>
        <v>40.716612377850161</v>
      </c>
      <c r="J353" s="3">
        <v>158</v>
      </c>
      <c r="K353" s="3">
        <f>FastenersPriceList345[[#This Row],[1000 PCS/WT.]]*FastenersPriceList345[[#This Row],[Rate / PER kg (₹)]]</f>
        <v>194024</v>
      </c>
      <c r="L353" s="4">
        <f>FastenersPriceList345[[#This Row],[Rate / PER kg (₹)]]*FastenersPriceList345[[#This Row],[Quantity (kg)]]</f>
        <v>7900</v>
      </c>
      <c r="M353" s="4">
        <f>FastenersPriceList345[[#This Row],[SINGLE PC. WT.]]*FastenersPriceList345[[#This Row],[Rate / PER kg (₹)]]</f>
        <v>194.024</v>
      </c>
    </row>
    <row r="354" spans="1:13" ht="22.05" customHeight="1" x14ac:dyDescent="0.3">
      <c r="A354" s="2" t="s">
        <v>2527</v>
      </c>
      <c r="B354" s="12" t="s">
        <v>8</v>
      </c>
      <c r="C354" s="12">
        <v>12.9</v>
      </c>
      <c r="D354" s="2">
        <v>1275</v>
      </c>
      <c r="E354" s="2">
        <f>FastenersPriceList345[[#This Row],[1000 PCS/WT.]]/1000</f>
        <v>1.2749999999999999</v>
      </c>
      <c r="F354" s="2" t="s">
        <v>815</v>
      </c>
      <c r="G354" s="6" t="s">
        <v>1755</v>
      </c>
      <c r="H354" s="70">
        <v>50</v>
      </c>
      <c r="I354" s="72">
        <f>FastenersPriceList345[[#This Row],[Quantity (kg)]]/FastenersPriceList345[[#This Row],[SINGLE PC. WT.]]</f>
        <v>39.215686274509807</v>
      </c>
      <c r="J354" s="3">
        <v>158</v>
      </c>
      <c r="K354" s="3">
        <f>FastenersPriceList345[[#This Row],[1000 PCS/WT.]]*FastenersPriceList345[[#This Row],[Rate / PER kg (₹)]]</f>
        <v>201450</v>
      </c>
      <c r="L354" s="4">
        <f>FastenersPriceList345[[#This Row],[Rate / PER kg (₹)]]*FastenersPriceList345[[#This Row],[Quantity (kg)]]</f>
        <v>7900</v>
      </c>
      <c r="M354" s="4">
        <f>FastenersPriceList345[[#This Row],[SINGLE PC. WT.]]*FastenersPriceList345[[#This Row],[Rate / PER kg (₹)]]</f>
        <v>201.45</v>
      </c>
    </row>
    <row r="355" spans="1:13" ht="22.05" customHeight="1" x14ac:dyDescent="0.3">
      <c r="A355" s="2" t="s">
        <v>2528</v>
      </c>
      <c r="B355" s="12" t="s">
        <v>8</v>
      </c>
      <c r="C355" s="12">
        <v>12.9</v>
      </c>
      <c r="D355" s="2">
        <v>1322</v>
      </c>
      <c r="E355" s="2">
        <f>FastenersPriceList345[[#This Row],[1000 PCS/WT.]]/1000</f>
        <v>1.3220000000000001</v>
      </c>
      <c r="F355" s="2" t="s">
        <v>816</v>
      </c>
      <c r="G355" s="6" t="s">
        <v>1755</v>
      </c>
      <c r="H355" s="70">
        <v>50</v>
      </c>
      <c r="I355" s="72">
        <f>FastenersPriceList345[[#This Row],[Quantity (kg)]]/FastenersPriceList345[[#This Row],[SINGLE PC. WT.]]</f>
        <v>37.821482602118003</v>
      </c>
      <c r="J355" s="3">
        <v>158</v>
      </c>
      <c r="K355" s="3">
        <f>FastenersPriceList345[[#This Row],[1000 PCS/WT.]]*FastenersPriceList345[[#This Row],[Rate / PER kg (₹)]]</f>
        <v>208876</v>
      </c>
      <c r="L355" s="4">
        <f>FastenersPriceList345[[#This Row],[Rate / PER kg (₹)]]*FastenersPriceList345[[#This Row],[Quantity (kg)]]</f>
        <v>7900</v>
      </c>
      <c r="M355" s="4">
        <f>FastenersPriceList345[[#This Row],[SINGLE PC. WT.]]*FastenersPriceList345[[#This Row],[Rate / PER kg (₹)]]</f>
        <v>208.876</v>
      </c>
    </row>
    <row r="356" spans="1:13" ht="22.05" customHeight="1" x14ac:dyDescent="0.3">
      <c r="A356" s="2" t="s">
        <v>2529</v>
      </c>
      <c r="B356" s="12" t="s">
        <v>8</v>
      </c>
      <c r="C356" s="12">
        <v>12.9</v>
      </c>
      <c r="D356" s="2">
        <v>1369</v>
      </c>
      <c r="E356" s="2">
        <f>FastenersPriceList345[[#This Row],[1000 PCS/WT.]]/1000</f>
        <v>1.369</v>
      </c>
      <c r="F356" s="2" t="s">
        <v>817</v>
      </c>
      <c r="G356" s="6" t="s">
        <v>1755</v>
      </c>
      <c r="H356" s="70">
        <v>50</v>
      </c>
      <c r="I356" s="72">
        <f>FastenersPriceList345[[#This Row],[Quantity (kg)]]/FastenersPriceList345[[#This Row],[SINGLE PC. WT.]]</f>
        <v>36.523009495982471</v>
      </c>
      <c r="J356" s="3">
        <v>158</v>
      </c>
      <c r="K356" s="3">
        <f>FastenersPriceList345[[#This Row],[1000 PCS/WT.]]*FastenersPriceList345[[#This Row],[Rate / PER kg (₹)]]</f>
        <v>216302</v>
      </c>
      <c r="L356" s="4">
        <f>FastenersPriceList345[[#This Row],[Rate / PER kg (₹)]]*FastenersPriceList345[[#This Row],[Quantity (kg)]]</f>
        <v>7900</v>
      </c>
      <c r="M356" s="4">
        <f>FastenersPriceList345[[#This Row],[SINGLE PC. WT.]]*FastenersPriceList345[[#This Row],[Rate / PER kg (₹)]]</f>
        <v>216.30199999999999</v>
      </c>
    </row>
    <row r="357" spans="1:13" ht="22.05" customHeight="1" x14ac:dyDescent="0.3">
      <c r="A357" s="2" t="s">
        <v>2530</v>
      </c>
      <c r="B357" s="12" t="s">
        <v>8</v>
      </c>
      <c r="C357" s="12">
        <v>12.9</v>
      </c>
      <c r="D357" s="2">
        <v>1416</v>
      </c>
      <c r="E357" s="2">
        <f>FastenersPriceList345[[#This Row],[1000 PCS/WT.]]/1000</f>
        <v>1.4159999999999999</v>
      </c>
      <c r="F357" s="2" t="s">
        <v>818</v>
      </c>
      <c r="G357" s="6" t="s">
        <v>1755</v>
      </c>
      <c r="H357" s="70">
        <v>50</v>
      </c>
      <c r="I357" s="72">
        <f>FastenersPriceList345[[#This Row],[Quantity (kg)]]/FastenersPriceList345[[#This Row],[SINGLE PC. WT.]]</f>
        <v>35.310734463276837</v>
      </c>
      <c r="J357" s="3">
        <v>158</v>
      </c>
      <c r="K357" s="3">
        <f>FastenersPriceList345[[#This Row],[1000 PCS/WT.]]*FastenersPriceList345[[#This Row],[Rate / PER kg (₹)]]</f>
        <v>223728</v>
      </c>
      <c r="L357" s="4">
        <f>FastenersPriceList345[[#This Row],[Rate / PER kg (₹)]]*FastenersPriceList345[[#This Row],[Quantity (kg)]]</f>
        <v>7900</v>
      </c>
      <c r="M357" s="4">
        <f>FastenersPriceList345[[#This Row],[SINGLE PC. WT.]]*FastenersPriceList345[[#This Row],[Rate / PER kg (₹)]]</f>
        <v>223.72799999999998</v>
      </c>
    </row>
    <row r="358" spans="1:13" ht="22.05" customHeight="1" x14ac:dyDescent="0.3">
      <c r="A358" s="2" t="s">
        <v>2531</v>
      </c>
      <c r="B358" s="12" t="s">
        <v>8</v>
      </c>
      <c r="C358" s="12">
        <v>12.9</v>
      </c>
      <c r="D358" s="2">
        <v>1463</v>
      </c>
      <c r="E358" s="2">
        <f>FastenersPriceList345[[#This Row],[1000 PCS/WT.]]/1000</f>
        <v>1.4630000000000001</v>
      </c>
      <c r="F358" s="2" t="s">
        <v>819</v>
      </c>
      <c r="G358" s="6" t="s">
        <v>1755</v>
      </c>
      <c r="H358" s="70">
        <v>50</v>
      </c>
      <c r="I358" s="72">
        <f>FastenersPriceList345[[#This Row],[Quantity (kg)]]/FastenersPriceList345[[#This Row],[SINGLE PC. WT.]]</f>
        <v>34.176349965823647</v>
      </c>
      <c r="J358" s="3">
        <v>158</v>
      </c>
      <c r="K358" s="3">
        <f>FastenersPriceList345[[#This Row],[1000 PCS/WT.]]*FastenersPriceList345[[#This Row],[Rate / PER kg (₹)]]</f>
        <v>231154</v>
      </c>
      <c r="L358" s="4">
        <f>FastenersPriceList345[[#This Row],[Rate / PER kg (₹)]]*FastenersPriceList345[[#This Row],[Quantity (kg)]]</f>
        <v>7900</v>
      </c>
      <c r="M358" s="4">
        <f>FastenersPriceList345[[#This Row],[SINGLE PC. WT.]]*FastenersPriceList345[[#This Row],[Rate / PER kg (₹)]]</f>
        <v>231.15400000000002</v>
      </c>
    </row>
    <row r="359" spans="1:13" ht="22.05" customHeight="1" x14ac:dyDescent="0.3">
      <c r="A359" s="2" t="s">
        <v>2532</v>
      </c>
      <c r="B359" s="12" t="s">
        <v>8</v>
      </c>
      <c r="C359" s="12">
        <v>12.9</v>
      </c>
      <c r="D359" s="2">
        <v>1530</v>
      </c>
      <c r="E359" s="2">
        <f>FastenersPriceList345[[#This Row],[1000 PCS/WT.]]/1000</f>
        <v>1.53</v>
      </c>
      <c r="F359" s="2" t="s">
        <v>820</v>
      </c>
      <c r="G359" s="6" t="s">
        <v>1755</v>
      </c>
      <c r="H359" s="70">
        <v>50</v>
      </c>
      <c r="I359" s="72">
        <f>FastenersPriceList345[[#This Row],[Quantity (kg)]]/FastenersPriceList345[[#This Row],[SINGLE PC. WT.]]</f>
        <v>32.679738562091501</v>
      </c>
      <c r="J359" s="3">
        <v>158</v>
      </c>
      <c r="K359" s="3">
        <f>FastenersPriceList345[[#This Row],[1000 PCS/WT.]]*FastenersPriceList345[[#This Row],[Rate / PER kg (₹)]]</f>
        <v>241740</v>
      </c>
      <c r="L359" s="4">
        <f>FastenersPriceList345[[#This Row],[Rate / PER kg (₹)]]*FastenersPriceList345[[#This Row],[Quantity (kg)]]</f>
        <v>7900</v>
      </c>
      <c r="M359" s="4">
        <f>FastenersPriceList345[[#This Row],[SINGLE PC. WT.]]*FastenersPriceList345[[#This Row],[Rate / PER kg (₹)]]</f>
        <v>241.74</v>
      </c>
    </row>
    <row r="360" spans="1:13" ht="22.05" customHeight="1" x14ac:dyDescent="0.3">
      <c r="A360" s="2" t="s">
        <v>2533</v>
      </c>
      <c r="B360" s="12" t="s">
        <v>8</v>
      </c>
      <c r="C360" s="12">
        <v>12.9</v>
      </c>
      <c r="D360" s="2">
        <v>1620</v>
      </c>
      <c r="E360" s="2">
        <f>FastenersPriceList345[[#This Row],[1000 PCS/WT.]]/1000</f>
        <v>1.62</v>
      </c>
      <c r="F360" s="2" t="s">
        <v>821</v>
      </c>
      <c r="G360" s="6" t="s">
        <v>1755</v>
      </c>
      <c r="H360" s="70">
        <v>50</v>
      </c>
      <c r="I360" s="72">
        <f>FastenersPriceList345[[#This Row],[Quantity (kg)]]/FastenersPriceList345[[#This Row],[SINGLE PC. WT.]]</f>
        <v>30.864197530864196</v>
      </c>
      <c r="J360" s="3">
        <v>158</v>
      </c>
      <c r="K360" s="3">
        <f>FastenersPriceList345[[#This Row],[1000 PCS/WT.]]*FastenersPriceList345[[#This Row],[Rate / PER kg (₹)]]</f>
        <v>255960</v>
      </c>
      <c r="L360" s="4">
        <f>FastenersPriceList345[[#This Row],[Rate / PER kg (₹)]]*FastenersPriceList345[[#This Row],[Quantity (kg)]]</f>
        <v>7900</v>
      </c>
      <c r="M360" s="4">
        <f>FastenersPriceList345[[#This Row],[SINGLE PC. WT.]]*FastenersPriceList345[[#This Row],[Rate / PER kg (₹)]]</f>
        <v>255.96</v>
      </c>
    </row>
    <row r="361" spans="1:13" ht="22.05" customHeight="1" x14ac:dyDescent="0.3">
      <c r="A361" s="2" t="s">
        <v>2534</v>
      </c>
      <c r="B361" s="12" t="s">
        <v>8</v>
      </c>
      <c r="C361" s="12">
        <v>12.9</v>
      </c>
      <c r="D361" s="2">
        <v>1710</v>
      </c>
      <c r="E361" s="2">
        <f>FastenersPriceList345[[#This Row],[1000 PCS/WT.]]/1000</f>
        <v>1.71</v>
      </c>
      <c r="F361" s="2" t="s">
        <v>822</v>
      </c>
      <c r="G361" s="6" t="s">
        <v>1755</v>
      </c>
      <c r="H361" s="70">
        <v>50</v>
      </c>
      <c r="I361" s="72">
        <f>FastenersPriceList345[[#This Row],[Quantity (kg)]]/FastenersPriceList345[[#This Row],[SINGLE PC. WT.]]</f>
        <v>29.239766081871345</v>
      </c>
      <c r="J361" s="3">
        <v>158</v>
      </c>
      <c r="K361" s="3">
        <f>FastenersPriceList345[[#This Row],[1000 PCS/WT.]]*FastenersPriceList345[[#This Row],[Rate / PER kg (₹)]]</f>
        <v>270180</v>
      </c>
      <c r="L361" s="4">
        <f>FastenersPriceList345[[#This Row],[Rate / PER kg (₹)]]*FastenersPriceList345[[#This Row],[Quantity (kg)]]</f>
        <v>7900</v>
      </c>
      <c r="M361" s="4">
        <f>FastenersPriceList345[[#This Row],[SINGLE PC. WT.]]*FastenersPriceList345[[#This Row],[Rate / PER kg (₹)]]</f>
        <v>270.18</v>
      </c>
    </row>
    <row r="362" spans="1:13" ht="22.05" customHeight="1" x14ac:dyDescent="0.3">
      <c r="A362" s="2" t="s">
        <v>2535</v>
      </c>
      <c r="B362" s="12" t="s">
        <v>8</v>
      </c>
      <c r="C362" s="12">
        <v>12.9</v>
      </c>
      <c r="D362" s="2">
        <v>1800</v>
      </c>
      <c r="E362" s="2">
        <f>FastenersPriceList345[[#This Row],[1000 PCS/WT.]]/1000</f>
        <v>1.8</v>
      </c>
      <c r="F362" s="2" t="s">
        <v>823</v>
      </c>
      <c r="G362" s="6" t="s">
        <v>1755</v>
      </c>
      <c r="H362" s="70">
        <v>50</v>
      </c>
      <c r="I362" s="72">
        <f>FastenersPriceList345[[#This Row],[Quantity (kg)]]/FastenersPriceList345[[#This Row],[SINGLE PC. WT.]]</f>
        <v>27.777777777777779</v>
      </c>
      <c r="J362" s="3">
        <v>158</v>
      </c>
      <c r="K362" s="3">
        <f>FastenersPriceList345[[#This Row],[1000 PCS/WT.]]*FastenersPriceList345[[#This Row],[Rate / PER kg (₹)]]</f>
        <v>284400</v>
      </c>
      <c r="L362" s="4">
        <f>FastenersPriceList345[[#This Row],[Rate / PER kg (₹)]]*FastenersPriceList345[[#This Row],[Quantity (kg)]]</f>
        <v>7900</v>
      </c>
      <c r="M362" s="4">
        <f>FastenersPriceList345[[#This Row],[SINGLE PC. WT.]]*FastenersPriceList345[[#This Row],[Rate / PER kg (₹)]]</f>
        <v>284.40000000000003</v>
      </c>
    </row>
    <row r="363" spans="1:13" ht="22.05" customHeight="1" x14ac:dyDescent="0.3">
      <c r="A363" s="2" t="s">
        <v>2536</v>
      </c>
      <c r="B363" s="12" t="s">
        <v>8</v>
      </c>
      <c r="C363" s="12">
        <v>12.9</v>
      </c>
      <c r="D363" s="2">
        <v>1890</v>
      </c>
      <c r="E363" s="2">
        <f>FastenersPriceList345[[#This Row],[1000 PCS/WT.]]/1000</f>
        <v>1.89</v>
      </c>
      <c r="F363" s="2" t="s">
        <v>824</v>
      </c>
      <c r="G363" s="6" t="s">
        <v>1755</v>
      </c>
      <c r="H363" s="70">
        <v>50</v>
      </c>
      <c r="I363" s="72">
        <f>FastenersPriceList345[[#This Row],[Quantity (kg)]]/FastenersPriceList345[[#This Row],[SINGLE PC. WT.]]</f>
        <v>26.455026455026456</v>
      </c>
      <c r="J363" s="3">
        <v>158</v>
      </c>
      <c r="K363" s="3">
        <f>FastenersPriceList345[[#This Row],[1000 PCS/WT.]]*FastenersPriceList345[[#This Row],[Rate / PER kg (₹)]]</f>
        <v>298620</v>
      </c>
      <c r="L363" s="4">
        <f>FastenersPriceList345[[#This Row],[Rate / PER kg (₹)]]*FastenersPriceList345[[#This Row],[Quantity (kg)]]</f>
        <v>7900</v>
      </c>
      <c r="M363" s="4">
        <f>FastenersPriceList345[[#This Row],[SINGLE PC. WT.]]*FastenersPriceList345[[#This Row],[Rate / PER kg (₹)]]</f>
        <v>298.62</v>
      </c>
    </row>
    <row r="364" spans="1:13" ht="22.05" customHeight="1" x14ac:dyDescent="0.3">
      <c r="A364" s="2" t="s">
        <v>2537</v>
      </c>
      <c r="B364" s="12" t="s">
        <v>8</v>
      </c>
      <c r="C364" s="12">
        <v>12.9</v>
      </c>
      <c r="D364" s="2">
        <v>1980</v>
      </c>
      <c r="E364" s="2">
        <f>FastenersPriceList345[[#This Row],[1000 PCS/WT.]]/1000</f>
        <v>1.98</v>
      </c>
      <c r="F364" s="2" t="s">
        <v>825</v>
      </c>
      <c r="G364" s="6" t="s">
        <v>1755</v>
      </c>
      <c r="H364" s="70">
        <v>50</v>
      </c>
      <c r="I364" s="72">
        <f>FastenersPriceList345[[#This Row],[Quantity (kg)]]/FastenersPriceList345[[#This Row],[SINGLE PC. WT.]]</f>
        <v>25.252525252525253</v>
      </c>
      <c r="J364" s="3">
        <v>158</v>
      </c>
      <c r="K364" s="3">
        <f>FastenersPriceList345[[#This Row],[1000 PCS/WT.]]*FastenersPriceList345[[#This Row],[Rate / PER kg (₹)]]</f>
        <v>312840</v>
      </c>
      <c r="L364" s="4">
        <f>FastenersPriceList345[[#This Row],[Rate / PER kg (₹)]]*FastenersPriceList345[[#This Row],[Quantity (kg)]]</f>
        <v>7900</v>
      </c>
      <c r="M364" s="4">
        <f>FastenersPriceList345[[#This Row],[SINGLE PC. WT.]]*FastenersPriceList345[[#This Row],[Rate / PER kg (₹)]]</f>
        <v>312.83999999999997</v>
      </c>
    </row>
    <row r="365" spans="1:13" ht="22.05" customHeight="1" x14ac:dyDescent="0.3">
      <c r="A365" s="2" t="s">
        <v>2538</v>
      </c>
      <c r="B365" s="12" t="s">
        <v>8</v>
      </c>
      <c r="C365" s="12">
        <v>12.9</v>
      </c>
      <c r="D365" s="2">
        <v>2070</v>
      </c>
      <c r="E365" s="2">
        <f>FastenersPriceList345[[#This Row],[1000 PCS/WT.]]/1000</f>
        <v>2.0699999999999998</v>
      </c>
      <c r="F365" s="2" t="s">
        <v>826</v>
      </c>
      <c r="G365" s="6" t="s">
        <v>1755</v>
      </c>
      <c r="H365" s="70">
        <v>50</v>
      </c>
      <c r="I365" s="72">
        <f>FastenersPriceList345[[#This Row],[Quantity (kg)]]/FastenersPriceList345[[#This Row],[SINGLE PC. WT.]]</f>
        <v>24.154589371980677</v>
      </c>
      <c r="J365" s="3">
        <v>158</v>
      </c>
      <c r="K365" s="3">
        <f>FastenersPriceList345[[#This Row],[1000 PCS/WT.]]*FastenersPriceList345[[#This Row],[Rate / PER kg (₹)]]</f>
        <v>327060</v>
      </c>
      <c r="L365" s="4">
        <f>FastenersPriceList345[[#This Row],[Rate / PER kg (₹)]]*FastenersPriceList345[[#This Row],[Quantity (kg)]]</f>
        <v>7900</v>
      </c>
      <c r="M365" s="4">
        <f>FastenersPriceList345[[#This Row],[SINGLE PC. WT.]]*FastenersPriceList345[[#This Row],[Rate / PER kg (₹)]]</f>
        <v>327.06</v>
      </c>
    </row>
    <row r="366" spans="1:13" ht="22.05" customHeight="1" x14ac:dyDescent="0.3">
      <c r="A366" s="2" t="s">
        <v>2539</v>
      </c>
      <c r="B366" s="12" t="s">
        <v>8</v>
      </c>
      <c r="C366" s="12">
        <v>12.9</v>
      </c>
      <c r="D366" s="2">
        <v>2160</v>
      </c>
      <c r="E366" s="2">
        <f>FastenersPriceList345[[#This Row],[1000 PCS/WT.]]/1000</f>
        <v>2.16</v>
      </c>
      <c r="F366" s="2" t="s">
        <v>827</v>
      </c>
      <c r="G366" s="6" t="s">
        <v>1755</v>
      </c>
      <c r="H366" s="70">
        <v>50</v>
      </c>
      <c r="I366" s="72">
        <f>FastenersPriceList345[[#This Row],[Quantity (kg)]]/FastenersPriceList345[[#This Row],[SINGLE PC. WT.]]</f>
        <v>23.148148148148145</v>
      </c>
      <c r="J366" s="3">
        <v>158</v>
      </c>
      <c r="K366" s="3">
        <f>FastenersPriceList345[[#This Row],[1000 PCS/WT.]]*FastenersPriceList345[[#This Row],[Rate / PER kg (₹)]]</f>
        <v>341280</v>
      </c>
      <c r="L366" s="4">
        <f>FastenersPriceList345[[#This Row],[Rate / PER kg (₹)]]*FastenersPriceList345[[#This Row],[Quantity (kg)]]</f>
        <v>7900</v>
      </c>
      <c r="M366" s="4">
        <f>FastenersPriceList345[[#This Row],[SINGLE PC. WT.]]*FastenersPriceList345[[#This Row],[Rate / PER kg (₹)]]</f>
        <v>341.28000000000003</v>
      </c>
    </row>
    <row r="367" spans="1:13" ht="22.05" customHeight="1" x14ac:dyDescent="0.3">
      <c r="A367" s="2" t="s">
        <v>2540</v>
      </c>
      <c r="B367" s="12" t="s">
        <v>8</v>
      </c>
      <c r="C367" s="12">
        <v>12.9</v>
      </c>
      <c r="D367" s="2">
        <v>2250</v>
      </c>
      <c r="E367" s="2">
        <f>FastenersPriceList345[[#This Row],[1000 PCS/WT.]]/1000</f>
        <v>2.25</v>
      </c>
      <c r="F367" s="2" t="s">
        <v>828</v>
      </c>
      <c r="G367" s="6" t="s">
        <v>1755</v>
      </c>
      <c r="H367" s="70">
        <v>50</v>
      </c>
      <c r="I367" s="72">
        <f>FastenersPriceList345[[#This Row],[Quantity (kg)]]/FastenersPriceList345[[#This Row],[SINGLE PC. WT.]]</f>
        <v>22.222222222222221</v>
      </c>
      <c r="J367" s="3">
        <v>158</v>
      </c>
      <c r="K367" s="3">
        <f>FastenersPriceList345[[#This Row],[1000 PCS/WT.]]*FastenersPriceList345[[#This Row],[Rate / PER kg (₹)]]</f>
        <v>355500</v>
      </c>
      <c r="L367" s="4">
        <f>FastenersPriceList345[[#This Row],[Rate / PER kg (₹)]]*FastenersPriceList345[[#This Row],[Quantity (kg)]]</f>
        <v>7900</v>
      </c>
      <c r="M367" s="4">
        <f>FastenersPriceList345[[#This Row],[SINGLE PC. WT.]]*FastenersPriceList345[[#This Row],[Rate / PER kg (₹)]]</f>
        <v>355.5</v>
      </c>
    </row>
    <row r="368" spans="1:13" ht="22.05" customHeight="1" x14ac:dyDescent="0.3">
      <c r="A368" s="2" t="s">
        <v>2541</v>
      </c>
      <c r="B368" s="12" t="s">
        <v>8</v>
      </c>
      <c r="C368" s="12">
        <v>12.9</v>
      </c>
      <c r="D368" s="2">
        <v>2340</v>
      </c>
      <c r="E368" s="2">
        <f>FastenersPriceList345[[#This Row],[1000 PCS/WT.]]/1000</f>
        <v>2.34</v>
      </c>
      <c r="F368" s="2" t="s">
        <v>829</v>
      </c>
      <c r="G368" s="6" t="s">
        <v>1755</v>
      </c>
      <c r="H368" s="70">
        <v>50</v>
      </c>
      <c r="I368" s="72">
        <f>FastenersPriceList345[[#This Row],[Quantity (kg)]]/FastenersPriceList345[[#This Row],[SINGLE PC. WT.]]</f>
        <v>21.36752136752137</v>
      </c>
      <c r="J368" s="3">
        <v>158</v>
      </c>
      <c r="K368" s="3">
        <f>FastenersPriceList345[[#This Row],[1000 PCS/WT.]]*FastenersPriceList345[[#This Row],[Rate / PER kg (₹)]]</f>
        <v>369720</v>
      </c>
      <c r="L368" s="4">
        <f>FastenersPriceList345[[#This Row],[Rate / PER kg (₹)]]*FastenersPriceList345[[#This Row],[Quantity (kg)]]</f>
        <v>7900</v>
      </c>
      <c r="M368" s="4">
        <f>FastenersPriceList345[[#This Row],[SINGLE PC. WT.]]*FastenersPriceList345[[#This Row],[Rate / PER kg (₹)]]</f>
        <v>369.71999999999997</v>
      </c>
    </row>
    <row r="369" spans="1:13" ht="22.05" customHeight="1" x14ac:dyDescent="0.3">
      <c r="A369" s="2" t="s">
        <v>2542</v>
      </c>
      <c r="B369" s="12" t="s">
        <v>8</v>
      </c>
      <c r="C369" s="12">
        <v>12.9</v>
      </c>
      <c r="D369" s="2">
        <v>2430</v>
      </c>
      <c r="E369" s="2">
        <f>FastenersPriceList345[[#This Row],[1000 PCS/WT.]]/1000</f>
        <v>2.4300000000000002</v>
      </c>
      <c r="F369" s="2" t="s">
        <v>830</v>
      </c>
      <c r="G369" s="6" t="s">
        <v>1755</v>
      </c>
      <c r="H369" s="70">
        <v>50</v>
      </c>
      <c r="I369" s="72">
        <f>FastenersPriceList345[[#This Row],[Quantity (kg)]]/FastenersPriceList345[[#This Row],[SINGLE PC. WT.]]</f>
        <v>20.576131687242796</v>
      </c>
      <c r="J369" s="3">
        <v>160</v>
      </c>
      <c r="K369" s="3">
        <f>FastenersPriceList345[[#This Row],[1000 PCS/WT.]]*FastenersPriceList345[[#This Row],[Rate / PER kg (₹)]]</f>
        <v>388800</v>
      </c>
      <c r="L369" s="4">
        <f>FastenersPriceList345[[#This Row],[Rate / PER kg (₹)]]*FastenersPriceList345[[#This Row],[Quantity (kg)]]</f>
        <v>8000</v>
      </c>
      <c r="M369" s="4">
        <f>FastenersPriceList345[[#This Row],[SINGLE PC. WT.]]*FastenersPriceList345[[#This Row],[Rate / PER kg (₹)]]</f>
        <v>388.8</v>
      </c>
    </row>
    <row r="370" spans="1:13" ht="22.05" customHeight="1" x14ac:dyDescent="0.3">
      <c r="A370" s="2" t="s">
        <v>2543</v>
      </c>
      <c r="B370" s="12" t="s">
        <v>8</v>
      </c>
      <c r="C370" s="12">
        <v>12.9</v>
      </c>
      <c r="D370" s="2">
        <v>2520</v>
      </c>
      <c r="E370" s="2">
        <f>FastenersPriceList345[[#This Row],[1000 PCS/WT.]]/1000</f>
        <v>2.52</v>
      </c>
      <c r="F370" s="2" t="s">
        <v>831</v>
      </c>
      <c r="G370" s="6" t="s">
        <v>1755</v>
      </c>
      <c r="H370" s="70">
        <v>50</v>
      </c>
      <c r="I370" s="72">
        <f>FastenersPriceList345[[#This Row],[Quantity (kg)]]/FastenersPriceList345[[#This Row],[SINGLE PC. WT.]]</f>
        <v>19.841269841269842</v>
      </c>
      <c r="J370" s="3">
        <v>160</v>
      </c>
      <c r="K370" s="3">
        <f>FastenersPriceList345[[#This Row],[1000 PCS/WT.]]*FastenersPriceList345[[#This Row],[Rate / PER kg (₹)]]</f>
        <v>403200</v>
      </c>
      <c r="L370" s="4">
        <f>FastenersPriceList345[[#This Row],[Rate / PER kg (₹)]]*FastenersPriceList345[[#This Row],[Quantity (kg)]]</f>
        <v>8000</v>
      </c>
      <c r="M370" s="4">
        <f>FastenersPriceList345[[#This Row],[SINGLE PC. WT.]]*FastenersPriceList345[[#This Row],[Rate / PER kg (₹)]]</f>
        <v>403.2</v>
      </c>
    </row>
    <row r="371" spans="1:13" ht="22.05" customHeight="1" x14ac:dyDescent="0.3">
      <c r="A371" s="2" t="s">
        <v>2544</v>
      </c>
      <c r="B371" s="12" t="s">
        <v>8</v>
      </c>
      <c r="C371" s="12">
        <v>12.9</v>
      </c>
      <c r="D371" s="2">
        <v>2610</v>
      </c>
      <c r="E371" s="2">
        <f>FastenersPriceList345[[#This Row],[1000 PCS/WT.]]/1000</f>
        <v>2.61</v>
      </c>
      <c r="F371" s="2" t="s">
        <v>832</v>
      </c>
      <c r="G371" s="6" t="s">
        <v>1755</v>
      </c>
      <c r="H371" s="70">
        <v>50</v>
      </c>
      <c r="I371" s="72">
        <f>FastenersPriceList345[[#This Row],[Quantity (kg)]]/FastenersPriceList345[[#This Row],[SINGLE PC. WT.]]</f>
        <v>19.157088122605366</v>
      </c>
      <c r="J371" s="3">
        <v>160</v>
      </c>
      <c r="K371" s="3">
        <f>FastenersPriceList345[[#This Row],[1000 PCS/WT.]]*FastenersPriceList345[[#This Row],[Rate / PER kg (₹)]]</f>
        <v>417600</v>
      </c>
      <c r="L371" s="4">
        <f>FastenersPriceList345[[#This Row],[Rate / PER kg (₹)]]*FastenersPriceList345[[#This Row],[Quantity (kg)]]</f>
        <v>8000</v>
      </c>
      <c r="M371" s="4">
        <f>FastenersPriceList345[[#This Row],[SINGLE PC. WT.]]*FastenersPriceList345[[#This Row],[Rate / PER kg (₹)]]</f>
        <v>417.59999999999997</v>
      </c>
    </row>
    <row r="372" spans="1:13" ht="22.05" customHeight="1" x14ac:dyDescent="0.3">
      <c r="A372" s="2" t="s">
        <v>2545</v>
      </c>
      <c r="B372" s="12" t="s">
        <v>8</v>
      </c>
      <c r="C372" s="12">
        <v>12.9</v>
      </c>
      <c r="D372" s="2">
        <v>2700</v>
      </c>
      <c r="E372" s="2">
        <f>FastenersPriceList345[[#This Row],[1000 PCS/WT.]]/1000</f>
        <v>2.7</v>
      </c>
      <c r="F372" s="2" t="s">
        <v>833</v>
      </c>
      <c r="G372" s="6" t="s">
        <v>1755</v>
      </c>
      <c r="H372" s="70">
        <v>50</v>
      </c>
      <c r="I372" s="72">
        <f>FastenersPriceList345[[#This Row],[Quantity (kg)]]/FastenersPriceList345[[#This Row],[SINGLE PC. WT.]]</f>
        <v>18.518518518518519</v>
      </c>
      <c r="J372" s="3">
        <v>160</v>
      </c>
      <c r="K372" s="3">
        <f>FastenersPriceList345[[#This Row],[1000 PCS/WT.]]*FastenersPriceList345[[#This Row],[Rate / PER kg (₹)]]</f>
        <v>432000</v>
      </c>
      <c r="L372" s="4">
        <f>FastenersPriceList345[[#This Row],[Rate / PER kg (₹)]]*FastenersPriceList345[[#This Row],[Quantity (kg)]]</f>
        <v>8000</v>
      </c>
      <c r="M372" s="4">
        <f>FastenersPriceList345[[#This Row],[SINGLE PC. WT.]]*FastenersPriceList345[[#This Row],[Rate / PER kg (₹)]]</f>
        <v>432</v>
      </c>
    </row>
    <row r="373" spans="1:13" ht="22.05" customHeight="1" x14ac:dyDescent="0.3">
      <c r="A373" s="2" t="s">
        <v>2546</v>
      </c>
      <c r="B373" s="12" t="s">
        <v>8</v>
      </c>
      <c r="C373" s="12">
        <v>12.9</v>
      </c>
      <c r="D373" s="2">
        <v>2790</v>
      </c>
      <c r="E373" s="2">
        <f>FastenersPriceList345[[#This Row],[1000 PCS/WT.]]/1000</f>
        <v>2.79</v>
      </c>
      <c r="F373" s="2" t="s">
        <v>834</v>
      </c>
      <c r="G373" s="6" t="s">
        <v>1755</v>
      </c>
      <c r="H373" s="70">
        <v>50</v>
      </c>
      <c r="I373" s="72">
        <f>FastenersPriceList345[[#This Row],[Quantity (kg)]]/FastenersPriceList345[[#This Row],[SINGLE PC. WT.]]</f>
        <v>17.921146953405017</v>
      </c>
      <c r="J373" s="3">
        <v>160</v>
      </c>
      <c r="K373" s="3">
        <f>FastenersPriceList345[[#This Row],[1000 PCS/WT.]]*FastenersPriceList345[[#This Row],[Rate / PER kg (₹)]]</f>
        <v>446400</v>
      </c>
      <c r="L373" s="4">
        <f>FastenersPriceList345[[#This Row],[Rate / PER kg (₹)]]*FastenersPriceList345[[#This Row],[Quantity (kg)]]</f>
        <v>8000</v>
      </c>
      <c r="M373" s="4">
        <f>FastenersPriceList345[[#This Row],[SINGLE PC. WT.]]*FastenersPriceList345[[#This Row],[Rate / PER kg (₹)]]</f>
        <v>446.4</v>
      </c>
    </row>
    <row r="374" spans="1:13" ht="22.05" customHeight="1" x14ac:dyDescent="0.3">
      <c r="A374" s="2" t="s">
        <v>2547</v>
      </c>
      <c r="B374" s="12" t="s">
        <v>8</v>
      </c>
      <c r="C374" s="12">
        <v>12.9</v>
      </c>
      <c r="D374" s="2">
        <v>2880</v>
      </c>
      <c r="E374" s="2">
        <f>FastenersPriceList345[[#This Row],[1000 PCS/WT.]]/1000</f>
        <v>2.88</v>
      </c>
      <c r="F374" s="2" t="s">
        <v>835</v>
      </c>
      <c r="G374" s="6" t="s">
        <v>1755</v>
      </c>
      <c r="H374" s="70">
        <v>50</v>
      </c>
      <c r="I374" s="72">
        <f>FastenersPriceList345[[#This Row],[Quantity (kg)]]/FastenersPriceList345[[#This Row],[SINGLE PC. WT.]]</f>
        <v>17.361111111111111</v>
      </c>
      <c r="J374" s="3">
        <v>160</v>
      </c>
      <c r="K374" s="3">
        <f>FastenersPriceList345[[#This Row],[1000 PCS/WT.]]*FastenersPriceList345[[#This Row],[Rate / PER kg (₹)]]</f>
        <v>460800</v>
      </c>
      <c r="L374" s="4">
        <f>FastenersPriceList345[[#This Row],[Rate / PER kg (₹)]]*FastenersPriceList345[[#This Row],[Quantity (kg)]]</f>
        <v>8000</v>
      </c>
      <c r="M374" s="4">
        <f>FastenersPriceList345[[#This Row],[SINGLE PC. WT.]]*FastenersPriceList345[[#This Row],[Rate / PER kg (₹)]]</f>
        <v>460.79999999999995</v>
      </c>
    </row>
    <row r="375" spans="1:13" ht="22.05" customHeight="1" x14ac:dyDescent="0.3">
      <c r="A375" s="2" t="s">
        <v>2548</v>
      </c>
      <c r="B375" s="12" t="s">
        <v>8</v>
      </c>
      <c r="C375" s="12">
        <v>12.9</v>
      </c>
      <c r="D375" s="2">
        <v>2970</v>
      </c>
      <c r="E375" s="2">
        <f>FastenersPriceList345[[#This Row],[1000 PCS/WT.]]/1000</f>
        <v>2.97</v>
      </c>
      <c r="F375" s="2" t="s">
        <v>836</v>
      </c>
      <c r="G375" s="6" t="s">
        <v>1755</v>
      </c>
      <c r="H375" s="70">
        <v>50</v>
      </c>
      <c r="I375" s="72">
        <f>FastenersPriceList345[[#This Row],[Quantity (kg)]]/FastenersPriceList345[[#This Row],[SINGLE PC. WT.]]</f>
        <v>16.835016835016834</v>
      </c>
      <c r="J375" s="3">
        <v>160</v>
      </c>
      <c r="K375" s="3">
        <f>FastenersPriceList345[[#This Row],[1000 PCS/WT.]]*FastenersPriceList345[[#This Row],[Rate / PER kg (₹)]]</f>
        <v>475200</v>
      </c>
      <c r="L375" s="4">
        <f>FastenersPriceList345[[#This Row],[Rate / PER kg (₹)]]*FastenersPriceList345[[#This Row],[Quantity (kg)]]</f>
        <v>8000</v>
      </c>
      <c r="M375" s="4">
        <f>FastenersPriceList345[[#This Row],[SINGLE PC. WT.]]*FastenersPriceList345[[#This Row],[Rate / PER kg (₹)]]</f>
        <v>475.20000000000005</v>
      </c>
    </row>
    <row r="376" spans="1:13" ht="22.05" customHeight="1" x14ac:dyDescent="0.3">
      <c r="A376" s="2" t="s">
        <v>2549</v>
      </c>
      <c r="B376" s="12" t="s">
        <v>8</v>
      </c>
      <c r="C376" s="12">
        <v>12.9</v>
      </c>
      <c r="D376" s="2">
        <v>3060</v>
      </c>
      <c r="E376" s="2">
        <f>FastenersPriceList345[[#This Row],[1000 PCS/WT.]]/1000</f>
        <v>3.06</v>
      </c>
      <c r="F376" s="2" t="s">
        <v>837</v>
      </c>
      <c r="G376" s="6" t="s">
        <v>1755</v>
      </c>
      <c r="H376" s="70">
        <v>50</v>
      </c>
      <c r="I376" s="72">
        <f>FastenersPriceList345[[#This Row],[Quantity (kg)]]/FastenersPriceList345[[#This Row],[SINGLE PC. WT.]]</f>
        <v>16.33986928104575</v>
      </c>
      <c r="J376" s="3">
        <v>160</v>
      </c>
      <c r="K376" s="3">
        <f>FastenersPriceList345[[#This Row],[1000 PCS/WT.]]*FastenersPriceList345[[#This Row],[Rate / PER kg (₹)]]</f>
        <v>489600</v>
      </c>
      <c r="L376" s="4">
        <f>FastenersPriceList345[[#This Row],[Rate / PER kg (₹)]]*FastenersPriceList345[[#This Row],[Quantity (kg)]]</f>
        <v>8000</v>
      </c>
      <c r="M376" s="4">
        <f>FastenersPriceList345[[#This Row],[SINGLE PC. WT.]]*FastenersPriceList345[[#This Row],[Rate / PER kg (₹)]]</f>
        <v>489.6</v>
      </c>
    </row>
    <row r="377" spans="1:13" ht="22.05" customHeight="1" x14ac:dyDescent="0.3">
      <c r="A377" s="2" t="s">
        <v>2550</v>
      </c>
      <c r="B377" s="12" t="s">
        <v>8</v>
      </c>
      <c r="C377" s="12">
        <v>12.9</v>
      </c>
      <c r="D377" s="2">
        <v>3150</v>
      </c>
      <c r="E377" s="2">
        <f>FastenersPriceList345[[#This Row],[1000 PCS/WT.]]/1000</f>
        <v>3.15</v>
      </c>
      <c r="F377" s="2" t="s">
        <v>838</v>
      </c>
      <c r="G377" s="6" t="s">
        <v>1755</v>
      </c>
      <c r="H377" s="70">
        <v>50</v>
      </c>
      <c r="I377" s="72">
        <f>FastenersPriceList345[[#This Row],[Quantity (kg)]]/FastenersPriceList345[[#This Row],[SINGLE PC. WT.]]</f>
        <v>15.873015873015873</v>
      </c>
      <c r="J377" s="3">
        <v>160</v>
      </c>
      <c r="K377" s="3">
        <f>FastenersPriceList345[[#This Row],[1000 PCS/WT.]]*FastenersPriceList345[[#This Row],[Rate / PER kg (₹)]]</f>
        <v>504000</v>
      </c>
      <c r="L377" s="4">
        <f>FastenersPriceList345[[#This Row],[Rate / PER kg (₹)]]*FastenersPriceList345[[#This Row],[Quantity (kg)]]</f>
        <v>8000</v>
      </c>
      <c r="M377" s="4">
        <f>FastenersPriceList345[[#This Row],[SINGLE PC. WT.]]*FastenersPriceList345[[#This Row],[Rate / PER kg (₹)]]</f>
        <v>504</v>
      </c>
    </row>
    <row r="378" spans="1:13" ht="22.05" customHeight="1" x14ac:dyDescent="0.3">
      <c r="A378" s="2" t="s">
        <v>2551</v>
      </c>
      <c r="B378" s="12" t="s">
        <v>8</v>
      </c>
      <c r="C378" s="12">
        <v>12.9</v>
      </c>
      <c r="D378" s="2">
        <v>3240</v>
      </c>
      <c r="E378" s="2">
        <f>FastenersPriceList345[[#This Row],[1000 PCS/WT.]]/1000</f>
        <v>3.24</v>
      </c>
      <c r="F378" s="2" t="s">
        <v>839</v>
      </c>
      <c r="G378" s="6" t="s">
        <v>1755</v>
      </c>
      <c r="H378" s="70">
        <v>50</v>
      </c>
      <c r="I378" s="72">
        <f>FastenersPriceList345[[#This Row],[Quantity (kg)]]/FastenersPriceList345[[#This Row],[SINGLE PC. WT.]]</f>
        <v>15.432098765432098</v>
      </c>
      <c r="J378" s="3">
        <v>160</v>
      </c>
      <c r="K378" s="3">
        <f>FastenersPriceList345[[#This Row],[1000 PCS/WT.]]*FastenersPriceList345[[#This Row],[Rate / PER kg (₹)]]</f>
        <v>518400</v>
      </c>
      <c r="L378" s="4">
        <f>FastenersPriceList345[[#This Row],[Rate / PER kg (₹)]]*FastenersPriceList345[[#This Row],[Quantity (kg)]]</f>
        <v>8000</v>
      </c>
      <c r="M378" s="4">
        <f>FastenersPriceList345[[#This Row],[SINGLE PC. WT.]]*FastenersPriceList345[[#This Row],[Rate / PER kg (₹)]]</f>
        <v>518.40000000000009</v>
      </c>
    </row>
    <row r="379" spans="1:13" ht="22.05" customHeight="1" x14ac:dyDescent="0.3">
      <c r="A379" s="2" t="s">
        <v>2552</v>
      </c>
      <c r="B379" s="12" t="s">
        <v>8</v>
      </c>
      <c r="C379" s="12">
        <v>12.9</v>
      </c>
      <c r="D379" s="2">
        <v>1390</v>
      </c>
      <c r="E379" s="2">
        <f>FastenersPriceList345[[#This Row],[1000 PCS/WT.]]/1000</f>
        <v>1.39</v>
      </c>
      <c r="F379" s="2" t="s">
        <v>840</v>
      </c>
      <c r="G379" s="6" t="s">
        <v>1755</v>
      </c>
      <c r="H379" s="70">
        <v>50</v>
      </c>
      <c r="I379" s="72">
        <f>FastenersPriceList345[[#This Row],[Quantity (kg)]]/FastenersPriceList345[[#This Row],[SINGLE PC. WT.]]</f>
        <v>35.971223021582738</v>
      </c>
      <c r="J379" s="3">
        <v>152</v>
      </c>
      <c r="K379" s="3">
        <f>FastenersPriceList345[[#This Row],[1000 PCS/WT.]]*FastenersPriceList345[[#This Row],[Rate / PER kg (₹)]]</f>
        <v>211280</v>
      </c>
      <c r="L379" s="4">
        <f>FastenersPriceList345[[#This Row],[Rate / PER kg (₹)]]*FastenersPriceList345[[#This Row],[Quantity (kg)]]</f>
        <v>7600</v>
      </c>
      <c r="M379" s="4">
        <f>FastenersPriceList345[[#This Row],[SINGLE PC. WT.]]*FastenersPriceList345[[#This Row],[Rate / PER kg (₹)]]</f>
        <v>211.27999999999997</v>
      </c>
    </row>
    <row r="380" spans="1:13" ht="22.05" customHeight="1" x14ac:dyDescent="0.3">
      <c r="A380" s="2" t="s">
        <v>2553</v>
      </c>
      <c r="B380" s="12" t="s">
        <v>8</v>
      </c>
      <c r="C380" s="12">
        <v>12.9</v>
      </c>
      <c r="D380" s="2">
        <v>1445</v>
      </c>
      <c r="E380" s="2">
        <f>FastenersPriceList345[[#This Row],[1000 PCS/WT.]]/1000</f>
        <v>1.4450000000000001</v>
      </c>
      <c r="F380" s="2" t="s">
        <v>841</v>
      </c>
      <c r="G380" s="6" t="s">
        <v>1755</v>
      </c>
      <c r="H380" s="70">
        <v>50</v>
      </c>
      <c r="I380" s="72">
        <f>FastenersPriceList345[[#This Row],[Quantity (kg)]]/FastenersPriceList345[[#This Row],[SINGLE PC. WT.]]</f>
        <v>34.602076124567475</v>
      </c>
      <c r="J380" s="3">
        <v>152</v>
      </c>
      <c r="K380" s="3">
        <f>FastenersPriceList345[[#This Row],[1000 PCS/WT.]]*FastenersPriceList345[[#This Row],[Rate / PER kg (₹)]]</f>
        <v>219640</v>
      </c>
      <c r="L380" s="4">
        <f>FastenersPriceList345[[#This Row],[Rate / PER kg (₹)]]*FastenersPriceList345[[#This Row],[Quantity (kg)]]</f>
        <v>7600</v>
      </c>
      <c r="M380" s="4">
        <f>FastenersPriceList345[[#This Row],[SINGLE PC. WT.]]*FastenersPriceList345[[#This Row],[Rate / PER kg (₹)]]</f>
        <v>219.64000000000001</v>
      </c>
    </row>
    <row r="381" spans="1:13" ht="22.05" customHeight="1" x14ac:dyDescent="0.3">
      <c r="A381" s="2" t="s">
        <v>2554</v>
      </c>
      <c r="B381" s="12" t="s">
        <v>8</v>
      </c>
      <c r="C381" s="12">
        <v>12.9</v>
      </c>
      <c r="D381" s="2">
        <v>1500</v>
      </c>
      <c r="E381" s="2">
        <f>FastenersPriceList345[[#This Row],[1000 PCS/WT.]]/1000</f>
        <v>1.5</v>
      </c>
      <c r="F381" s="2" t="s">
        <v>842</v>
      </c>
      <c r="G381" s="6" t="s">
        <v>1755</v>
      </c>
      <c r="H381" s="70">
        <v>50</v>
      </c>
      <c r="I381" s="72">
        <f>FastenersPriceList345[[#This Row],[Quantity (kg)]]/FastenersPriceList345[[#This Row],[SINGLE PC. WT.]]</f>
        <v>33.333333333333336</v>
      </c>
      <c r="J381" s="3">
        <v>152</v>
      </c>
      <c r="K381" s="3">
        <f>FastenersPriceList345[[#This Row],[1000 PCS/WT.]]*FastenersPriceList345[[#This Row],[Rate / PER kg (₹)]]</f>
        <v>228000</v>
      </c>
      <c r="L381" s="4">
        <f>FastenersPriceList345[[#This Row],[Rate / PER kg (₹)]]*FastenersPriceList345[[#This Row],[Quantity (kg)]]</f>
        <v>7600</v>
      </c>
      <c r="M381" s="4">
        <f>FastenersPriceList345[[#This Row],[SINGLE PC. WT.]]*FastenersPriceList345[[#This Row],[Rate / PER kg (₹)]]</f>
        <v>228</v>
      </c>
    </row>
    <row r="382" spans="1:13" ht="22.05" customHeight="1" x14ac:dyDescent="0.3">
      <c r="A382" s="2" t="s">
        <v>2555</v>
      </c>
      <c r="B382" s="12" t="s">
        <v>8</v>
      </c>
      <c r="C382" s="12">
        <v>12.9</v>
      </c>
      <c r="D382" s="2">
        <v>1555</v>
      </c>
      <c r="E382" s="2">
        <f>FastenersPriceList345[[#This Row],[1000 PCS/WT.]]/1000</f>
        <v>1.5549999999999999</v>
      </c>
      <c r="F382" s="2" t="s">
        <v>843</v>
      </c>
      <c r="G382" s="6" t="s">
        <v>1755</v>
      </c>
      <c r="H382" s="70">
        <v>50</v>
      </c>
      <c r="I382" s="72">
        <f>FastenersPriceList345[[#This Row],[Quantity (kg)]]/FastenersPriceList345[[#This Row],[SINGLE PC. WT.]]</f>
        <v>32.154340836012864</v>
      </c>
      <c r="J382" s="3">
        <v>152</v>
      </c>
      <c r="K382" s="3">
        <f>FastenersPriceList345[[#This Row],[1000 PCS/WT.]]*FastenersPriceList345[[#This Row],[Rate / PER kg (₹)]]</f>
        <v>236360</v>
      </c>
      <c r="L382" s="4">
        <f>FastenersPriceList345[[#This Row],[Rate / PER kg (₹)]]*FastenersPriceList345[[#This Row],[Quantity (kg)]]</f>
        <v>7600</v>
      </c>
      <c r="M382" s="4">
        <f>FastenersPriceList345[[#This Row],[SINGLE PC. WT.]]*FastenersPriceList345[[#This Row],[Rate / PER kg (₹)]]</f>
        <v>236.35999999999999</v>
      </c>
    </row>
    <row r="383" spans="1:13" ht="22.05" customHeight="1" x14ac:dyDescent="0.3">
      <c r="A383" s="2" t="s">
        <v>2556</v>
      </c>
      <c r="B383" s="12" t="s">
        <v>8</v>
      </c>
      <c r="C383" s="12">
        <v>12.9</v>
      </c>
      <c r="D383" s="2">
        <v>1610</v>
      </c>
      <c r="E383" s="2">
        <f>FastenersPriceList345[[#This Row],[1000 PCS/WT.]]/1000</f>
        <v>1.61</v>
      </c>
      <c r="F383" s="2" t="s">
        <v>844</v>
      </c>
      <c r="G383" s="6" t="s">
        <v>1755</v>
      </c>
      <c r="H383" s="70">
        <v>50</v>
      </c>
      <c r="I383" s="72">
        <f>FastenersPriceList345[[#This Row],[Quantity (kg)]]/FastenersPriceList345[[#This Row],[SINGLE PC. WT.]]</f>
        <v>31.05590062111801</v>
      </c>
      <c r="J383" s="3">
        <v>152</v>
      </c>
      <c r="K383" s="3">
        <f>FastenersPriceList345[[#This Row],[1000 PCS/WT.]]*FastenersPriceList345[[#This Row],[Rate / PER kg (₹)]]</f>
        <v>244720</v>
      </c>
      <c r="L383" s="4">
        <f>FastenersPriceList345[[#This Row],[Rate / PER kg (₹)]]*FastenersPriceList345[[#This Row],[Quantity (kg)]]</f>
        <v>7600</v>
      </c>
      <c r="M383" s="4">
        <f>FastenersPriceList345[[#This Row],[SINGLE PC. WT.]]*FastenersPriceList345[[#This Row],[Rate / PER kg (₹)]]</f>
        <v>244.72000000000003</v>
      </c>
    </row>
    <row r="384" spans="1:13" ht="22.05" customHeight="1" x14ac:dyDescent="0.3">
      <c r="A384" s="2" t="s">
        <v>2557</v>
      </c>
      <c r="B384" s="12" t="s">
        <v>8</v>
      </c>
      <c r="C384" s="12">
        <v>12.9</v>
      </c>
      <c r="D384" s="2">
        <v>1665</v>
      </c>
      <c r="E384" s="2">
        <f>FastenersPriceList345[[#This Row],[1000 PCS/WT.]]/1000</f>
        <v>1.665</v>
      </c>
      <c r="F384" s="2" t="s">
        <v>845</v>
      </c>
      <c r="G384" s="6" t="s">
        <v>1755</v>
      </c>
      <c r="H384" s="70">
        <v>50</v>
      </c>
      <c r="I384" s="72">
        <f>FastenersPriceList345[[#This Row],[Quantity (kg)]]/FastenersPriceList345[[#This Row],[SINGLE PC. WT.]]</f>
        <v>30.03003003003003</v>
      </c>
      <c r="J384" s="3">
        <v>152</v>
      </c>
      <c r="K384" s="3">
        <f>FastenersPriceList345[[#This Row],[1000 PCS/WT.]]*FastenersPriceList345[[#This Row],[Rate / PER kg (₹)]]</f>
        <v>253080</v>
      </c>
      <c r="L384" s="4">
        <f>FastenersPriceList345[[#This Row],[Rate / PER kg (₹)]]*FastenersPriceList345[[#This Row],[Quantity (kg)]]</f>
        <v>7600</v>
      </c>
      <c r="M384" s="4">
        <f>FastenersPriceList345[[#This Row],[SINGLE PC. WT.]]*FastenersPriceList345[[#This Row],[Rate / PER kg (₹)]]</f>
        <v>253.08</v>
      </c>
    </row>
    <row r="385" spans="1:13" ht="22.05" customHeight="1" x14ac:dyDescent="0.3">
      <c r="A385" s="2" t="s">
        <v>2558</v>
      </c>
      <c r="B385" s="12" t="s">
        <v>8</v>
      </c>
      <c r="C385" s="12">
        <v>12.9</v>
      </c>
      <c r="D385" s="2">
        <v>1720</v>
      </c>
      <c r="E385" s="2">
        <f>FastenersPriceList345[[#This Row],[1000 PCS/WT.]]/1000</f>
        <v>1.72</v>
      </c>
      <c r="F385" s="2" t="s">
        <v>846</v>
      </c>
      <c r="G385" s="6" t="s">
        <v>1755</v>
      </c>
      <c r="H385" s="70">
        <v>50</v>
      </c>
      <c r="I385" s="72">
        <f>FastenersPriceList345[[#This Row],[Quantity (kg)]]/FastenersPriceList345[[#This Row],[SINGLE PC. WT.]]</f>
        <v>29.069767441860467</v>
      </c>
      <c r="J385" s="3">
        <v>152</v>
      </c>
      <c r="K385" s="3">
        <f>FastenersPriceList345[[#This Row],[1000 PCS/WT.]]*FastenersPriceList345[[#This Row],[Rate / PER kg (₹)]]</f>
        <v>261440</v>
      </c>
      <c r="L385" s="4">
        <f>FastenersPriceList345[[#This Row],[Rate / PER kg (₹)]]*FastenersPriceList345[[#This Row],[Quantity (kg)]]</f>
        <v>7600</v>
      </c>
      <c r="M385" s="4">
        <f>FastenersPriceList345[[#This Row],[SINGLE PC. WT.]]*FastenersPriceList345[[#This Row],[Rate / PER kg (₹)]]</f>
        <v>261.44</v>
      </c>
    </row>
    <row r="386" spans="1:13" ht="22.05" customHeight="1" x14ac:dyDescent="0.3">
      <c r="A386" s="2" t="s">
        <v>2559</v>
      </c>
      <c r="B386" s="12" t="s">
        <v>8</v>
      </c>
      <c r="C386" s="12">
        <v>12.9</v>
      </c>
      <c r="D386" s="2">
        <v>1824</v>
      </c>
      <c r="E386" s="2">
        <f>FastenersPriceList345[[#This Row],[1000 PCS/WT.]]/1000</f>
        <v>1.8240000000000001</v>
      </c>
      <c r="F386" s="2" t="s">
        <v>847</v>
      </c>
      <c r="G386" s="6" t="s">
        <v>1755</v>
      </c>
      <c r="H386" s="70">
        <v>50</v>
      </c>
      <c r="I386" s="72">
        <f>FastenersPriceList345[[#This Row],[Quantity (kg)]]/FastenersPriceList345[[#This Row],[SINGLE PC. WT.]]</f>
        <v>27.412280701754383</v>
      </c>
      <c r="J386" s="3">
        <v>155</v>
      </c>
      <c r="K386" s="3">
        <f>FastenersPriceList345[[#This Row],[1000 PCS/WT.]]*FastenersPriceList345[[#This Row],[Rate / PER kg (₹)]]</f>
        <v>282720</v>
      </c>
      <c r="L386" s="4">
        <f>FastenersPriceList345[[#This Row],[Rate / PER kg (₹)]]*FastenersPriceList345[[#This Row],[Quantity (kg)]]</f>
        <v>7750</v>
      </c>
      <c r="M386" s="4">
        <f>FastenersPriceList345[[#This Row],[SINGLE PC. WT.]]*FastenersPriceList345[[#This Row],[Rate / PER kg (₹)]]</f>
        <v>282.72000000000003</v>
      </c>
    </row>
    <row r="387" spans="1:13" ht="22.05" customHeight="1" x14ac:dyDescent="0.3">
      <c r="A387" s="2" t="s">
        <v>2560</v>
      </c>
      <c r="B387" s="12" t="s">
        <v>8</v>
      </c>
      <c r="C387" s="12">
        <v>12.9</v>
      </c>
      <c r="D387" s="2">
        <v>1928</v>
      </c>
      <c r="E387" s="2">
        <f>FastenersPriceList345[[#This Row],[1000 PCS/WT.]]/1000</f>
        <v>1.9279999999999999</v>
      </c>
      <c r="F387" s="2" t="s">
        <v>848</v>
      </c>
      <c r="G387" s="6" t="s">
        <v>1755</v>
      </c>
      <c r="H387" s="70">
        <v>50</v>
      </c>
      <c r="I387" s="72">
        <f>FastenersPriceList345[[#This Row],[Quantity (kg)]]/FastenersPriceList345[[#This Row],[SINGLE PC. WT.]]</f>
        <v>25.933609958506224</v>
      </c>
      <c r="J387" s="3">
        <v>155</v>
      </c>
      <c r="K387" s="3">
        <f>FastenersPriceList345[[#This Row],[1000 PCS/WT.]]*FastenersPriceList345[[#This Row],[Rate / PER kg (₹)]]</f>
        <v>298840</v>
      </c>
      <c r="L387" s="4">
        <f>FastenersPriceList345[[#This Row],[Rate / PER kg (₹)]]*FastenersPriceList345[[#This Row],[Quantity (kg)]]</f>
        <v>7750</v>
      </c>
      <c r="M387" s="4">
        <f>FastenersPriceList345[[#This Row],[SINGLE PC. WT.]]*FastenersPriceList345[[#This Row],[Rate / PER kg (₹)]]</f>
        <v>298.83999999999997</v>
      </c>
    </row>
    <row r="388" spans="1:13" ht="22.05" customHeight="1" x14ac:dyDescent="0.3">
      <c r="A388" s="2" t="s">
        <v>2561</v>
      </c>
      <c r="B388" s="12" t="s">
        <v>8</v>
      </c>
      <c r="C388" s="12">
        <v>12.9</v>
      </c>
      <c r="D388" s="2">
        <v>2032</v>
      </c>
      <c r="E388" s="2">
        <f>FastenersPriceList345[[#This Row],[1000 PCS/WT.]]/1000</f>
        <v>2.032</v>
      </c>
      <c r="F388" s="2" t="s">
        <v>849</v>
      </c>
      <c r="G388" s="6" t="s">
        <v>1755</v>
      </c>
      <c r="H388" s="70">
        <v>50</v>
      </c>
      <c r="I388" s="72">
        <f>FastenersPriceList345[[#This Row],[Quantity (kg)]]/FastenersPriceList345[[#This Row],[SINGLE PC. WT.]]</f>
        <v>24.606299212598426</v>
      </c>
      <c r="J388" s="3">
        <v>155</v>
      </c>
      <c r="K388" s="3">
        <f>FastenersPriceList345[[#This Row],[1000 PCS/WT.]]*FastenersPriceList345[[#This Row],[Rate / PER kg (₹)]]</f>
        <v>314960</v>
      </c>
      <c r="L388" s="4">
        <f>FastenersPriceList345[[#This Row],[Rate / PER kg (₹)]]*FastenersPriceList345[[#This Row],[Quantity (kg)]]</f>
        <v>7750</v>
      </c>
      <c r="M388" s="4">
        <f>FastenersPriceList345[[#This Row],[SINGLE PC. WT.]]*FastenersPriceList345[[#This Row],[Rate / PER kg (₹)]]</f>
        <v>314.95999999999998</v>
      </c>
    </row>
    <row r="389" spans="1:13" ht="22.05" customHeight="1" x14ac:dyDescent="0.3">
      <c r="A389" s="2" t="s">
        <v>2562</v>
      </c>
      <c r="B389" s="12" t="s">
        <v>8</v>
      </c>
      <c r="C389" s="12">
        <v>12.9</v>
      </c>
      <c r="D389" s="2">
        <v>2136</v>
      </c>
      <c r="E389" s="2">
        <f>FastenersPriceList345[[#This Row],[1000 PCS/WT.]]/1000</f>
        <v>2.1360000000000001</v>
      </c>
      <c r="F389" s="2" t="s">
        <v>850</v>
      </c>
      <c r="G389" s="6" t="s">
        <v>1755</v>
      </c>
      <c r="H389" s="70">
        <v>50</v>
      </c>
      <c r="I389" s="72">
        <f>FastenersPriceList345[[#This Row],[Quantity (kg)]]/FastenersPriceList345[[#This Row],[SINGLE PC. WT.]]</f>
        <v>23.40823970037453</v>
      </c>
      <c r="J389" s="3">
        <v>155</v>
      </c>
      <c r="K389" s="3">
        <f>FastenersPriceList345[[#This Row],[1000 PCS/WT.]]*FastenersPriceList345[[#This Row],[Rate / PER kg (₹)]]</f>
        <v>331080</v>
      </c>
      <c r="L389" s="4">
        <f>FastenersPriceList345[[#This Row],[Rate / PER kg (₹)]]*FastenersPriceList345[[#This Row],[Quantity (kg)]]</f>
        <v>7750</v>
      </c>
      <c r="M389" s="4">
        <f>FastenersPriceList345[[#This Row],[SINGLE PC. WT.]]*FastenersPriceList345[[#This Row],[Rate / PER kg (₹)]]</f>
        <v>331.08000000000004</v>
      </c>
    </row>
    <row r="390" spans="1:13" ht="22.05" customHeight="1" x14ac:dyDescent="0.3">
      <c r="A390" s="2" t="s">
        <v>2563</v>
      </c>
      <c r="B390" s="12" t="s">
        <v>8</v>
      </c>
      <c r="C390" s="12">
        <v>12.9</v>
      </c>
      <c r="D390" s="2">
        <v>2240</v>
      </c>
      <c r="E390" s="2">
        <f>FastenersPriceList345[[#This Row],[1000 PCS/WT.]]/1000</f>
        <v>2.2400000000000002</v>
      </c>
      <c r="F390" s="2" t="s">
        <v>851</v>
      </c>
      <c r="G390" s="6" t="s">
        <v>1755</v>
      </c>
      <c r="H390" s="70">
        <v>50</v>
      </c>
      <c r="I390" s="72">
        <f>FastenersPriceList345[[#This Row],[Quantity (kg)]]/FastenersPriceList345[[#This Row],[SINGLE PC. WT.]]</f>
        <v>22.321428571428569</v>
      </c>
      <c r="J390" s="3">
        <v>155</v>
      </c>
      <c r="K390" s="3">
        <f>FastenersPriceList345[[#This Row],[1000 PCS/WT.]]*FastenersPriceList345[[#This Row],[Rate / PER kg (₹)]]</f>
        <v>347200</v>
      </c>
      <c r="L390" s="4">
        <f>FastenersPriceList345[[#This Row],[Rate / PER kg (₹)]]*FastenersPriceList345[[#This Row],[Quantity (kg)]]</f>
        <v>7750</v>
      </c>
      <c r="M390" s="4">
        <f>FastenersPriceList345[[#This Row],[SINGLE PC. WT.]]*FastenersPriceList345[[#This Row],[Rate / PER kg (₹)]]</f>
        <v>347.20000000000005</v>
      </c>
    </row>
    <row r="391" spans="1:13" ht="22.05" customHeight="1" x14ac:dyDescent="0.3">
      <c r="A391" s="2" t="s">
        <v>2564</v>
      </c>
      <c r="B391" s="12" t="s">
        <v>8</v>
      </c>
      <c r="C391" s="12">
        <v>12.9</v>
      </c>
      <c r="D391" s="2">
        <v>2344</v>
      </c>
      <c r="E391" s="2">
        <f>FastenersPriceList345[[#This Row],[1000 PCS/WT.]]/1000</f>
        <v>2.3439999999999999</v>
      </c>
      <c r="F391" s="2" t="s">
        <v>852</v>
      </c>
      <c r="G391" s="6" t="s">
        <v>1755</v>
      </c>
      <c r="H391" s="70">
        <v>50</v>
      </c>
      <c r="I391" s="72">
        <f>FastenersPriceList345[[#This Row],[Quantity (kg)]]/FastenersPriceList345[[#This Row],[SINGLE PC. WT.]]</f>
        <v>21.331058020477816</v>
      </c>
      <c r="J391" s="3">
        <v>155</v>
      </c>
      <c r="K391" s="3">
        <f>FastenersPriceList345[[#This Row],[1000 PCS/WT.]]*FastenersPriceList345[[#This Row],[Rate / PER kg (₹)]]</f>
        <v>363320</v>
      </c>
      <c r="L391" s="4">
        <f>FastenersPriceList345[[#This Row],[Rate / PER kg (₹)]]*FastenersPriceList345[[#This Row],[Quantity (kg)]]</f>
        <v>7750</v>
      </c>
      <c r="M391" s="4">
        <f>FastenersPriceList345[[#This Row],[SINGLE PC. WT.]]*FastenersPriceList345[[#This Row],[Rate / PER kg (₹)]]</f>
        <v>363.32</v>
      </c>
    </row>
    <row r="392" spans="1:13" ht="22.05" customHeight="1" x14ac:dyDescent="0.3">
      <c r="A392" s="2" t="s">
        <v>2565</v>
      </c>
      <c r="B392" s="12" t="s">
        <v>8</v>
      </c>
      <c r="C392" s="12">
        <v>12.9</v>
      </c>
      <c r="D392" s="2">
        <v>2448</v>
      </c>
      <c r="E392" s="2">
        <f>FastenersPriceList345[[#This Row],[1000 PCS/WT.]]/1000</f>
        <v>2.448</v>
      </c>
      <c r="F392" s="2" t="s">
        <v>853</v>
      </c>
      <c r="G392" s="6" t="s">
        <v>1755</v>
      </c>
      <c r="H392" s="70">
        <v>50</v>
      </c>
      <c r="I392" s="72">
        <f>FastenersPriceList345[[#This Row],[Quantity (kg)]]/FastenersPriceList345[[#This Row],[SINGLE PC. WT.]]</f>
        <v>20.424836601307192</v>
      </c>
      <c r="J392" s="3">
        <v>155</v>
      </c>
      <c r="K392" s="3">
        <f>FastenersPriceList345[[#This Row],[1000 PCS/WT.]]*FastenersPriceList345[[#This Row],[Rate / PER kg (₹)]]</f>
        <v>379440</v>
      </c>
      <c r="L392" s="4">
        <f>FastenersPriceList345[[#This Row],[Rate / PER kg (₹)]]*FastenersPriceList345[[#This Row],[Quantity (kg)]]</f>
        <v>7750</v>
      </c>
      <c r="M392" s="4">
        <f>FastenersPriceList345[[#This Row],[SINGLE PC. WT.]]*FastenersPriceList345[[#This Row],[Rate / PER kg (₹)]]</f>
        <v>379.44</v>
      </c>
    </row>
    <row r="393" spans="1:13" ht="22.05" customHeight="1" x14ac:dyDescent="0.3">
      <c r="A393" s="2" t="s">
        <v>2566</v>
      </c>
      <c r="B393" s="12" t="s">
        <v>8</v>
      </c>
      <c r="C393" s="12">
        <v>12.9</v>
      </c>
      <c r="D393" s="2">
        <v>2552</v>
      </c>
      <c r="E393" s="2">
        <f>FastenersPriceList345[[#This Row],[1000 PCS/WT.]]/1000</f>
        <v>2.552</v>
      </c>
      <c r="F393" s="2" t="s">
        <v>854</v>
      </c>
      <c r="G393" s="6" t="s">
        <v>1755</v>
      </c>
      <c r="H393" s="70">
        <v>50</v>
      </c>
      <c r="I393" s="72">
        <f>FastenersPriceList345[[#This Row],[Quantity (kg)]]/FastenersPriceList345[[#This Row],[SINGLE PC. WT.]]</f>
        <v>19.592476489028211</v>
      </c>
      <c r="J393" s="3">
        <v>155</v>
      </c>
      <c r="K393" s="3">
        <f>FastenersPriceList345[[#This Row],[1000 PCS/WT.]]*FastenersPriceList345[[#This Row],[Rate / PER kg (₹)]]</f>
        <v>395560</v>
      </c>
      <c r="L393" s="4">
        <f>FastenersPriceList345[[#This Row],[Rate / PER kg (₹)]]*FastenersPriceList345[[#This Row],[Quantity (kg)]]</f>
        <v>7750</v>
      </c>
      <c r="M393" s="4">
        <f>FastenersPriceList345[[#This Row],[SINGLE PC. WT.]]*FastenersPriceList345[[#This Row],[Rate / PER kg (₹)]]</f>
        <v>395.56</v>
      </c>
    </row>
    <row r="394" spans="1:13" ht="22.05" customHeight="1" x14ac:dyDescent="0.3">
      <c r="A394" s="2" t="s">
        <v>2567</v>
      </c>
      <c r="B394" s="12" t="s">
        <v>8</v>
      </c>
      <c r="C394" s="12">
        <v>12.9</v>
      </c>
      <c r="D394" s="2">
        <v>2656</v>
      </c>
      <c r="E394" s="2">
        <f>FastenersPriceList345[[#This Row],[1000 PCS/WT.]]/1000</f>
        <v>2.6560000000000001</v>
      </c>
      <c r="F394" s="2" t="s">
        <v>855</v>
      </c>
      <c r="G394" s="6" t="s">
        <v>1755</v>
      </c>
      <c r="H394" s="70">
        <v>50</v>
      </c>
      <c r="I394" s="72">
        <f>FastenersPriceList345[[#This Row],[Quantity (kg)]]/FastenersPriceList345[[#This Row],[SINGLE PC. WT.]]</f>
        <v>18.825301204819276</v>
      </c>
      <c r="J394" s="3">
        <v>155</v>
      </c>
      <c r="K394" s="3">
        <f>FastenersPriceList345[[#This Row],[1000 PCS/WT.]]*FastenersPriceList345[[#This Row],[Rate / PER kg (₹)]]</f>
        <v>411680</v>
      </c>
      <c r="L394" s="4">
        <f>FastenersPriceList345[[#This Row],[Rate / PER kg (₹)]]*FastenersPriceList345[[#This Row],[Quantity (kg)]]</f>
        <v>7750</v>
      </c>
      <c r="M394" s="4">
        <f>FastenersPriceList345[[#This Row],[SINGLE PC. WT.]]*FastenersPriceList345[[#This Row],[Rate / PER kg (₹)]]</f>
        <v>411.68</v>
      </c>
    </row>
    <row r="395" spans="1:13" ht="22.05" customHeight="1" x14ac:dyDescent="0.3">
      <c r="A395" s="2" t="s">
        <v>2568</v>
      </c>
      <c r="B395" s="12" t="s">
        <v>8</v>
      </c>
      <c r="C395" s="12">
        <v>12.9</v>
      </c>
      <c r="D395" s="2">
        <v>2760</v>
      </c>
      <c r="E395" s="2">
        <f>FastenersPriceList345[[#This Row],[1000 PCS/WT.]]/1000</f>
        <v>2.76</v>
      </c>
      <c r="F395" s="2" t="s">
        <v>856</v>
      </c>
      <c r="G395" s="6" t="s">
        <v>1755</v>
      </c>
      <c r="H395" s="70">
        <v>50</v>
      </c>
      <c r="I395" s="72">
        <f>FastenersPriceList345[[#This Row],[Quantity (kg)]]/FastenersPriceList345[[#This Row],[SINGLE PC. WT.]]</f>
        <v>18.115942028985508</v>
      </c>
      <c r="J395" s="3">
        <v>155</v>
      </c>
      <c r="K395" s="3">
        <f>FastenersPriceList345[[#This Row],[1000 PCS/WT.]]*FastenersPriceList345[[#This Row],[Rate / PER kg (₹)]]</f>
        <v>427800</v>
      </c>
      <c r="L395" s="4">
        <f>FastenersPriceList345[[#This Row],[Rate / PER kg (₹)]]*FastenersPriceList345[[#This Row],[Quantity (kg)]]</f>
        <v>7750</v>
      </c>
      <c r="M395" s="4">
        <f>FastenersPriceList345[[#This Row],[SINGLE PC. WT.]]*FastenersPriceList345[[#This Row],[Rate / PER kg (₹)]]</f>
        <v>427.79999999999995</v>
      </c>
    </row>
    <row r="396" spans="1:13" ht="22.05" customHeight="1" x14ac:dyDescent="0.3">
      <c r="A396" s="2" t="s">
        <v>2569</v>
      </c>
      <c r="B396" s="12" t="s">
        <v>8</v>
      </c>
      <c r="C396" s="12">
        <v>12.9</v>
      </c>
      <c r="D396" s="2">
        <v>2864</v>
      </c>
      <c r="E396" s="2">
        <f>FastenersPriceList345[[#This Row],[1000 PCS/WT.]]/1000</f>
        <v>2.8639999999999999</v>
      </c>
      <c r="F396" s="2" t="s">
        <v>857</v>
      </c>
      <c r="G396" s="6" t="s">
        <v>1755</v>
      </c>
      <c r="H396" s="70">
        <v>50</v>
      </c>
      <c r="I396" s="72">
        <f>FastenersPriceList345[[#This Row],[Quantity (kg)]]/FastenersPriceList345[[#This Row],[SINGLE PC. WT.]]</f>
        <v>17.458100558659218</v>
      </c>
      <c r="J396" s="3">
        <v>160</v>
      </c>
      <c r="K396" s="3">
        <f>FastenersPriceList345[[#This Row],[1000 PCS/WT.]]*FastenersPriceList345[[#This Row],[Rate / PER kg (₹)]]</f>
        <v>458240</v>
      </c>
      <c r="L396" s="4">
        <f>FastenersPriceList345[[#This Row],[Rate / PER kg (₹)]]*FastenersPriceList345[[#This Row],[Quantity (kg)]]</f>
        <v>8000</v>
      </c>
      <c r="M396" s="4">
        <f>FastenersPriceList345[[#This Row],[SINGLE PC. WT.]]*FastenersPriceList345[[#This Row],[Rate / PER kg (₹)]]</f>
        <v>458.24</v>
      </c>
    </row>
    <row r="397" spans="1:13" ht="22.05" customHeight="1" x14ac:dyDescent="0.3">
      <c r="A397" s="2" t="s">
        <v>2570</v>
      </c>
      <c r="B397" s="12" t="s">
        <v>8</v>
      </c>
      <c r="C397" s="12">
        <v>12.9</v>
      </c>
      <c r="D397" s="2">
        <v>2968</v>
      </c>
      <c r="E397" s="2">
        <f>FastenersPriceList345[[#This Row],[1000 PCS/WT.]]/1000</f>
        <v>2.968</v>
      </c>
      <c r="F397" s="2" t="s">
        <v>858</v>
      </c>
      <c r="G397" s="6" t="s">
        <v>1755</v>
      </c>
      <c r="H397" s="70">
        <v>50</v>
      </c>
      <c r="I397" s="72">
        <f>FastenersPriceList345[[#This Row],[Quantity (kg)]]/FastenersPriceList345[[#This Row],[SINGLE PC. WT.]]</f>
        <v>16.846361185983827</v>
      </c>
      <c r="J397" s="3">
        <v>160</v>
      </c>
      <c r="K397" s="3">
        <f>FastenersPriceList345[[#This Row],[1000 PCS/WT.]]*FastenersPriceList345[[#This Row],[Rate / PER kg (₹)]]</f>
        <v>474880</v>
      </c>
      <c r="L397" s="4">
        <f>FastenersPriceList345[[#This Row],[Rate / PER kg (₹)]]*FastenersPriceList345[[#This Row],[Quantity (kg)]]</f>
        <v>8000</v>
      </c>
      <c r="M397" s="4">
        <f>FastenersPriceList345[[#This Row],[SINGLE PC. WT.]]*FastenersPriceList345[[#This Row],[Rate / PER kg (₹)]]</f>
        <v>474.88</v>
      </c>
    </row>
    <row r="398" spans="1:13" ht="22.05" customHeight="1" x14ac:dyDescent="0.3">
      <c r="A398" s="2" t="s">
        <v>2571</v>
      </c>
      <c r="B398" s="12" t="s">
        <v>8</v>
      </c>
      <c r="C398" s="12">
        <v>12.9</v>
      </c>
      <c r="D398" s="2">
        <v>3072</v>
      </c>
      <c r="E398" s="2">
        <f>FastenersPriceList345[[#This Row],[1000 PCS/WT.]]/1000</f>
        <v>3.0720000000000001</v>
      </c>
      <c r="F398" s="2" t="s">
        <v>859</v>
      </c>
      <c r="G398" s="6" t="s">
        <v>1755</v>
      </c>
      <c r="H398" s="70">
        <v>50</v>
      </c>
      <c r="I398" s="72">
        <f>FastenersPriceList345[[#This Row],[Quantity (kg)]]/FastenersPriceList345[[#This Row],[SINGLE PC. WT.]]</f>
        <v>16.276041666666668</v>
      </c>
      <c r="J398" s="3">
        <v>160</v>
      </c>
      <c r="K398" s="3">
        <f>FastenersPriceList345[[#This Row],[1000 PCS/WT.]]*FastenersPriceList345[[#This Row],[Rate / PER kg (₹)]]</f>
        <v>491520</v>
      </c>
      <c r="L398" s="4">
        <f>FastenersPriceList345[[#This Row],[Rate / PER kg (₹)]]*FastenersPriceList345[[#This Row],[Quantity (kg)]]</f>
        <v>8000</v>
      </c>
      <c r="M398" s="4">
        <f>FastenersPriceList345[[#This Row],[SINGLE PC. WT.]]*FastenersPriceList345[[#This Row],[Rate / PER kg (₹)]]</f>
        <v>491.52</v>
      </c>
    </row>
    <row r="399" spans="1:13" ht="22.05" customHeight="1" x14ac:dyDescent="0.3">
      <c r="A399" s="2" t="s">
        <v>2572</v>
      </c>
      <c r="B399" s="12" t="s">
        <v>8</v>
      </c>
      <c r="C399" s="12">
        <v>12.9</v>
      </c>
      <c r="D399" s="2">
        <v>3176</v>
      </c>
      <c r="E399" s="2">
        <f>FastenersPriceList345[[#This Row],[1000 PCS/WT.]]/1000</f>
        <v>3.1760000000000002</v>
      </c>
      <c r="F399" s="2" t="s">
        <v>860</v>
      </c>
      <c r="G399" s="6" t="s">
        <v>1755</v>
      </c>
      <c r="H399" s="70">
        <v>50</v>
      </c>
      <c r="I399" s="72">
        <f>FastenersPriceList345[[#This Row],[Quantity (kg)]]/FastenersPriceList345[[#This Row],[SINGLE PC. WT.]]</f>
        <v>15.743073047858941</v>
      </c>
      <c r="J399" s="3">
        <v>160</v>
      </c>
      <c r="K399" s="3">
        <f>FastenersPriceList345[[#This Row],[1000 PCS/WT.]]*FastenersPriceList345[[#This Row],[Rate / PER kg (₹)]]</f>
        <v>508160</v>
      </c>
      <c r="L399" s="4">
        <f>FastenersPriceList345[[#This Row],[Rate / PER kg (₹)]]*FastenersPriceList345[[#This Row],[Quantity (kg)]]</f>
        <v>8000</v>
      </c>
      <c r="M399" s="4">
        <f>FastenersPriceList345[[#This Row],[SINGLE PC. WT.]]*FastenersPriceList345[[#This Row],[Rate / PER kg (₹)]]</f>
        <v>508.16</v>
      </c>
    </row>
    <row r="400" spans="1:13" ht="22.05" customHeight="1" x14ac:dyDescent="0.3">
      <c r="A400" s="2" t="s">
        <v>2573</v>
      </c>
      <c r="B400" s="12" t="s">
        <v>8</v>
      </c>
      <c r="C400" s="12">
        <v>12.9</v>
      </c>
      <c r="D400" s="2">
        <v>3280</v>
      </c>
      <c r="E400" s="2">
        <f>FastenersPriceList345[[#This Row],[1000 PCS/WT.]]/1000</f>
        <v>3.28</v>
      </c>
      <c r="F400" s="2" t="s">
        <v>861</v>
      </c>
      <c r="G400" s="6" t="s">
        <v>1755</v>
      </c>
      <c r="H400" s="70">
        <v>50</v>
      </c>
      <c r="I400" s="72">
        <f>FastenersPriceList345[[#This Row],[Quantity (kg)]]/FastenersPriceList345[[#This Row],[SINGLE PC. WT.]]</f>
        <v>15.24390243902439</v>
      </c>
      <c r="J400" s="3">
        <v>160</v>
      </c>
      <c r="K400" s="3">
        <f>FastenersPriceList345[[#This Row],[1000 PCS/WT.]]*FastenersPriceList345[[#This Row],[Rate / PER kg (₹)]]</f>
        <v>524800</v>
      </c>
      <c r="L400" s="4">
        <f>FastenersPriceList345[[#This Row],[Rate / PER kg (₹)]]*FastenersPriceList345[[#This Row],[Quantity (kg)]]</f>
        <v>8000</v>
      </c>
      <c r="M400" s="4">
        <f>FastenersPriceList345[[#This Row],[SINGLE PC. WT.]]*FastenersPriceList345[[#This Row],[Rate / PER kg (₹)]]</f>
        <v>524.79999999999995</v>
      </c>
    </row>
    <row r="401" spans="1:13" ht="22.05" customHeight="1" x14ac:dyDescent="0.3">
      <c r="A401" s="2" t="s">
        <v>2574</v>
      </c>
      <c r="B401" s="12" t="s">
        <v>8</v>
      </c>
      <c r="C401" s="12">
        <v>12.9</v>
      </c>
      <c r="D401" s="2">
        <v>3384</v>
      </c>
      <c r="E401" s="2">
        <f>FastenersPriceList345[[#This Row],[1000 PCS/WT.]]/1000</f>
        <v>3.3839999999999999</v>
      </c>
      <c r="F401" s="2" t="s">
        <v>862</v>
      </c>
      <c r="G401" s="6" t="s">
        <v>1755</v>
      </c>
      <c r="H401" s="70">
        <v>50</v>
      </c>
      <c r="I401" s="72">
        <f>FastenersPriceList345[[#This Row],[Quantity (kg)]]/FastenersPriceList345[[#This Row],[SINGLE PC. WT.]]</f>
        <v>14.775413711583925</v>
      </c>
      <c r="J401" s="3">
        <v>160</v>
      </c>
      <c r="K401" s="3">
        <f>FastenersPriceList345[[#This Row],[1000 PCS/WT.]]*FastenersPriceList345[[#This Row],[Rate / PER kg (₹)]]</f>
        <v>541440</v>
      </c>
      <c r="L401" s="4">
        <f>FastenersPriceList345[[#This Row],[Rate / PER kg (₹)]]*FastenersPriceList345[[#This Row],[Quantity (kg)]]</f>
        <v>8000</v>
      </c>
      <c r="M401" s="4">
        <f>FastenersPriceList345[[#This Row],[SINGLE PC. WT.]]*FastenersPriceList345[[#This Row],[Rate / PER kg (₹)]]</f>
        <v>541.43999999999994</v>
      </c>
    </row>
    <row r="402" spans="1:13" ht="22.05" customHeight="1" x14ac:dyDescent="0.3">
      <c r="A402" s="2" t="s">
        <v>2575</v>
      </c>
      <c r="B402" s="12" t="s">
        <v>8</v>
      </c>
      <c r="C402" s="12">
        <v>12.9</v>
      </c>
      <c r="D402" s="2">
        <v>3488</v>
      </c>
      <c r="E402" s="2">
        <f>FastenersPriceList345[[#This Row],[1000 PCS/WT.]]/1000</f>
        <v>3.488</v>
      </c>
      <c r="F402" s="2" t="s">
        <v>863</v>
      </c>
      <c r="G402" s="6" t="s">
        <v>1755</v>
      </c>
      <c r="H402" s="70">
        <v>50</v>
      </c>
      <c r="I402" s="72">
        <f>FastenersPriceList345[[#This Row],[Quantity (kg)]]/FastenersPriceList345[[#This Row],[SINGLE PC. WT.]]</f>
        <v>14.334862385321101</v>
      </c>
      <c r="J402" s="3">
        <v>160</v>
      </c>
      <c r="K402" s="3">
        <f>FastenersPriceList345[[#This Row],[1000 PCS/WT.]]*FastenersPriceList345[[#This Row],[Rate / PER kg (₹)]]</f>
        <v>558080</v>
      </c>
      <c r="L402" s="4">
        <f>FastenersPriceList345[[#This Row],[Rate / PER kg (₹)]]*FastenersPriceList345[[#This Row],[Quantity (kg)]]</f>
        <v>8000</v>
      </c>
      <c r="M402" s="4">
        <f>FastenersPriceList345[[#This Row],[SINGLE PC. WT.]]*FastenersPriceList345[[#This Row],[Rate / PER kg (₹)]]</f>
        <v>558.08000000000004</v>
      </c>
    </row>
    <row r="403" spans="1:13" ht="22.05" customHeight="1" x14ac:dyDescent="0.3">
      <c r="A403" s="2" t="s">
        <v>2576</v>
      </c>
      <c r="B403" s="12" t="s">
        <v>8</v>
      </c>
      <c r="C403" s="12">
        <v>12.9</v>
      </c>
      <c r="D403" s="2">
        <v>3592</v>
      </c>
      <c r="E403" s="2">
        <f>FastenersPriceList345[[#This Row],[1000 PCS/WT.]]/1000</f>
        <v>3.5920000000000001</v>
      </c>
      <c r="F403" s="2" t="s">
        <v>864</v>
      </c>
      <c r="G403" s="6" t="s">
        <v>1755</v>
      </c>
      <c r="H403" s="70">
        <v>50</v>
      </c>
      <c r="I403" s="72">
        <f>FastenersPriceList345[[#This Row],[Quantity (kg)]]/FastenersPriceList345[[#This Row],[SINGLE PC. WT.]]</f>
        <v>13.919821826280623</v>
      </c>
      <c r="J403" s="3">
        <v>160</v>
      </c>
      <c r="K403" s="3">
        <f>FastenersPriceList345[[#This Row],[1000 PCS/WT.]]*FastenersPriceList345[[#This Row],[Rate / PER kg (₹)]]</f>
        <v>574720</v>
      </c>
      <c r="L403" s="4">
        <f>FastenersPriceList345[[#This Row],[Rate / PER kg (₹)]]*FastenersPriceList345[[#This Row],[Quantity (kg)]]</f>
        <v>8000</v>
      </c>
      <c r="M403" s="4">
        <f>FastenersPriceList345[[#This Row],[SINGLE PC. WT.]]*FastenersPriceList345[[#This Row],[Rate / PER kg (₹)]]</f>
        <v>574.72</v>
      </c>
    </row>
    <row r="404" spans="1:13" ht="22.05" customHeight="1" x14ac:dyDescent="0.3">
      <c r="A404" s="2" t="s">
        <v>2577</v>
      </c>
      <c r="B404" s="12" t="s">
        <v>8</v>
      </c>
      <c r="C404" s="12">
        <v>12.9</v>
      </c>
      <c r="D404" s="2">
        <v>3696</v>
      </c>
      <c r="E404" s="2">
        <f>FastenersPriceList345[[#This Row],[1000 PCS/WT.]]/1000</f>
        <v>3.6960000000000002</v>
      </c>
      <c r="F404" s="2" t="s">
        <v>865</v>
      </c>
      <c r="G404" s="6" t="s">
        <v>1755</v>
      </c>
      <c r="H404" s="70">
        <v>50</v>
      </c>
      <c r="I404" s="72">
        <f>FastenersPriceList345[[#This Row],[Quantity (kg)]]/FastenersPriceList345[[#This Row],[SINGLE PC. WT.]]</f>
        <v>13.528138528138527</v>
      </c>
      <c r="J404" s="3">
        <v>160</v>
      </c>
      <c r="K404" s="3">
        <f>FastenersPriceList345[[#This Row],[1000 PCS/WT.]]*FastenersPriceList345[[#This Row],[Rate / PER kg (₹)]]</f>
        <v>591360</v>
      </c>
      <c r="L404" s="4">
        <f>FastenersPriceList345[[#This Row],[Rate / PER kg (₹)]]*FastenersPriceList345[[#This Row],[Quantity (kg)]]</f>
        <v>8000</v>
      </c>
      <c r="M404" s="4">
        <f>FastenersPriceList345[[#This Row],[SINGLE PC. WT.]]*FastenersPriceList345[[#This Row],[Rate / PER kg (₹)]]</f>
        <v>591.36</v>
      </c>
    </row>
    <row r="405" spans="1:13" ht="22.05" customHeight="1" x14ac:dyDescent="0.3">
      <c r="A405" s="2" t="s">
        <v>2578</v>
      </c>
      <c r="B405" s="12" t="s">
        <v>8</v>
      </c>
      <c r="C405" s="12">
        <v>12.9</v>
      </c>
      <c r="D405" s="2">
        <v>3800</v>
      </c>
      <c r="E405" s="2">
        <f>FastenersPriceList345[[#This Row],[1000 PCS/WT.]]/1000</f>
        <v>3.8</v>
      </c>
      <c r="F405" s="2" t="s">
        <v>866</v>
      </c>
      <c r="G405" s="6" t="s">
        <v>1755</v>
      </c>
      <c r="H405" s="70">
        <v>50</v>
      </c>
      <c r="I405" s="72">
        <f>FastenersPriceList345[[#This Row],[Quantity (kg)]]/FastenersPriceList345[[#This Row],[SINGLE PC. WT.]]</f>
        <v>13.157894736842106</v>
      </c>
      <c r="J405" s="3">
        <v>160</v>
      </c>
      <c r="K405" s="3">
        <f>FastenersPriceList345[[#This Row],[1000 PCS/WT.]]*FastenersPriceList345[[#This Row],[Rate / PER kg (₹)]]</f>
        <v>608000</v>
      </c>
      <c r="L405" s="4">
        <f>FastenersPriceList345[[#This Row],[Rate / PER kg (₹)]]*FastenersPriceList345[[#This Row],[Quantity (kg)]]</f>
        <v>8000</v>
      </c>
      <c r="M405" s="4">
        <f>FastenersPriceList345[[#This Row],[SINGLE PC. WT.]]*FastenersPriceList345[[#This Row],[Rate / PER kg (₹)]]</f>
        <v>608</v>
      </c>
    </row>
    <row r="406" spans="1:13" ht="22.05" customHeight="1" x14ac:dyDescent="0.3">
      <c r="A406" s="2" t="s">
        <v>2579</v>
      </c>
      <c r="B406" s="12" t="s">
        <v>8</v>
      </c>
      <c r="C406" s="12">
        <v>12.9</v>
      </c>
      <c r="D406" s="2">
        <v>1900</v>
      </c>
      <c r="E406" s="2">
        <f>FastenersPriceList345[[#This Row],[1000 PCS/WT.]]/1000</f>
        <v>1.9</v>
      </c>
      <c r="F406" s="2" t="s">
        <v>867</v>
      </c>
      <c r="G406" s="6" t="s">
        <v>1755</v>
      </c>
      <c r="H406" s="70">
        <v>50</v>
      </c>
      <c r="I406" s="72">
        <f>FastenersPriceList345[[#This Row],[Quantity (kg)]]/FastenersPriceList345[[#This Row],[SINGLE PC. WT.]]</f>
        <v>26.315789473684212</v>
      </c>
      <c r="J406" s="3">
        <v>152</v>
      </c>
      <c r="K406" s="3">
        <f>FastenersPriceList345[[#This Row],[1000 PCS/WT.]]*FastenersPriceList345[[#This Row],[Rate / PER kg (₹)]]</f>
        <v>288800</v>
      </c>
      <c r="L406" s="4">
        <f>FastenersPriceList345[[#This Row],[Rate / PER kg (₹)]]*FastenersPriceList345[[#This Row],[Quantity (kg)]]</f>
        <v>7600</v>
      </c>
      <c r="M406" s="4">
        <f>FastenersPriceList345[[#This Row],[SINGLE PC. WT.]]*FastenersPriceList345[[#This Row],[Rate / PER kg (₹)]]</f>
        <v>288.8</v>
      </c>
    </row>
    <row r="407" spans="1:13" ht="22.05" customHeight="1" x14ac:dyDescent="0.3">
      <c r="A407" s="2" t="s">
        <v>2580</v>
      </c>
      <c r="B407" s="12" t="s">
        <v>8</v>
      </c>
      <c r="C407" s="12">
        <v>12.9</v>
      </c>
      <c r="D407" s="2">
        <v>1945</v>
      </c>
      <c r="E407" s="2">
        <f>FastenersPriceList345[[#This Row],[1000 PCS/WT.]]/1000</f>
        <v>1.9450000000000001</v>
      </c>
      <c r="F407" s="2" t="s">
        <v>868</v>
      </c>
      <c r="G407" s="6" t="s">
        <v>1755</v>
      </c>
      <c r="H407" s="70">
        <v>50</v>
      </c>
      <c r="I407" s="72">
        <f>FastenersPriceList345[[#This Row],[Quantity (kg)]]/FastenersPriceList345[[#This Row],[SINGLE PC. WT.]]</f>
        <v>25.70694087403599</v>
      </c>
      <c r="J407" s="3">
        <v>152</v>
      </c>
      <c r="K407" s="3">
        <f>FastenersPriceList345[[#This Row],[1000 PCS/WT.]]*FastenersPriceList345[[#This Row],[Rate / PER kg (₹)]]</f>
        <v>295640</v>
      </c>
      <c r="L407" s="4">
        <f>FastenersPriceList345[[#This Row],[Rate / PER kg (₹)]]*FastenersPriceList345[[#This Row],[Quantity (kg)]]</f>
        <v>7600</v>
      </c>
      <c r="M407" s="4">
        <f>FastenersPriceList345[[#This Row],[SINGLE PC. WT.]]*FastenersPriceList345[[#This Row],[Rate / PER kg (₹)]]</f>
        <v>295.64</v>
      </c>
    </row>
    <row r="408" spans="1:13" ht="22.05" customHeight="1" x14ac:dyDescent="0.3">
      <c r="A408" s="2" t="s">
        <v>2581</v>
      </c>
      <c r="B408" s="12" t="s">
        <v>8</v>
      </c>
      <c r="C408" s="12">
        <v>12.9</v>
      </c>
      <c r="D408" s="2">
        <v>1990</v>
      </c>
      <c r="E408" s="2">
        <f>FastenersPriceList345[[#This Row],[1000 PCS/WT.]]/1000</f>
        <v>1.99</v>
      </c>
      <c r="F408" s="2" t="s">
        <v>869</v>
      </c>
      <c r="G408" s="6" t="s">
        <v>1755</v>
      </c>
      <c r="H408" s="70">
        <v>50</v>
      </c>
      <c r="I408" s="72">
        <f>FastenersPriceList345[[#This Row],[Quantity (kg)]]/FastenersPriceList345[[#This Row],[SINGLE PC. WT.]]</f>
        <v>25.125628140703519</v>
      </c>
      <c r="J408" s="3">
        <v>152</v>
      </c>
      <c r="K408" s="3">
        <f>FastenersPriceList345[[#This Row],[1000 PCS/WT.]]*FastenersPriceList345[[#This Row],[Rate / PER kg (₹)]]</f>
        <v>302480</v>
      </c>
      <c r="L408" s="4">
        <f>FastenersPriceList345[[#This Row],[Rate / PER kg (₹)]]*FastenersPriceList345[[#This Row],[Quantity (kg)]]</f>
        <v>7600</v>
      </c>
      <c r="M408" s="4">
        <f>FastenersPriceList345[[#This Row],[SINGLE PC. WT.]]*FastenersPriceList345[[#This Row],[Rate / PER kg (₹)]]</f>
        <v>302.48</v>
      </c>
    </row>
    <row r="409" spans="1:13" ht="22.05" customHeight="1" x14ac:dyDescent="0.3">
      <c r="A409" s="2" t="s">
        <v>2582</v>
      </c>
      <c r="B409" s="12" t="s">
        <v>8</v>
      </c>
      <c r="C409" s="12">
        <v>12.9</v>
      </c>
      <c r="D409" s="2">
        <v>2080</v>
      </c>
      <c r="E409" s="2">
        <f>FastenersPriceList345[[#This Row],[1000 PCS/WT.]]/1000</f>
        <v>2.08</v>
      </c>
      <c r="F409" s="2" t="s">
        <v>870</v>
      </c>
      <c r="G409" s="6" t="s">
        <v>1755</v>
      </c>
      <c r="H409" s="70">
        <v>50</v>
      </c>
      <c r="I409" s="72">
        <f>FastenersPriceList345[[#This Row],[Quantity (kg)]]/FastenersPriceList345[[#This Row],[SINGLE PC. WT.]]</f>
        <v>24.038461538461537</v>
      </c>
      <c r="J409" s="3">
        <v>152</v>
      </c>
      <c r="K409" s="3">
        <f>FastenersPriceList345[[#This Row],[1000 PCS/WT.]]*FastenersPriceList345[[#This Row],[Rate / PER kg (₹)]]</f>
        <v>316160</v>
      </c>
      <c r="L409" s="4">
        <f>FastenersPriceList345[[#This Row],[Rate / PER kg (₹)]]*FastenersPriceList345[[#This Row],[Quantity (kg)]]</f>
        <v>7600</v>
      </c>
      <c r="M409" s="4">
        <f>FastenersPriceList345[[#This Row],[SINGLE PC. WT.]]*FastenersPriceList345[[#This Row],[Rate / PER kg (₹)]]</f>
        <v>316.16000000000003</v>
      </c>
    </row>
    <row r="410" spans="1:13" ht="22.05" customHeight="1" x14ac:dyDescent="0.3">
      <c r="A410" s="2" t="s">
        <v>2583</v>
      </c>
      <c r="B410" s="12" t="s">
        <v>8</v>
      </c>
      <c r="C410" s="12">
        <v>12.9</v>
      </c>
      <c r="D410" s="2">
        <v>2170</v>
      </c>
      <c r="E410" s="2">
        <f>FastenersPriceList345[[#This Row],[1000 PCS/WT.]]/1000</f>
        <v>2.17</v>
      </c>
      <c r="F410" s="2" t="s">
        <v>871</v>
      </c>
      <c r="G410" s="6" t="s">
        <v>1755</v>
      </c>
      <c r="H410" s="70">
        <v>50</v>
      </c>
      <c r="I410" s="72">
        <f>FastenersPriceList345[[#This Row],[Quantity (kg)]]/FastenersPriceList345[[#This Row],[SINGLE PC. WT.]]</f>
        <v>23.041474654377883</v>
      </c>
      <c r="J410" s="3">
        <v>155</v>
      </c>
      <c r="K410" s="3">
        <f>FastenersPriceList345[[#This Row],[1000 PCS/WT.]]*FastenersPriceList345[[#This Row],[Rate / PER kg (₹)]]</f>
        <v>336350</v>
      </c>
      <c r="L410" s="4">
        <f>FastenersPriceList345[[#This Row],[Rate / PER kg (₹)]]*FastenersPriceList345[[#This Row],[Quantity (kg)]]</f>
        <v>7750</v>
      </c>
      <c r="M410" s="4">
        <f>FastenersPriceList345[[#This Row],[SINGLE PC. WT.]]*FastenersPriceList345[[#This Row],[Rate / PER kg (₹)]]</f>
        <v>336.34999999999997</v>
      </c>
    </row>
    <row r="411" spans="1:13" ht="22.05" customHeight="1" x14ac:dyDescent="0.3">
      <c r="A411" s="2" t="s">
        <v>2584</v>
      </c>
      <c r="B411" s="12" t="s">
        <v>8</v>
      </c>
      <c r="C411" s="12">
        <v>12.9</v>
      </c>
      <c r="D411" s="2">
        <v>2260</v>
      </c>
      <c r="E411" s="2">
        <f>FastenersPriceList345[[#This Row],[1000 PCS/WT.]]/1000</f>
        <v>2.2599999999999998</v>
      </c>
      <c r="F411" s="2" t="s">
        <v>872</v>
      </c>
      <c r="G411" s="6" t="s">
        <v>1755</v>
      </c>
      <c r="H411" s="70">
        <v>50</v>
      </c>
      <c r="I411" s="72">
        <f>FastenersPriceList345[[#This Row],[Quantity (kg)]]/FastenersPriceList345[[#This Row],[SINGLE PC. WT.]]</f>
        <v>22.123893805309738</v>
      </c>
      <c r="J411" s="3">
        <v>155</v>
      </c>
      <c r="K411" s="3">
        <f>FastenersPriceList345[[#This Row],[1000 PCS/WT.]]*FastenersPriceList345[[#This Row],[Rate / PER kg (₹)]]</f>
        <v>350300</v>
      </c>
      <c r="L411" s="4">
        <f>FastenersPriceList345[[#This Row],[Rate / PER kg (₹)]]*FastenersPriceList345[[#This Row],[Quantity (kg)]]</f>
        <v>7750</v>
      </c>
      <c r="M411" s="4">
        <f>FastenersPriceList345[[#This Row],[SINGLE PC. WT.]]*FastenersPriceList345[[#This Row],[Rate / PER kg (₹)]]</f>
        <v>350.29999999999995</v>
      </c>
    </row>
    <row r="412" spans="1:13" ht="22.05" customHeight="1" x14ac:dyDescent="0.3">
      <c r="A412" s="2" t="s">
        <v>2585</v>
      </c>
      <c r="B412" s="12" t="s">
        <v>8</v>
      </c>
      <c r="C412" s="12">
        <v>12.9</v>
      </c>
      <c r="D412" s="2">
        <v>2350</v>
      </c>
      <c r="E412" s="2">
        <f>FastenersPriceList345[[#This Row],[1000 PCS/WT.]]/1000</f>
        <v>2.35</v>
      </c>
      <c r="F412" s="2" t="s">
        <v>873</v>
      </c>
      <c r="G412" s="6" t="s">
        <v>1755</v>
      </c>
      <c r="H412" s="70">
        <v>50</v>
      </c>
      <c r="I412" s="72">
        <f>FastenersPriceList345[[#This Row],[Quantity (kg)]]/FastenersPriceList345[[#This Row],[SINGLE PC. WT.]]</f>
        <v>21.276595744680851</v>
      </c>
      <c r="J412" s="3">
        <v>155</v>
      </c>
      <c r="K412" s="3">
        <f>FastenersPriceList345[[#This Row],[1000 PCS/WT.]]*FastenersPriceList345[[#This Row],[Rate / PER kg (₹)]]</f>
        <v>364250</v>
      </c>
      <c r="L412" s="4">
        <f>FastenersPriceList345[[#This Row],[Rate / PER kg (₹)]]*FastenersPriceList345[[#This Row],[Quantity (kg)]]</f>
        <v>7750</v>
      </c>
      <c r="M412" s="4">
        <f>FastenersPriceList345[[#This Row],[SINGLE PC. WT.]]*FastenersPriceList345[[#This Row],[Rate / PER kg (₹)]]</f>
        <v>364.25</v>
      </c>
    </row>
    <row r="413" spans="1:13" ht="22.05" customHeight="1" x14ac:dyDescent="0.3">
      <c r="A413" s="2" t="s">
        <v>2586</v>
      </c>
      <c r="B413" s="12" t="s">
        <v>8</v>
      </c>
      <c r="C413" s="12">
        <v>12.9</v>
      </c>
      <c r="D413" s="2">
        <v>2440</v>
      </c>
      <c r="E413" s="2">
        <f>FastenersPriceList345[[#This Row],[1000 PCS/WT.]]/1000</f>
        <v>2.44</v>
      </c>
      <c r="F413" s="2" t="s">
        <v>874</v>
      </c>
      <c r="G413" s="6" t="s">
        <v>1755</v>
      </c>
      <c r="H413" s="70">
        <v>50</v>
      </c>
      <c r="I413" s="72">
        <f>FastenersPriceList345[[#This Row],[Quantity (kg)]]/FastenersPriceList345[[#This Row],[SINGLE PC. WT.]]</f>
        <v>20.491803278688526</v>
      </c>
      <c r="J413" s="3">
        <v>155</v>
      </c>
      <c r="K413" s="3">
        <f>FastenersPriceList345[[#This Row],[1000 PCS/WT.]]*FastenersPriceList345[[#This Row],[Rate / PER kg (₹)]]</f>
        <v>378200</v>
      </c>
      <c r="L413" s="4">
        <f>FastenersPriceList345[[#This Row],[Rate / PER kg (₹)]]*FastenersPriceList345[[#This Row],[Quantity (kg)]]</f>
        <v>7750</v>
      </c>
      <c r="M413" s="4">
        <f>FastenersPriceList345[[#This Row],[SINGLE PC. WT.]]*FastenersPriceList345[[#This Row],[Rate / PER kg (₹)]]</f>
        <v>378.2</v>
      </c>
    </row>
    <row r="414" spans="1:13" ht="22.05" customHeight="1" x14ac:dyDescent="0.3">
      <c r="A414" s="2" t="s">
        <v>2587</v>
      </c>
      <c r="B414" s="12" t="s">
        <v>8</v>
      </c>
      <c r="C414" s="12">
        <v>12.9</v>
      </c>
      <c r="D414" s="2">
        <v>2530</v>
      </c>
      <c r="E414" s="2">
        <f>FastenersPriceList345[[#This Row],[1000 PCS/WT.]]/1000</f>
        <v>2.5299999999999998</v>
      </c>
      <c r="F414" s="2" t="s">
        <v>875</v>
      </c>
      <c r="G414" s="6" t="s">
        <v>1755</v>
      </c>
      <c r="H414" s="70">
        <v>50</v>
      </c>
      <c r="I414" s="72">
        <f>FastenersPriceList345[[#This Row],[Quantity (kg)]]/FastenersPriceList345[[#This Row],[SINGLE PC. WT.]]</f>
        <v>19.762845849802375</v>
      </c>
      <c r="J414" s="3">
        <v>155</v>
      </c>
      <c r="K414" s="3">
        <f>FastenersPriceList345[[#This Row],[1000 PCS/WT.]]*FastenersPriceList345[[#This Row],[Rate / PER kg (₹)]]</f>
        <v>392150</v>
      </c>
      <c r="L414" s="4">
        <f>FastenersPriceList345[[#This Row],[Rate / PER kg (₹)]]*FastenersPriceList345[[#This Row],[Quantity (kg)]]</f>
        <v>7750</v>
      </c>
      <c r="M414" s="4">
        <f>FastenersPriceList345[[#This Row],[SINGLE PC. WT.]]*FastenersPriceList345[[#This Row],[Rate / PER kg (₹)]]</f>
        <v>392.15</v>
      </c>
    </row>
    <row r="415" spans="1:13" ht="22.05" customHeight="1" x14ac:dyDescent="0.3">
      <c r="A415" s="2" t="s">
        <v>2588</v>
      </c>
      <c r="B415" s="12" t="s">
        <v>8</v>
      </c>
      <c r="C415" s="12">
        <v>12.9</v>
      </c>
      <c r="D415" s="2">
        <v>2620</v>
      </c>
      <c r="E415" s="2">
        <f>FastenersPriceList345[[#This Row],[1000 PCS/WT.]]/1000</f>
        <v>2.62</v>
      </c>
      <c r="F415" s="2" t="s">
        <v>876</v>
      </c>
      <c r="G415" s="6" t="s">
        <v>1755</v>
      </c>
      <c r="H415" s="70">
        <v>50</v>
      </c>
      <c r="I415" s="72">
        <f>FastenersPriceList345[[#This Row],[Quantity (kg)]]/FastenersPriceList345[[#This Row],[SINGLE PC. WT.]]</f>
        <v>19.083969465648853</v>
      </c>
      <c r="J415" s="3">
        <v>155</v>
      </c>
      <c r="K415" s="3">
        <f>FastenersPriceList345[[#This Row],[1000 PCS/WT.]]*FastenersPriceList345[[#This Row],[Rate / PER kg (₹)]]</f>
        <v>406100</v>
      </c>
      <c r="L415" s="4">
        <f>FastenersPriceList345[[#This Row],[Rate / PER kg (₹)]]*FastenersPriceList345[[#This Row],[Quantity (kg)]]</f>
        <v>7750</v>
      </c>
      <c r="M415" s="4">
        <f>FastenersPriceList345[[#This Row],[SINGLE PC. WT.]]*FastenersPriceList345[[#This Row],[Rate / PER kg (₹)]]</f>
        <v>406.1</v>
      </c>
    </row>
    <row r="416" spans="1:13" ht="22.05" customHeight="1" x14ac:dyDescent="0.3">
      <c r="A416" s="2" t="s">
        <v>2589</v>
      </c>
      <c r="B416" s="12" t="s">
        <v>8</v>
      </c>
      <c r="C416" s="12">
        <v>12.9</v>
      </c>
      <c r="D416" s="2">
        <v>2710</v>
      </c>
      <c r="E416" s="2">
        <f>FastenersPriceList345[[#This Row],[1000 PCS/WT.]]/1000</f>
        <v>2.71</v>
      </c>
      <c r="F416" s="2" t="s">
        <v>877</v>
      </c>
      <c r="G416" s="6" t="s">
        <v>1755</v>
      </c>
      <c r="H416" s="70">
        <v>50</v>
      </c>
      <c r="I416" s="72">
        <f>FastenersPriceList345[[#This Row],[Quantity (kg)]]/FastenersPriceList345[[#This Row],[SINGLE PC. WT.]]</f>
        <v>18.450184501845019</v>
      </c>
      <c r="J416" s="3">
        <v>155</v>
      </c>
      <c r="K416" s="3">
        <f>FastenersPriceList345[[#This Row],[1000 PCS/WT.]]*FastenersPriceList345[[#This Row],[Rate / PER kg (₹)]]</f>
        <v>420050</v>
      </c>
      <c r="L416" s="4">
        <f>FastenersPriceList345[[#This Row],[Rate / PER kg (₹)]]*FastenersPriceList345[[#This Row],[Quantity (kg)]]</f>
        <v>7750</v>
      </c>
      <c r="M416" s="4">
        <f>FastenersPriceList345[[#This Row],[SINGLE PC. WT.]]*FastenersPriceList345[[#This Row],[Rate / PER kg (₹)]]</f>
        <v>420.05</v>
      </c>
    </row>
    <row r="417" spans="1:13" ht="22.05" customHeight="1" x14ac:dyDescent="0.3">
      <c r="A417" s="2" t="s">
        <v>2590</v>
      </c>
      <c r="B417" s="12" t="s">
        <v>8</v>
      </c>
      <c r="C417" s="12">
        <v>12.9</v>
      </c>
      <c r="D417" s="2">
        <v>2800</v>
      </c>
      <c r="E417" s="2">
        <f>FastenersPriceList345[[#This Row],[1000 PCS/WT.]]/1000</f>
        <v>2.8</v>
      </c>
      <c r="F417" s="2" t="s">
        <v>878</v>
      </c>
      <c r="G417" s="6" t="s">
        <v>1755</v>
      </c>
      <c r="H417" s="70">
        <v>50</v>
      </c>
      <c r="I417" s="72">
        <f>FastenersPriceList345[[#This Row],[Quantity (kg)]]/FastenersPriceList345[[#This Row],[SINGLE PC. WT.]]</f>
        <v>17.857142857142858</v>
      </c>
      <c r="J417" s="3">
        <v>155</v>
      </c>
      <c r="K417" s="3">
        <f>FastenersPriceList345[[#This Row],[1000 PCS/WT.]]*FastenersPriceList345[[#This Row],[Rate / PER kg (₹)]]</f>
        <v>434000</v>
      </c>
      <c r="L417" s="4">
        <f>FastenersPriceList345[[#This Row],[Rate / PER kg (₹)]]*FastenersPriceList345[[#This Row],[Quantity (kg)]]</f>
        <v>7750</v>
      </c>
      <c r="M417" s="4">
        <f>FastenersPriceList345[[#This Row],[SINGLE PC. WT.]]*FastenersPriceList345[[#This Row],[Rate / PER kg (₹)]]</f>
        <v>434</v>
      </c>
    </row>
    <row r="418" spans="1:13" ht="22.05" customHeight="1" x14ac:dyDescent="0.3">
      <c r="A418" s="2" t="s">
        <v>2591</v>
      </c>
      <c r="B418" s="12" t="s">
        <v>8</v>
      </c>
      <c r="C418" s="12">
        <v>12.9</v>
      </c>
      <c r="D418" s="2">
        <v>2890</v>
      </c>
      <c r="E418" s="2">
        <f>FastenersPriceList345[[#This Row],[1000 PCS/WT.]]/1000</f>
        <v>2.89</v>
      </c>
      <c r="F418" s="2" t="s">
        <v>879</v>
      </c>
      <c r="G418" s="6" t="s">
        <v>1755</v>
      </c>
      <c r="H418" s="70">
        <v>50</v>
      </c>
      <c r="I418" s="72">
        <f>FastenersPriceList345[[#This Row],[Quantity (kg)]]/FastenersPriceList345[[#This Row],[SINGLE PC. WT.]]</f>
        <v>17.301038062283737</v>
      </c>
      <c r="J418" s="3">
        <v>155</v>
      </c>
      <c r="K418" s="3">
        <f>FastenersPriceList345[[#This Row],[1000 PCS/WT.]]*FastenersPriceList345[[#This Row],[Rate / PER kg (₹)]]</f>
        <v>447950</v>
      </c>
      <c r="L418" s="4">
        <f>FastenersPriceList345[[#This Row],[Rate / PER kg (₹)]]*FastenersPriceList345[[#This Row],[Quantity (kg)]]</f>
        <v>7750</v>
      </c>
      <c r="M418" s="4">
        <f>FastenersPriceList345[[#This Row],[SINGLE PC. WT.]]*FastenersPriceList345[[#This Row],[Rate / PER kg (₹)]]</f>
        <v>447.95000000000005</v>
      </c>
    </row>
    <row r="419" spans="1:13" ht="22.05" customHeight="1" x14ac:dyDescent="0.3">
      <c r="A419" s="2" t="s">
        <v>2592</v>
      </c>
      <c r="B419" s="12" t="s">
        <v>8</v>
      </c>
      <c r="C419" s="12">
        <v>12.9</v>
      </c>
      <c r="D419" s="2">
        <v>2980</v>
      </c>
      <c r="E419" s="2">
        <f>FastenersPriceList345[[#This Row],[1000 PCS/WT.]]/1000</f>
        <v>2.98</v>
      </c>
      <c r="F419" s="2" t="s">
        <v>880</v>
      </c>
      <c r="G419" s="6" t="s">
        <v>1755</v>
      </c>
      <c r="H419" s="70">
        <v>50</v>
      </c>
      <c r="I419" s="72">
        <f>FastenersPriceList345[[#This Row],[Quantity (kg)]]/FastenersPriceList345[[#This Row],[SINGLE PC. WT.]]</f>
        <v>16.778523489932887</v>
      </c>
      <c r="J419" s="3">
        <v>155</v>
      </c>
      <c r="K419" s="3">
        <f>FastenersPriceList345[[#This Row],[1000 PCS/WT.]]*FastenersPriceList345[[#This Row],[Rate / PER kg (₹)]]</f>
        <v>461900</v>
      </c>
      <c r="L419" s="4">
        <f>FastenersPriceList345[[#This Row],[Rate / PER kg (₹)]]*FastenersPriceList345[[#This Row],[Quantity (kg)]]</f>
        <v>7750</v>
      </c>
      <c r="M419" s="4">
        <f>FastenersPriceList345[[#This Row],[SINGLE PC. WT.]]*FastenersPriceList345[[#This Row],[Rate / PER kg (₹)]]</f>
        <v>461.9</v>
      </c>
    </row>
    <row r="420" spans="1:13" ht="22.05" customHeight="1" x14ac:dyDescent="0.3">
      <c r="A420" s="2" t="s">
        <v>2593</v>
      </c>
      <c r="B420" s="12" t="s">
        <v>8</v>
      </c>
      <c r="C420" s="12">
        <v>12.9</v>
      </c>
      <c r="D420" s="2">
        <v>3070</v>
      </c>
      <c r="E420" s="2">
        <f>FastenersPriceList345[[#This Row],[1000 PCS/WT.]]/1000</f>
        <v>3.07</v>
      </c>
      <c r="F420" s="2" t="s">
        <v>881</v>
      </c>
      <c r="G420" s="6" t="s">
        <v>1755</v>
      </c>
      <c r="H420" s="70">
        <v>50</v>
      </c>
      <c r="I420" s="72">
        <f>FastenersPriceList345[[#This Row],[Quantity (kg)]]/FastenersPriceList345[[#This Row],[SINGLE PC. WT.]]</f>
        <v>16.286644951140065</v>
      </c>
      <c r="J420" s="3">
        <v>158</v>
      </c>
      <c r="K420" s="3">
        <f>FastenersPriceList345[[#This Row],[1000 PCS/WT.]]*FastenersPriceList345[[#This Row],[Rate / PER kg (₹)]]</f>
        <v>485060</v>
      </c>
      <c r="L420" s="4">
        <f>FastenersPriceList345[[#This Row],[Rate / PER kg (₹)]]*FastenersPriceList345[[#This Row],[Quantity (kg)]]</f>
        <v>7900</v>
      </c>
      <c r="M420" s="4">
        <f>FastenersPriceList345[[#This Row],[SINGLE PC. WT.]]*FastenersPriceList345[[#This Row],[Rate / PER kg (₹)]]</f>
        <v>485.06</v>
      </c>
    </row>
    <row r="421" spans="1:13" ht="22.05" customHeight="1" x14ac:dyDescent="0.3">
      <c r="A421" s="2" t="s">
        <v>2594</v>
      </c>
      <c r="B421" s="12" t="s">
        <v>8</v>
      </c>
      <c r="C421" s="12">
        <v>12.9</v>
      </c>
      <c r="D421" s="2">
        <v>3160</v>
      </c>
      <c r="E421" s="2">
        <f>FastenersPriceList345[[#This Row],[1000 PCS/WT.]]/1000</f>
        <v>3.16</v>
      </c>
      <c r="F421" s="2" t="s">
        <v>882</v>
      </c>
      <c r="G421" s="6" t="s">
        <v>1755</v>
      </c>
      <c r="H421" s="70">
        <v>50</v>
      </c>
      <c r="I421" s="72">
        <f>FastenersPriceList345[[#This Row],[Quantity (kg)]]/FastenersPriceList345[[#This Row],[SINGLE PC. WT.]]</f>
        <v>15.822784810126581</v>
      </c>
      <c r="J421" s="3">
        <v>158</v>
      </c>
      <c r="K421" s="3">
        <f>FastenersPriceList345[[#This Row],[1000 PCS/WT.]]*FastenersPriceList345[[#This Row],[Rate / PER kg (₹)]]</f>
        <v>499280</v>
      </c>
      <c r="L421" s="4">
        <f>FastenersPriceList345[[#This Row],[Rate / PER kg (₹)]]*FastenersPriceList345[[#This Row],[Quantity (kg)]]</f>
        <v>7900</v>
      </c>
      <c r="M421" s="4">
        <f>FastenersPriceList345[[#This Row],[SINGLE PC. WT.]]*FastenersPriceList345[[#This Row],[Rate / PER kg (₹)]]</f>
        <v>499.28000000000003</v>
      </c>
    </row>
    <row r="422" spans="1:13" ht="22.05" customHeight="1" x14ac:dyDescent="0.3">
      <c r="A422" s="2" t="s">
        <v>2595</v>
      </c>
      <c r="B422" s="12" t="s">
        <v>8</v>
      </c>
      <c r="C422" s="12">
        <v>12.9</v>
      </c>
      <c r="D422" s="2">
        <v>3250</v>
      </c>
      <c r="E422" s="2">
        <f>FastenersPriceList345[[#This Row],[1000 PCS/WT.]]/1000</f>
        <v>3.25</v>
      </c>
      <c r="F422" s="2" t="s">
        <v>883</v>
      </c>
      <c r="G422" s="6" t="s">
        <v>1755</v>
      </c>
      <c r="H422" s="70">
        <v>50</v>
      </c>
      <c r="I422" s="72">
        <f>FastenersPriceList345[[#This Row],[Quantity (kg)]]/FastenersPriceList345[[#This Row],[SINGLE PC. WT.]]</f>
        <v>15.384615384615385</v>
      </c>
      <c r="J422" s="3">
        <v>158</v>
      </c>
      <c r="K422" s="3">
        <f>FastenersPriceList345[[#This Row],[1000 PCS/WT.]]*FastenersPriceList345[[#This Row],[Rate / PER kg (₹)]]</f>
        <v>513500</v>
      </c>
      <c r="L422" s="4">
        <f>FastenersPriceList345[[#This Row],[Rate / PER kg (₹)]]*FastenersPriceList345[[#This Row],[Quantity (kg)]]</f>
        <v>7900</v>
      </c>
      <c r="M422" s="4">
        <f>FastenersPriceList345[[#This Row],[SINGLE PC. WT.]]*FastenersPriceList345[[#This Row],[Rate / PER kg (₹)]]</f>
        <v>513.5</v>
      </c>
    </row>
    <row r="423" spans="1:13" ht="22.05" customHeight="1" x14ac:dyDescent="0.3">
      <c r="A423" s="2" t="s">
        <v>2596</v>
      </c>
      <c r="B423" s="12" t="s">
        <v>8</v>
      </c>
      <c r="C423" s="12">
        <v>12.9</v>
      </c>
      <c r="D423" s="2">
        <v>3340</v>
      </c>
      <c r="E423" s="2">
        <f>FastenersPriceList345[[#This Row],[1000 PCS/WT.]]/1000</f>
        <v>3.34</v>
      </c>
      <c r="F423" s="2" t="s">
        <v>884</v>
      </c>
      <c r="G423" s="6" t="s">
        <v>1755</v>
      </c>
      <c r="H423" s="70">
        <v>50</v>
      </c>
      <c r="I423" s="72">
        <f>FastenersPriceList345[[#This Row],[Quantity (kg)]]/FastenersPriceList345[[#This Row],[SINGLE PC. WT.]]</f>
        <v>14.970059880239521</v>
      </c>
      <c r="J423" s="3">
        <v>158</v>
      </c>
      <c r="K423" s="3">
        <f>FastenersPriceList345[[#This Row],[1000 PCS/WT.]]*FastenersPriceList345[[#This Row],[Rate / PER kg (₹)]]</f>
        <v>527720</v>
      </c>
      <c r="L423" s="4">
        <f>FastenersPriceList345[[#This Row],[Rate / PER kg (₹)]]*FastenersPriceList345[[#This Row],[Quantity (kg)]]</f>
        <v>7900</v>
      </c>
      <c r="M423" s="4">
        <f>FastenersPriceList345[[#This Row],[SINGLE PC. WT.]]*FastenersPriceList345[[#This Row],[Rate / PER kg (₹)]]</f>
        <v>527.72</v>
      </c>
    </row>
    <row r="424" spans="1:13" ht="22.05" customHeight="1" x14ac:dyDescent="0.3">
      <c r="A424" s="2" t="s">
        <v>2597</v>
      </c>
      <c r="B424" s="12" t="s">
        <v>8</v>
      </c>
      <c r="C424" s="12">
        <v>12.9</v>
      </c>
      <c r="D424" s="2">
        <v>3430</v>
      </c>
      <c r="E424" s="2">
        <f>FastenersPriceList345[[#This Row],[1000 PCS/WT.]]/1000</f>
        <v>3.43</v>
      </c>
      <c r="F424" s="2" t="s">
        <v>885</v>
      </c>
      <c r="G424" s="6" t="s">
        <v>1755</v>
      </c>
      <c r="H424" s="70">
        <v>50</v>
      </c>
      <c r="I424" s="72">
        <f>FastenersPriceList345[[#This Row],[Quantity (kg)]]/FastenersPriceList345[[#This Row],[SINGLE PC. WT.]]</f>
        <v>14.577259475218659</v>
      </c>
      <c r="J424" s="3">
        <v>158</v>
      </c>
      <c r="K424" s="3">
        <f>FastenersPriceList345[[#This Row],[1000 PCS/WT.]]*FastenersPriceList345[[#This Row],[Rate / PER kg (₹)]]</f>
        <v>541940</v>
      </c>
      <c r="L424" s="4">
        <f>FastenersPriceList345[[#This Row],[Rate / PER kg (₹)]]*FastenersPriceList345[[#This Row],[Quantity (kg)]]</f>
        <v>7900</v>
      </c>
      <c r="M424" s="4">
        <f>FastenersPriceList345[[#This Row],[SINGLE PC. WT.]]*FastenersPriceList345[[#This Row],[Rate / PER kg (₹)]]</f>
        <v>541.94000000000005</v>
      </c>
    </row>
    <row r="425" spans="1:13" ht="22.05" customHeight="1" x14ac:dyDescent="0.3">
      <c r="A425" s="2" t="s">
        <v>2598</v>
      </c>
      <c r="B425" s="12" t="s">
        <v>8</v>
      </c>
      <c r="C425" s="12">
        <v>12.9</v>
      </c>
      <c r="D425" s="2">
        <v>3520</v>
      </c>
      <c r="E425" s="2">
        <f>FastenersPriceList345[[#This Row],[1000 PCS/WT.]]/1000</f>
        <v>3.52</v>
      </c>
      <c r="F425" s="2" t="s">
        <v>886</v>
      </c>
      <c r="G425" s="6" t="s">
        <v>1755</v>
      </c>
      <c r="H425" s="70">
        <v>50</v>
      </c>
      <c r="I425" s="72">
        <f>FastenersPriceList345[[#This Row],[Quantity (kg)]]/FastenersPriceList345[[#This Row],[SINGLE PC. WT.]]</f>
        <v>14.204545454545455</v>
      </c>
      <c r="J425" s="3">
        <v>158</v>
      </c>
      <c r="K425" s="3">
        <f>FastenersPriceList345[[#This Row],[1000 PCS/WT.]]*FastenersPriceList345[[#This Row],[Rate / PER kg (₹)]]</f>
        <v>556160</v>
      </c>
      <c r="L425" s="4">
        <f>FastenersPriceList345[[#This Row],[Rate / PER kg (₹)]]*FastenersPriceList345[[#This Row],[Quantity (kg)]]</f>
        <v>7900</v>
      </c>
      <c r="M425" s="4">
        <f>FastenersPriceList345[[#This Row],[SINGLE PC. WT.]]*FastenersPriceList345[[#This Row],[Rate / PER kg (₹)]]</f>
        <v>556.16</v>
      </c>
    </row>
    <row r="426" spans="1:13" ht="22.05" customHeight="1" x14ac:dyDescent="0.3">
      <c r="A426" s="2" t="s">
        <v>2599</v>
      </c>
      <c r="B426" s="12" t="s">
        <v>8</v>
      </c>
      <c r="C426" s="12">
        <v>12.9</v>
      </c>
      <c r="D426" s="2">
        <v>3610</v>
      </c>
      <c r="E426" s="2">
        <f>FastenersPriceList345[[#This Row],[1000 PCS/WT.]]/1000</f>
        <v>3.61</v>
      </c>
      <c r="F426" s="2" t="s">
        <v>887</v>
      </c>
      <c r="G426" s="6" t="s">
        <v>1755</v>
      </c>
      <c r="H426" s="70">
        <v>50</v>
      </c>
      <c r="I426" s="72">
        <f>FastenersPriceList345[[#This Row],[Quantity (kg)]]/FastenersPriceList345[[#This Row],[SINGLE PC. WT.]]</f>
        <v>13.850415512465375</v>
      </c>
      <c r="J426" s="3">
        <v>158</v>
      </c>
      <c r="K426" s="3">
        <f>FastenersPriceList345[[#This Row],[1000 PCS/WT.]]*FastenersPriceList345[[#This Row],[Rate / PER kg (₹)]]</f>
        <v>570380</v>
      </c>
      <c r="L426" s="4">
        <f>FastenersPriceList345[[#This Row],[Rate / PER kg (₹)]]*FastenersPriceList345[[#This Row],[Quantity (kg)]]</f>
        <v>7900</v>
      </c>
      <c r="M426" s="4">
        <f>FastenersPriceList345[[#This Row],[SINGLE PC. WT.]]*FastenersPriceList345[[#This Row],[Rate / PER kg (₹)]]</f>
        <v>570.38</v>
      </c>
    </row>
    <row r="427" spans="1:13" ht="22.05" customHeight="1" x14ac:dyDescent="0.3">
      <c r="A427" s="2" t="s">
        <v>2600</v>
      </c>
      <c r="B427" s="12" t="s">
        <v>8</v>
      </c>
      <c r="C427" s="12">
        <v>12.9</v>
      </c>
      <c r="D427" s="2">
        <v>3700</v>
      </c>
      <c r="E427" s="2">
        <f>FastenersPriceList345[[#This Row],[1000 PCS/WT.]]/1000</f>
        <v>3.7</v>
      </c>
      <c r="F427" s="2" t="s">
        <v>888</v>
      </c>
      <c r="G427" s="6" t="s">
        <v>1755</v>
      </c>
      <c r="H427" s="70">
        <v>50</v>
      </c>
      <c r="I427" s="72">
        <f>FastenersPriceList345[[#This Row],[Quantity (kg)]]/FastenersPriceList345[[#This Row],[SINGLE PC. WT.]]</f>
        <v>13.513513513513512</v>
      </c>
      <c r="J427" s="3">
        <v>158</v>
      </c>
      <c r="K427" s="3">
        <f>FastenersPriceList345[[#This Row],[1000 PCS/WT.]]*FastenersPriceList345[[#This Row],[Rate / PER kg (₹)]]</f>
        <v>584600</v>
      </c>
      <c r="L427" s="4">
        <f>FastenersPriceList345[[#This Row],[Rate / PER kg (₹)]]*FastenersPriceList345[[#This Row],[Quantity (kg)]]</f>
        <v>7900</v>
      </c>
      <c r="M427" s="4">
        <f>FastenersPriceList345[[#This Row],[SINGLE PC. WT.]]*FastenersPriceList345[[#This Row],[Rate / PER kg (₹)]]</f>
        <v>584.6</v>
      </c>
    </row>
    <row r="428" spans="1:13" ht="22.05" customHeight="1" x14ac:dyDescent="0.3">
      <c r="A428" s="2" t="s">
        <v>2601</v>
      </c>
      <c r="B428" s="12" t="s">
        <v>8</v>
      </c>
      <c r="C428" s="12">
        <v>12.9</v>
      </c>
      <c r="D428" s="2">
        <v>3790</v>
      </c>
      <c r="E428" s="2">
        <f>FastenersPriceList345[[#This Row],[1000 PCS/WT.]]/1000</f>
        <v>3.79</v>
      </c>
      <c r="F428" s="2" t="s">
        <v>889</v>
      </c>
      <c r="G428" s="6" t="s">
        <v>1755</v>
      </c>
      <c r="H428" s="70">
        <v>50</v>
      </c>
      <c r="I428" s="72">
        <f>FastenersPriceList345[[#This Row],[Quantity (kg)]]/FastenersPriceList345[[#This Row],[SINGLE PC. WT.]]</f>
        <v>13.192612137203167</v>
      </c>
      <c r="J428" s="3">
        <v>158</v>
      </c>
      <c r="K428" s="3">
        <f>FastenersPriceList345[[#This Row],[1000 PCS/WT.]]*FastenersPriceList345[[#This Row],[Rate / PER kg (₹)]]</f>
        <v>598820</v>
      </c>
      <c r="L428" s="4">
        <f>FastenersPriceList345[[#This Row],[Rate / PER kg (₹)]]*FastenersPriceList345[[#This Row],[Quantity (kg)]]</f>
        <v>7900</v>
      </c>
      <c r="M428" s="4">
        <f>FastenersPriceList345[[#This Row],[SINGLE PC. WT.]]*FastenersPriceList345[[#This Row],[Rate / PER kg (₹)]]</f>
        <v>598.82000000000005</v>
      </c>
    </row>
    <row r="429" spans="1:13" ht="22.05" customHeight="1" x14ac:dyDescent="0.3">
      <c r="A429" s="2" t="s">
        <v>2602</v>
      </c>
      <c r="B429" s="12" t="s">
        <v>8</v>
      </c>
      <c r="C429" s="12">
        <v>12.9</v>
      </c>
      <c r="D429" s="2">
        <v>3880</v>
      </c>
      <c r="E429" s="2">
        <f>FastenersPriceList345[[#This Row],[1000 PCS/WT.]]/1000</f>
        <v>3.88</v>
      </c>
      <c r="F429" s="2" t="s">
        <v>890</v>
      </c>
      <c r="G429" s="6" t="s">
        <v>1755</v>
      </c>
      <c r="H429" s="70">
        <v>50</v>
      </c>
      <c r="I429" s="72">
        <f>FastenersPriceList345[[#This Row],[Quantity (kg)]]/FastenersPriceList345[[#This Row],[SINGLE PC. WT.]]</f>
        <v>12.88659793814433</v>
      </c>
      <c r="J429" s="3">
        <v>158</v>
      </c>
      <c r="K429" s="3">
        <f>FastenersPriceList345[[#This Row],[1000 PCS/WT.]]*FastenersPriceList345[[#This Row],[Rate / PER kg (₹)]]</f>
        <v>613040</v>
      </c>
      <c r="L429" s="4">
        <f>FastenersPriceList345[[#This Row],[Rate / PER kg (₹)]]*FastenersPriceList345[[#This Row],[Quantity (kg)]]</f>
        <v>7900</v>
      </c>
      <c r="M429" s="4">
        <f>FastenersPriceList345[[#This Row],[SINGLE PC. WT.]]*FastenersPriceList345[[#This Row],[Rate / PER kg (₹)]]</f>
        <v>613.04</v>
      </c>
    </row>
    <row r="430" spans="1:13" x14ac:dyDescent="0.3">
      <c r="A430" s="5"/>
      <c r="B430" s="5"/>
      <c r="C430" s="5"/>
      <c r="D430" s="5"/>
      <c r="E430" s="5"/>
      <c r="F430" s="5"/>
      <c r="G430" s="5"/>
      <c r="H430" s="71"/>
      <c r="I430" s="68"/>
      <c r="J430" s="5"/>
      <c r="K430" s="5"/>
      <c r="L430" s="5"/>
      <c r="M430" s="5"/>
    </row>
    <row r="431" spans="1:13" ht="25.95" customHeight="1" x14ac:dyDescent="0.3">
      <c r="A431" s="34" t="s">
        <v>7</v>
      </c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1"/>
      <c r="M431" s="1"/>
    </row>
  </sheetData>
  <mergeCells count="3">
    <mergeCell ref="A1:M1"/>
    <mergeCell ref="A2:M2"/>
    <mergeCell ref="A431:K43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16BE-718C-4C7F-A429-084722D1B513}">
  <dimension ref="A1:Q41"/>
  <sheetViews>
    <sheetView topLeftCell="A10" workbookViewId="0">
      <selection activeCell="B2" sqref="B2:B35"/>
    </sheetView>
  </sheetViews>
  <sheetFormatPr defaultRowHeight="14.4" x14ac:dyDescent="0.3"/>
  <cols>
    <col min="2" max="2" width="21.109375" customWidth="1"/>
    <col min="3" max="3" width="13.44140625" customWidth="1"/>
    <col min="7" max="7" width="10.77734375" customWidth="1"/>
    <col min="9" max="9" width="15.109375" customWidth="1"/>
    <col min="10" max="10" width="10.109375" customWidth="1"/>
    <col min="11" max="11" width="18.109375" customWidth="1"/>
  </cols>
  <sheetData>
    <row r="1" spans="1:17" ht="16.2" thickBot="1" x14ac:dyDescent="0.35">
      <c r="A1" s="13" t="s">
        <v>214</v>
      </c>
      <c r="B1" s="13" t="s">
        <v>213</v>
      </c>
      <c r="C1" s="13" t="s">
        <v>216</v>
      </c>
      <c r="D1" s="5" t="s">
        <v>218</v>
      </c>
      <c r="E1" s="13" t="s">
        <v>217</v>
      </c>
      <c r="F1" s="5" t="s">
        <v>215</v>
      </c>
      <c r="G1" s="13" t="s">
        <v>219</v>
      </c>
      <c r="I1" s="19" t="s">
        <v>220</v>
      </c>
      <c r="J1" s="20" t="s">
        <v>221</v>
      </c>
      <c r="K1" s="21" t="s">
        <v>220</v>
      </c>
      <c r="L1" s="22" t="s">
        <v>221</v>
      </c>
    </row>
    <row r="2" spans="1:17" x14ac:dyDescent="0.3">
      <c r="A2" s="14">
        <v>1</v>
      </c>
      <c r="B2" s="5" t="s">
        <v>179</v>
      </c>
      <c r="C2" s="5"/>
      <c r="D2" s="5">
        <v>4000</v>
      </c>
      <c r="E2" s="5">
        <v>1000</v>
      </c>
      <c r="F2" s="5">
        <v>14000</v>
      </c>
      <c r="G2" s="5">
        <f>SUM(C2:F2)</f>
        <v>19000</v>
      </c>
      <c r="I2" s="18" t="s">
        <v>222</v>
      </c>
      <c r="J2" s="18" t="s">
        <v>223</v>
      </c>
      <c r="K2" s="18" t="s">
        <v>224</v>
      </c>
      <c r="L2" s="18">
        <v>1000</v>
      </c>
    </row>
    <row r="3" spans="1:17" x14ac:dyDescent="0.3">
      <c r="A3" s="14">
        <v>2</v>
      </c>
      <c r="B3" s="5" t="s">
        <v>194</v>
      </c>
      <c r="C3" s="5"/>
      <c r="D3" s="5">
        <v>4000</v>
      </c>
      <c r="E3" s="5">
        <v>1000</v>
      </c>
      <c r="F3" s="5">
        <v>14000</v>
      </c>
      <c r="G3" s="5">
        <f t="shared" ref="G3:G35" si="0">SUM(C3:F3)</f>
        <v>19000</v>
      </c>
      <c r="I3" s="17" t="s">
        <v>222</v>
      </c>
      <c r="J3" s="17" t="s">
        <v>223</v>
      </c>
      <c r="K3" s="17" t="s">
        <v>224</v>
      </c>
      <c r="L3" s="17">
        <v>1000</v>
      </c>
    </row>
    <row r="4" spans="1:17" x14ac:dyDescent="0.3">
      <c r="A4" s="14">
        <v>3</v>
      </c>
      <c r="B4" s="5" t="s">
        <v>182</v>
      </c>
      <c r="C4" s="5"/>
      <c r="D4" s="5">
        <v>4000</v>
      </c>
      <c r="E4" s="5">
        <v>1000</v>
      </c>
      <c r="F4" s="5"/>
      <c r="G4" s="5">
        <f t="shared" si="0"/>
        <v>5000</v>
      </c>
      <c r="I4" s="17" t="s">
        <v>222</v>
      </c>
      <c r="J4" s="17" t="s">
        <v>223</v>
      </c>
      <c r="K4" s="17" t="s">
        <v>224</v>
      </c>
      <c r="L4" s="17">
        <v>1000</v>
      </c>
    </row>
    <row r="5" spans="1:17" x14ac:dyDescent="0.3">
      <c r="A5" s="14">
        <v>4</v>
      </c>
      <c r="B5" s="5" t="s">
        <v>190</v>
      </c>
      <c r="C5" s="5"/>
      <c r="D5" s="5">
        <v>4000</v>
      </c>
      <c r="E5" s="5">
        <v>1000</v>
      </c>
      <c r="F5" s="5">
        <v>15000</v>
      </c>
      <c r="G5" s="5">
        <f t="shared" si="0"/>
        <v>20000</v>
      </c>
      <c r="I5" s="17" t="s">
        <v>222</v>
      </c>
      <c r="J5" s="17" t="s">
        <v>223</v>
      </c>
      <c r="K5" s="17" t="s">
        <v>224</v>
      </c>
      <c r="L5" s="17">
        <v>1000</v>
      </c>
      <c r="Q5">
        <v>38</v>
      </c>
    </row>
    <row r="6" spans="1:17" x14ac:dyDescent="0.3">
      <c r="A6" s="14">
        <v>5</v>
      </c>
      <c r="B6" s="5" t="s">
        <v>203</v>
      </c>
      <c r="C6" s="5"/>
      <c r="D6" s="5">
        <v>4000</v>
      </c>
      <c r="E6" s="5">
        <v>1000</v>
      </c>
      <c r="F6" s="5">
        <v>11000</v>
      </c>
      <c r="G6" s="5">
        <f t="shared" si="0"/>
        <v>16000</v>
      </c>
      <c r="I6" s="17" t="s">
        <v>222</v>
      </c>
      <c r="J6" s="17" t="s">
        <v>223</v>
      </c>
      <c r="K6" s="17" t="s">
        <v>224</v>
      </c>
      <c r="L6" s="17">
        <v>1000</v>
      </c>
      <c r="Q6">
        <v>36</v>
      </c>
    </row>
    <row r="7" spans="1:17" x14ac:dyDescent="0.3">
      <c r="A7" s="14">
        <v>6</v>
      </c>
      <c r="B7" s="5" t="s">
        <v>188</v>
      </c>
      <c r="C7" s="5"/>
      <c r="D7" s="5">
        <v>4000</v>
      </c>
      <c r="E7" s="5">
        <v>1000</v>
      </c>
      <c r="F7" s="5">
        <v>20000</v>
      </c>
      <c r="G7" s="5">
        <f t="shared" si="0"/>
        <v>25000</v>
      </c>
      <c r="I7" s="17" t="s">
        <v>222</v>
      </c>
      <c r="J7" s="17" t="s">
        <v>223</v>
      </c>
      <c r="K7" s="17" t="s">
        <v>224</v>
      </c>
      <c r="L7" s="17">
        <v>1000</v>
      </c>
    </row>
    <row r="8" spans="1:17" x14ac:dyDescent="0.3">
      <c r="A8" s="14">
        <v>7</v>
      </c>
      <c r="B8" s="5" t="s">
        <v>206</v>
      </c>
      <c r="C8" s="5"/>
      <c r="D8" s="5">
        <v>4000</v>
      </c>
      <c r="E8" s="5">
        <v>1000</v>
      </c>
      <c r="F8" s="5">
        <v>10500</v>
      </c>
      <c r="G8" s="5">
        <f t="shared" si="0"/>
        <v>15500</v>
      </c>
      <c r="I8" s="17" t="s">
        <v>222</v>
      </c>
      <c r="J8" s="17" t="s">
        <v>223</v>
      </c>
      <c r="K8" s="17" t="s">
        <v>224</v>
      </c>
      <c r="L8" s="17">
        <v>1000</v>
      </c>
    </row>
    <row r="9" spans="1:17" x14ac:dyDescent="0.3">
      <c r="A9" s="14">
        <v>8</v>
      </c>
      <c r="B9" s="5" t="s">
        <v>208</v>
      </c>
      <c r="C9" s="5"/>
      <c r="D9" s="5">
        <v>4000</v>
      </c>
      <c r="E9" s="5">
        <v>1000</v>
      </c>
      <c r="F9" s="5">
        <v>11500</v>
      </c>
      <c r="G9" s="5">
        <f t="shared" si="0"/>
        <v>16500</v>
      </c>
      <c r="I9" s="17" t="s">
        <v>222</v>
      </c>
      <c r="J9" s="17" t="s">
        <v>223</v>
      </c>
      <c r="K9" s="17" t="s">
        <v>224</v>
      </c>
      <c r="L9" s="17">
        <v>1000</v>
      </c>
    </row>
    <row r="10" spans="1:17" x14ac:dyDescent="0.3">
      <c r="A10" s="14">
        <v>9</v>
      </c>
      <c r="B10" s="5" t="s">
        <v>201</v>
      </c>
      <c r="C10" s="5"/>
      <c r="D10" s="5">
        <v>4000</v>
      </c>
      <c r="E10" s="5">
        <v>1000</v>
      </c>
      <c r="F10" s="5">
        <v>9000</v>
      </c>
      <c r="G10" s="5">
        <f t="shared" si="0"/>
        <v>14000</v>
      </c>
      <c r="I10" s="17" t="s">
        <v>222</v>
      </c>
      <c r="J10" s="17" t="s">
        <v>223</v>
      </c>
      <c r="K10" s="17" t="s">
        <v>224</v>
      </c>
      <c r="L10" s="17">
        <v>1000</v>
      </c>
    </row>
    <row r="11" spans="1:17" x14ac:dyDescent="0.3">
      <c r="A11" s="14">
        <v>10</v>
      </c>
      <c r="B11" s="5" t="s">
        <v>200</v>
      </c>
      <c r="C11" s="5"/>
      <c r="D11" s="5">
        <v>4000</v>
      </c>
      <c r="E11" s="5">
        <v>1000</v>
      </c>
      <c r="F11" s="5">
        <v>8500</v>
      </c>
      <c r="G11" s="5">
        <f t="shared" si="0"/>
        <v>13500</v>
      </c>
      <c r="I11" s="17" t="s">
        <v>222</v>
      </c>
      <c r="J11" s="17" t="s">
        <v>223</v>
      </c>
      <c r="K11" s="17" t="s">
        <v>224</v>
      </c>
      <c r="L11" s="17">
        <v>1000</v>
      </c>
    </row>
    <row r="12" spans="1:17" x14ac:dyDescent="0.3">
      <c r="A12" s="14">
        <v>11</v>
      </c>
      <c r="B12" s="5" t="s">
        <v>204</v>
      </c>
      <c r="C12" s="5"/>
      <c r="D12" s="5">
        <v>4000</v>
      </c>
      <c r="E12" s="5">
        <v>1000</v>
      </c>
      <c r="F12" s="5">
        <v>11500</v>
      </c>
      <c r="G12" s="5">
        <f t="shared" si="0"/>
        <v>16500</v>
      </c>
      <c r="I12" s="17" t="s">
        <v>222</v>
      </c>
      <c r="J12" s="17" t="s">
        <v>223</v>
      </c>
      <c r="K12" s="17" t="s">
        <v>224</v>
      </c>
      <c r="L12" s="17">
        <v>1000</v>
      </c>
    </row>
    <row r="13" spans="1:17" x14ac:dyDescent="0.3">
      <c r="A13" s="14">
        <v>12</v>
      </c>
      <c r="B13" s="5" t="s">
        <v>189</v>
      </c>
      <c r="C13" s="5"/>
      <c r="D13" s="5">
        <v>4000</v>
      </c>
      <c r="E13" s="5">
        <v>1000</v>
      </c>
      <c r="F13" s="5">
        <v>11000</v>
      </c>
      <c r="G13" s="5">
        <f t="shared" si="0"/>
        <v>16000</v>
      </c>
      <c r="I13" s="17" t="s">
        <v>222</v>
      </c>
      <c r="J13" s="17" t="s">
        <v>223</v>
      </c>
      <c r="K13" s="17" t="s">
        <v>224</v>
      </c>
      <c r="L13" s="17">
        <v>1000</v>
      </c>
    </row>
    <row r="14" spans="1:17" x14ac:dyDescent="0.3">
      <c r="A14" s="14">
        <v>13</v>
      </c>
      <c r="B14" s="5" t="s">
        <v>186</v>
      </c>
      <c r="C14" s="5"/>
      <c r="D14" s="5">
        <v>4000</v>
      </c>
      <c r="E14" s="5">
        <v>1000</v>
      </c>
      <c r="F14" s="5">
        <v>12000</v>
      </c>
      <c r="G14" s="5">
        <f t="shared" si="0"/>
        <v>17000</v>
      </c>
      <c r="I14" s="17" t="s">
        <v>222</v>
      </c>
      <c r="J14" s="17" t="s">
        <v>223</v>
      </c>
      <c r="K14" s="17" t="s">
        <v>224</v>
      </c>
      <c r="L14" s="17">
        <v>1000</v>
      </c>
    </row>
    <row r="15" spans="1:17" x14ac:dyDescent="0.3">
      <c r="A15" s="14">
        <v>14</v>
      </c>
      <c r="B15" s="5" t="s">
        <v>193</v>
      </c>
      <c r="C15" s="5"/>
      <c r="D15" s="5">
        <v>4000</v>
      </c>
      <c r="E15" s="5">
        <v>1000</v>
      </c>
      <c r="F15" s="5">
        <v>23000</v>
      </c>
      <c r="G15" s="5">
        <f t="shared" si="0"/>
        <v>28000</v>
      </c>
      <c r="I15" s="17" t="s">
        <v>222</v>
      </c>
      <c r="J15" s="17" t="s">
        <v>223</v>
      </c>
      <c r="K15" s="17" t="s">
        <v>224</v>
      </c>
      <c r="L15" s="17">
        <v>1000</v>
      </c>
    </row>
    <row r="16" spans="1:17" x14ac:dyDescent="0.3">
      <c r="A16" s="14">
        <v>15</v>
      </c>
      <c r="B16" s="5" t="s">
        <v>185</v>
      </c>
      <c r="C16" s="5"/>
      <c r="D16" s="5">
        <v>4000</v>
      </c>
      <c r="E16" s="5">
        <v>1000</v>
      </c>
      <c r="F16" s="5">
        <v>36000</v>
      </c>
      <c r="G16" s="5">
        <f t="shared" si="0"/>
        <v>41000</v>
      </c>
      <c r="I16" s="17" t="s">
        <v>222</v>
      </c>
      <c r="J16" s="17" t="s">
        <v>223</v>
      </c>
      <c r="K16" s="17" t="s">
        <v>224</v>
      </c>
      <c r="L16" s="17">
        <v>1000</v>
      </c>
    </row>
    <row r="17" spans="1:12" x14ac:dyDescent="0.3">
      <c r="A17" s="14">
        <v>16</v>
      </c>
      <c r="B17" s="5" t="s">
        <v>192</v>
      </c>
      <c r="C17" s="5"/>
      <c r="D17" s="5">
        <v>4000</v>
      </c>
      <c r="E17" s="5">
        <v>1000</v>
      </c>
      <c r="F17" s="5">
        <v>30000</v>
      </c>
      <c r="G17" s="5">
        <f t="shared" si="0"/>
        <v>35000</v>
      </c>
      <c r="I17" s="17" t="s">
        <v>222</v>
      </c>
      <c r="J17" s="17" t="s">
        <v>223</v>
      </c>
      <c r="K17" s="17" t="s">
        <v>224</v>
      </c>
      <c r="L17" s="17">
        <v>1000</v>
      </c>
    </row>
    <row r="18" spans="1:12" x14ac:dyDescent="0.3">
      <c r="A18" s="14">
        <v>17</v>
      </c>
      <c r="B18" s="5" t="s">
        <v>197</v>
      </c>
      <c r="C18" s="5"/>
      <c r="D18" s="5">
        <v>4000</v>
      </c>
      <c r="E18" s="5">
        <v>1000</v>
      </c>
      <c r="F18" s="5"/>
      <c r="G18" s="5">
        <f t="shared" si="0"/>
        <v>5000</v>
      </c>
      <c r="I18" s="17" t="s">
        <v>222</v>
      </c>
      <c r="J18" s="17" t="s">
        <v>223</v>
      </c>
      <c r="K18" s="17" t="s">
        <v>224</v>
      </c>
      <c r="L18" s="17">
        <v>1000</v>
      </c>
    </row>
    <row r="19" spans="1:12" x14ac:dyDescent="0.3">
      <c r="A19" s="14">
        <v>18</v>
      </c>
      <c r="B19" s="5" t="s">
        <v>209</v>
      </c>
      <c r="C19" s="5"/>
      <c r="D19" s="5">
        <v>4000</v>
      </c>
      <c r="E19" s="5">
        <v>1000</v>
      </c>
      <c r="F19" s="5">
        <v>14000</v>
      </c>
      <c r="G19" s="5">
        <f t="shared" si="0"/>
        <v>19000</v>
      </c>
      <c r="I19" s="17" t="s">
        <v>222</v>
      </c>
      <c r="J19" s="17" t="s">
        <v>223</v>
      </c>
      <c r="K19" s="17" t="s">
        <v>224</v>
      </c>
      <c r="L19" s="17">
        <v>1000</v>
      </c>
    </row>
    <row r="20" spans="1:12" x14ac:dyDescent="0.3">
      <c r="A20" s="14">
        <v>19</v>
      </c>
      <c r="B20" s="5" t="s">
        <v>210</v>
      </c>
      <c r="C20" s="5"/>
      <c r="D20" s="5">
        <v>4000</v>
      </c>
      <c r="E20" s="5">
        <v>1000</v>
      </c>
      <c r="F20" s="5">
        <v>15000</v>
      </c>
      <c r="G20" s="5">
        <f t="shared" si="0"/>
        <v>20000</v>
      </c>
      <c r="I20" s="17" t="s">
        <v>222</v>
      </c>
      <c r="J20" s="17" t="s">
        <v>223</v>
      </c>
      <c r="K20" s="17" t="s">
        <v>224</v>
      </c>
      <c r="L20" s="17">
        <v>1000</v>
      </c>
    </row>
    <row r="21" spans="1:12" x14ac:dyDescent="0.3">
      <c r="A21" s="14">
        <v>20</v>
      </c>
      <c r="B21" s="5" t="s">
        <v>184</v>
      </c>
      <c r="C21" s="5"/>
      <c r="D21" s="5">
        <v>4000</v>
      </c>
      <c r="E21" s="5">
        <v>1000</v>
      </c>
      <c r="F21" s="5">
        <v>8500</v>
      </c>
      <c r="G21" s="5">
        <f t="shared" si="0"/>
        <v>13500</v>
      </c>
      <c r="I21" s="17" t="s">
        <v>222</v>
      </c>
      <c r="J21" s="17" t="s">
        <v>223</v>
      </c>
      <c r="K21" s="17" t="s">
        <v>224</v>
      </c>
      <c r="L21" s="17">
        <v>1000</v>
      </c>
    </row>
    <row r="22" spans="1:12" x14ac:dyDescent="0.3">
      <c r="A22" s="14">
        <v>21</v>
      </c>
      <c r="B22" s="5" t="s">
        <v>181</v>
      </c>
      <c r="C22" s="5"/>
      <c r="D22" s="5">
        <v>4000</v>
      </c>
      <c r="E22" s="5">
        <v>1000</v>
      </c>
      <c r="F22" s="5">
        <v>10000</v>
      </c>
      <c r="G22" s="5">
        <f t="shared" si="0"/>
        <v>15000</v>
      </c>
      <c r="I22" s="17" t="s">
        <v>222</v>
      </c>
      <c r="J22" s="17" t="s">
        <v>223</v>
      </c>
      <c r="K22" s="17" t="s">
        <v>224</v>
      </c>
      <c r="L22" s="17">
        <v>1000</v>
      </c>
    </row>
    <row r="23" spans="1:12" x14ac:dyDescent="0.3">
      <c r="A23" s="14">
        <v>22</v>
      </c>
      <c r="B23" s="5" t="s">
        <v>196</v>
      </c>
      <c r="C23" s="5"/>
      <c r="D23" s="5">
        <v>4000</v>
      </c>
      <c r="E23" s="5">
        <v>1000</v>
      </c>
      <c r="F23" s="5">
        <v>9000</v>
      </c>
      <c r="G23" s="5">
        <f t="shared" si="0"/>
        <v>14000</v>
      </c>
      <c r="I23" s="17" t="s">
        <v>222</v>
      </c>
      <c r="J23" s="17" t="s">
        <v>223</v>
      </c>
      <c r="K23" s="17" t="s">
        <v>224</v>
      </c>
      <c r="L23" s="17">
        <v>1000</v>
      </c>
    </row>
    <row r="24" spans="1:12" x14ac:dyDescent="0.3">
      <c r="A24" s="14">
        <v>23</v>
      </c>
      <c r="B24" s="5" t="s">
        <v>202</v>
      </c>
      <c r="C24" s="5"/>
      <c r="D24" s="5">
        <v>4000</v>
      </c>
      <c r="E24" s="5">
        <v>1000</v>
      </c>
      <c r="F24" s="5">
        <v>9000</v>
      </c>
      <c r="G24" s="5">
        <f t="shared" si="0"/>
        <v>14000</v>
      </c>
      <c r="I24" s="17" t="s">
        <v>222</v>
      </c>
      <c r="J24" s="17" t="s">
        <v>223</v>
      </c>
      <c r="K24" s="17" t="s">
        <v>224</v>
      </c>
      <c r="L24" s="17">
        <v>1000</v>
      </c>
    </row>
    <row r="25" spans="1:12" x14ac:dyDescent="0.3">
      <c r="A25" s="14">
        <v>24</v>
      </c>
      <c r="B25" s="5" t="s">
        <v>195</v>
      </c>
      <c r="C25" s="5"/>
      <c r="D25" s="5">
        <v>4000</v>
      </c>
      <c r="E25" s="5">
        <v>1000</v>
      </c>
      <c r="F25" s="5">
        <v>10000</v>
      </c>
      <c r="G25" s="5">
        <f t="shared" si="0"/>
        <v>15000</v>
      </c>
      <c r="I25" s="17" t="s">
        <v>222</v>
      </c>
      <c r="J25" s="17" t="s">
        <v>223</v>
      </c>
      <c r="K25" s="17" t="s">
        <v>224</v>
      </c>
      <c r="L25" s="17">
        <v>1000</v>
      </c>
    </row>
    <row r="26" spans="1:12" x14ac:dyDescent="0.3">
      <c r="A26" s="14">
        <v>25</v>
      </c>
      <c r="B26" s="5" t="s">
        <v>198</v>
      </c>
      <c r="C26" s="5"/>
      <c r="D26" s="5">
        <v>4000</v>
      </c>
      <c r="E26" s="5">
        <v>1000</v>
      </c>
      <c r="F26" s="5">
        <v>8500</v>
      </c>
      <c r="G26" s="5">
        <f t="shared" si="0"/>
        <v>13500</v>
      </c>
      <c r="I26" s="17" t="s">
        <v>222</v>
      </c>
      <c r="J26" s="17" t="s">
        <v>223</v>
      </c>
      <c r="K26" s="17" t="s">
        <v>224</v>
      </c>
      <c r="L26" s="17">
        <v>1000</v>
      </c>
    </row>
    <row r="27" spans="1:12" x14ac:dyDescent="0.3">
      <c r="A27" s="14">
        <v>26</v>
      </c>
      <c r="B27" s="5" t="s">
        <v>199</v>
      </c>
      <c r="C27" s="5"/>
      <c r="D27" s="5">
        <v>4000</v>
      </c>
      <c r="E27" s="5">
        <v>1000</v>
      </c>
      <c r="F27" s="5">
        <v>8500</v>
      </c>
      <c r="G27" s="5">
        <f t="shared" si="0"/>
        <v>13500</v>
      </c>
      <c r="I27" s="17" t="s">
        <v>222</v>
      </c>
      <c r="J27" s="17" t="s">
        <v>223</v>
      </c>
      <c r="K27" s="17" t="s">
        <v>224</v>
      </c>
      <c r="L27" s="17">
        <v>1000</v>
      </c>
    </row>
    <row r="28" spans="1:12" x14ac:dyDescent="0.3">
      <c r="A28" s="14">
        <v>27</v>
      </c>
      <c r="B28" s="5" t="s">
        <v>180</v>
      </c>
      <c r="C28" s="5"/>
      <c r="D28" s="5">
        <v>4000</v>
      </c>
      <c r="E28" s="5">
        <v>1000</v>
      </c>
      <c r="F28" s="5">
        <v>8000</v>
      </c>
      <c r="G28" s="5">
        <f t="shared" si="0"/>
        <v>13000</v>
      </c>
      <c r="I28" s="17" t="s">
        <v>222</v>
      </c>
      <c r="J28" s="17" t="s">
        <v>223</v>
      </c>
      <c r="K28" s="17" t="s">
        <v>224</v>
      </c>
      <c r="L28" s="17">
        <v>1000</v>
      </c>
    </row>
    <row r="29" spans="1:12" x14ac:dyDescent="0.3">
      <c r="A29" s="14">
        <v>28</v>
      </c>
      <c r="B29" s="5" t="s">
        <v>205</v>
      </c>
      <c r="C29" s="5"/>
      <c r="D29" s="5">
        <v>4000</v>
      </c>
      <c r="E29" s="5">
        <v>1000</v>
      </c>
      <c r="F29" s="5">
        <v>11500</v>
      </c>
      <c r="G29" s="5">
        <f t="shared" si="0"/>
        <v>16500</v>
      </c>
      <c r="I29" s="17" t="s">
        <v>222</v>
      </c>
      <c r="J29" s="17" t="s">
        <v>223</v>
      </c>
      <c r="K29" s="17" t="s">
        <v>224</v>
      </c>
      <c r="L29" s="17">
        <v>1000</v>
      </c>
    </row>
    <row r="30" spans="1:12" x14ac:dyDescent="0.3">
      <c r="A30" s="14">
        <v>29</v>
      </c>
      <c r="B30" s="5" t="s">
        <v>183</v>
      </c>
      <c r="C30" s="5"/>
      <c r="D30" s="5">
        <v>4000</v>
      </c>
      <c r="E30" s="5">
        <v>1000</v>
      </c>
      <c r="F30" s="5">
        <v>20000</v>
      </c>
      <c r="G30" s="5">
        <f t="shared" si="0"/>
        <v>25000</v>
      </c>
      <c r="I30" s="17" t="s">
        <v>222</v>
      </c>
      <c r="J30" s="17" t="s">
        <v>223</v>
      </c>
      <c r="K30" s="17" t="s">
        <v>224</v>
      </c>
      <c r="L30" s="17">
        <v>1000</v>
      </c>
    </row>
    <row r="31" spans="1:12" x14ac:dyDescent="0.3">
      <c r="A31" s="14">
        <v>30</v>
      </c>
      <c r="B31" s="5" t="s">
        <v>191</v>
      </c>
      <c r="C31" s="5"/>
      <c r="D31" s="5">
        <v>4000</v>
      </c>
      <c r="E31" s="5">
        <v>1000</v>
      </c>
      <c r="F31" s="5">
        <v>20000</v>
      </c>
      <c r="G31" s="5">
        <f t="shared" si="0"/>
        <v>25000</v>
      </c>
      <c r="I31" s="17" t="s">
        <v>222</v>
      </c>
      <c r="J31" s="17" t="s">
        <v>223</v>
      </c>
      <c r="K31" s="17" t="s">
        <v>224</v>
      </c>
      <c r="L31" s="17">
        <v>1000</v>
      </c>
    </row>
    <row r="32" spans="1:12" x14ac:dyDescent="0.3">
      <c r="A32" s="14">
        <v>31</v>
      </c>
      <c r="B32" s="5" t="s">
        <v>187</v>
      </c>
      <c r="C32" s="5"/>
      <c r="D32" s="5">
        <v>4000</v>
      </c>
      <c r="E32" s="5">
        <v>1000</v>
      </c>
      <c r="F32" s="5">
        <v>23000</v>
      </c>
      <c r="G32" s="5">
        <f t="shared" si="0"/>
        <v>28000</v>
      </c>
      <c r="I32" s="17" t="s">
        <v>222</v>
      </c>
      <c r="J32" s="17" t="s">
        <v>223</v>
      </c>
      <c r="K32" s="17" t="s">
        <v>224</v>
      </c>
      <c r="L32" s="17">
        <v>1000</v>
      </c>
    </row>
    <row r="33" spans="1:12" x14ac:dyDescent="0.3">
      <c r="A33" s="14">
        <v>32</v>
      </c>
      <c r="B33" s="5" t="s">
        <v>212</v>
      </c>
      <c r="C33" s="5"/>
      <c r="D33" s="5">
        <v>4000</v>
      </c>
      <c r="E33" s="5">
        <v>1000</v>
      </c>
      <c r="F33" s="5">
        <v>21000</v>
      </c>
      <c r="G33" s="5">
        <f t="shared" si="0"/>
        <v>26000</v>
      </c>
      <c r="I33" s="17" t="s">
        <v>222</v>
      </c>
      <c r="J33" s="17" t="s">
        <v>223</v>
      </c>
      <c r="K33" s="17" t="s">
        <v>224</v>
      </c>
      <c r="L33" s="17">
        <v>1000</v>
      </c>
    </row>
    <row r="34" spans="1:12" x14ac:dyDescent="0.3">
      <c r="A34" s="14">
        <v>33</v>
      </c>
      <c r="B34" s="5" t="s">
        <v>211</v>
      </c>
      <c r="C34" s="5"/>
      <c r="D34" s="5">
        <v>4000</v>
      </c>
      <c r="E34" s="5">
        <v>1000</v>
      </c>
      <c r="F34" s="5">
        <v>20000</v>
      </c>
      <c r="G34" s="5">
        <f t="shared" si="0"/>
        <v>25000</v>
      </c>
      <c r="I34" s="17" t="s">
        <v>222</v>
      </c>
      <c r="J34" s="17" t="s">
        <v>223</v>
      </c>
      <c r="K34" s="17" t="s">
        <v>224</v>
      </c>
      <c r="L34" s="17">
        <v>1000</v>
      </c>
    </row>
    <row r="35" spans="1:12" x14ac:dyDescent="0.3">
      <c r="A35" s="14">
        <v>34</v>
      </c>
      <c r="B35" s="5" t="s">
        <v>207</v>
      </c>
      <c r="C35" s="5"/>
      <c r="D35" s="5">
        <v>4000</v>
      </c>
      <c r="E35" s="5">
        <v>1000</v>
      </c>
      <c r="F35" s="5">
        <v>10500</v>
      </c>
      <c r="G35" s="5">
        <f t="shared" si="0"/>
        <v>15500</v>
      </c>
      <c r="I35" s="17" t="s">
        <v>222</v>
      </c>
      <c r="J35" s="17" t="s">
        <v>223</v>
      </c>
      <c r="K35" s="17" t="s">
        <v>224</v>
      </c>
      <c r="L35" s="17">
        <v>1000</v>
      </c>
    </row>
    <row r="40" spans="1:12" x14ac:dyDescent="0.3">
      <c r="B40" s="16"/>
      <c r="C40" s="16"/>
      <c r="D40" s="16"/>
      <c r="E40" s="16"/>
    </row>
    <row r="41" spans="1:12" ht="15.6" x14ac:dyDescent="0.3">
      <c r="B41" s="15"/>
      <c r="C41" s="16"/>
      <c r="D41" s="16"/>
      <c r="E41" s="16"/>
    </row>
  </sheetData>
  <autoFilter ref="A1:G35" xr:uid="{0C4B16BE-718C-4C7F-A429-084722D1B513}"/>
  <sortState xmlns:xlrd2="http://schemas.microsoft.com/office/spreadsheetml/2017/richdata2" ref="B2:B35">
    <sortCondition ref="B2:B3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A24D-9F18-43FB-806C-602B9796D97C}">
  <dimension ref="A3:G21"/>
  <sheetViews>
    <sheetView workbookViewId="0">
      <selection activeCell="F4" sqref="F4:F10"/>
    </sheetView>
  </sheetViews>
  <sheetFormatPr defaultRowHeight="14.4" x14ac:dyDescent="0.3"/>
  <cols>
    <col min="2" max="2" width="26.88671875" customWidth="1"/>
    <col min="3" max="3" width="12.33203125" customWidth="1"/>
    <col min="4" max="4" width="10.88671875" customWidth="1"/>
    <col min="7" max="7" width="14.21875" customWidth="1"/>
  </cols>
  <sheetData>
    <row r="3" spans="1:7" ht="47.4" customHeight="1" x14ac:dyDescent="0.3">
      <c r="A3" s="23" t="s">
        <v>214</v>
      </c>
      <c r="B3" s="23" t="s">
        <v>225</v>
      </c>
      <c r="C3" s="23" t="s">
        <v>216</v>
      </c>
      <c r="D3" s="24" t="s">
        <v>219</v>
      </c>
      <c r="E3" s="23" t="s">
        <v>245</v>
      </c>
      <c r="F3" s="23" t="s">
        <v>246</v>
      </c>
      <c r="G3" s="23" t="s">
        <v>260</v>
      </c>
    </row>
    <row r="4" spans="1:7" x14ac:dyDescent="0.3">
      <c r="A4" s="17">
        <v>1</v>
      </c>
      <c r="B4" s="5" t="s">
        <v>226</v>
      </c>
      <c r="C4" s="17">
        <v>41500</v>
      </c>
      <c r="D4" s="25">
        <v>64900</v>
      </c>
      <c r="E4" s="17" t="s">
        <v>247</v>
      </c>
      <c r="F4" s="17" t="s">
        <v>253</v>
      </c>
      <c r="G4" s="17" t="s">
        <v>261</v>
      </c>
    </row>
    <row r="5" spans="1:7" x14ac:dyDescent="0.3">
      <c r="A5" s="17">
        <v>2</v>
      </c>
      <c r="B5" s="5" t="s">
        <v>227</v>
      </c>
      <c r="C5" s="17">
        <v>41400</v>
      </c>
      <c r="D5" s="25">
        <v>64800</v>
      </c>
      <c r="E5" s="17" t="s">
        <v>248</v>
      </c>
      <c r="F5" s="17" t="s">
        <v>254</v>
      </c>
      <c r="G5" s="17" t="s">
        <v>261</v>
      </c>
    </row>
    <row r="6" spans="1:7" x14ac:dyDescent="0.3">
      <c r="A6" s="17">
        <v>3</v>
      </c>
      <c r="B6" s="5" t="s">
        <v>228</v>
      </c>
      <c r="C6" s="17">
        <v>41400</v>
      </c>
      <c r="D6" s="25">
        <v>64800</v>
      </c>
      <c r="E6" s="17" t="s">
        <v>249</v>
      </c>
      <c r="F6" s="17" t="s">
        <v>255</v>
      </c>
      <c r="G6" s="17" t="s">
        <v>261</v>
      </c>
    </row>
    <row r="7" spans="1:7" x14ac:dyDescent="0.3">
      <c r="A7" s="17">
        <v>4</v>
      </c>
      <c r="B7" s="5" t="s">
        <v>229</v>
      </c>
      <c r="C7" s="17">
        <v>41400</v>
      </c>
      <c r="D7" s="25">
        <v>64800</v>
      </c>
      <c r="E7" s="17" t="s">
        <v>250</v>
      </c>
      <c r="F7" s="17" t="s">
        <v>256</v>
      </c>
      <c r="G7" s="17">
        <v>500</v>
      </c>
    </row>
    <row r="8" spans="1:7" x14ac:dyDescent="0.3">
      <c r="A8" s="17">
        <v>5</v>
      </c>
      <c r="B8" s="5" t="s">
        <v>230</v>
      </c>
      <c r="C8" s="17">
        <v>41300</v>
      </c>
      <c r="D8" s="25">
        <v>64700</v>
      </c>
      <c r="E8" s="17" t="s">
        <v>251</v>
      </c>
      <c r="F8" s="17" t="s">
        <v>257</v>
      </c>
      <c r="G8" s="17">
        <v>700</v>
      </c>
    </row>
    <row r="9" spans="1:7" x14ac:dyDescent="0.3">
      <c r="A9" s="17">
        <v>6</v>
      </c>
      <c r="B9" s="5" t="s">
        <v>231</v>
      </c>
      <c r="C9" s="17">
        <v>41300</v>
      </c>
      <c r="D9" s="25">
        <v>64600</v>
      </c>
      <c r="E9" s="17" t="s">
        <v>252</v>
      </c>
      <c r="F9" s="17" t="s">
        <v>258</v>
      </c>
      <c r="G9" s="17">
        <v>1000</v>
      </c>
    </row>
    <row r="10" spans="1:7" x14ac:dyDescent="0.3">
      <c r="A10" s="17">
        <v>7</v>
      </c>
      <c r="B10" s="5" t="s">
        <v>232</v>
      </c>
      <c r="C10" s="17">
        <v>41300</v>
      </c>
      <c r="D10" s="25">
        <v>64700</v>
      </c>
      <c r="E10" s="17"/>
      <c r="F10" s="17" t="s">
        <v>259</v>
      </c>
      <c r="G10" s="17">
        <v>800</v>
      </c>
    </row>
    <row r="11" spans="1:7" x14ac:dyDescent="0.3">
      <c r="A11" s="17">
        <v>8</v>
      </c>
      <c r="B11" s="5" t="s">
        <v>233</v>
      </c>
      <c r="C11" s="17">
        <v>41200</v>
      </c>
      <c r="D11" s="25">
        <v>64500</v>
      </c>
      <c r="E11" s="17"/>
      <c r="F11" s="17"/>
      <c r="G11" s="17"/>
    </row>
    <row r="12" spans="1:7" x14ac:dyDescent="0.3">
      <c r="A12" s="17">
        <v>9</v>
      </c>
      <c r="B12" s="5" t="s">
        <v>234</v>
      </c>
      <c r="C12" s="17">
        <v>41400</v>
      </c>
      <c r="D12" s="25">
        <v>64800</v>
      </c>
      <c r="E12" s="17"/>
      <c r="F12" s="17"/>
      <c r="G12" s="17"/>
    </row>
    <row r="13" spans="1:7" x14ac:dyDescent="0.3">
      <c r="A13" s="17">
        <v>10</v>
      </c>
      <c r="B13" s="5" t="s">
        <v>235</v>
      </c>
      <c r="C13" s="17">
        <v>41300</v>
      </c>
      <c r="D13" s="25">
        <v>64600</v>
      </c>
      <c r="E13" s="17"/>
      <c r="F13" s="17"/>
      <c r="G13" s="17"/>
    </row>
    <row r="14" spans="1:7" x14ac:dyDescent="0.3">
      <c r="A14" s="17">
        <v>11</v>
      </c>
      <c r="B14" s="5" t="s">
        <v>236</v>
      </c>
      <c r="C14" s="17">
        <v>42500</v>
      </c>
      <c r="D14" s="25">
        <v>66100</v>
      </c>
      <c r="E14" s="17"/>
      <c r="F14" s="17"/>
      <c r="G14" s="17"/>
    </row>
    <row r="15" spans="1:7" x14ac:dyDescent="0.3">
      <c r="A15" s="17">
        <v>12</v>
      </c>
      <c r="B15" s="5" t="s">
        <v>237</v>
      </c>
      <c r="C15" s="17">
        <v>41800</v>
      </c>
      <c r="D15" s="25">
        <v>65200</v>
      </c>
      <c r="E15" s="17"/>
      <c r="F15" s="17"/>
      <c r="G15" s="17"/>
    </row>
    <row r="16" spans="1:7" x14ac:dyDescent="0.3">
      <c r="A16" s="17">
        <v>13</v>
      </c>
      <c r="B16" s="5" t="s">
        <v>238</v>
      </c>
      <c r="C16" s="17"/>
      <c r="D16" s="25" t="s">
        <v>243</v>
      </c>
      <c r="E16" s="17"/>
      <c r="F16" s="17"/>
      <c r="G16" s="17"/>
    </row>
    <row r="17" spans="1:7" x14ac:dyDescent="0.3">
      <c r="A17" s="17">
        <v>14</v>
      </c>
      <c r="B17" s="5" t="s">
        <v>239</v>
      </c>
      <c r="C17" s="17">
        <v>41800</v>
      </c>
      <c r="D17" s="25">
        <v>65300</v>
      </c>
      <c r="E17" s="17"/>
      <c r="F17" s="17"/>
      <c r="G17" s="17"/>
    </row>
    <row r="18" spans="1:7" x14ac:dyDescent="0.3">
      <c r="A18" s="17">
        <v>15</v>
      </c>
      <c r="B18" s="5" t="s">
        <v>240</v>
      </c>
      <c r="C18" s="17">
        <v>41500</v>
      </c>
      <c r="D18" s="25">
        <v>64900</v>
      </c>
      <c r="E18" s="17"/>
      <c r="F18" s="17"/>
      <c r="G18" s="17"/>
    </row>
    <row r="19" spans="1:7" x14ac:dyDescent="0.3">
      <c r="A19" s="17">
        <v>16</v>
      </c>
      <c r="B19" s="5" t="s">
        <v>241</v>
      </c>
      <c r="C19" s="17">
        <v>41300</v>
      </c>
      <c r="D19" s="25">
        <v>64700</v>
      </c>
      <c r="E19" s="17"/>
      <c r="F19" s="17"/>
      <c r="G19" s="17"/>
    </row>
    <row r="20" spans="1:7" x14ac:dyDescent="0.3">
      <c r="A20" s="17">
        <v>17</v>
      </c>
      <c r="B20" s="5" t="s">
        <v>242</v>
      </c>
      <c r="C20" s="17">
        <v>42800</v>
      </c>
      <c r="D20" s="25">
        <v>66400</v>
      </c>
      <c r="E20" s="17"/>
      <c r="F20" s="17"/>
      <c r="G20" s="17"/>
    </row>
    <row r="21" spans="1:7" ht="18" x14ac:dyDescent="0.35">
      <c r="A21" s="37" t="s">
        <v>244</v>
      </c>
      <c r="B21" s="37"/>
      <c r="C21" s="37"/>
      <c r="D21" s="37"/>
    </row>
  </sheetData>
  <mergeCells count="1">
    <mergeCell ref="A21:D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B0AE-D5B8-4261-8226-D93DC50DA331}">
  <dimension ref="A1:H29"/>
  <sheetViews>
    <sheetView topLeftCell="A12" workbookViewId="0">
      <selection activeCell="I27" sqref="I27"/>
    </sheetView>
  </sheetViews>
  <sheetFormatPr defaultRowHeight="14.4" x14ac:dyDescent="0.3"/>
  <cols>
    <col min="2" max="2" width="12.44140625" customWidth="1"/>
    <col min="3" max="3" width="15.109375" customWidth="1"/>
    <col min="4" max="4" width="14.44140625" customWidth="1"/>
    <col min="8" max="8" width="11.6640625" customWidth="1"/>
  </cols>
  <sheetData>
    <row r="1" spans="1:8" ht="23.4" x14ac:dyDescent="0.45">
      <c r="B1" s="38" t="s">
        <v>318</v>
      </c>
      <c r="C1" s="38"/>
      <c r="D1" s="38"/>
      <c r="E1" s="38"/>
      <c r="F1" s="38"/>
    </row>
    <row r="2" spans="1:8" ht="15" thickBot="1" x14ac:dyDescent="0.35">
      <c r="H2" s="30" t="s">
        <v>314</v>
      </c>
    </row>
    <row r="3" spans="1:8" ht="15" thickBot="1" x14ac:dyDescent="0.35">
      <c r="A3" s="26" t="s">
        <v>214</v>
      </c>
      <c r="B3" s="27" t="s">
        <v>262</v>
      </c>
      <c r="C3" s="27" t="s">
        <v>315</v>
      </c>
      <c r="D3" s="27" t="s">
        <v>313</v>
      </c>
      <c r="E3" s="27" t="s">
        <v>302</v>
      </c>
      <c r="F3" s="27" t="s">
        <v>304</v>
      </c>
      <c r="G3" s="27" t="s">
        <v>303</v>
      </c>
      <c r="H3" s="31" t="s">
        <v>305</v>
      </c>
    </row>
    <row r="4" spans="1:8" x14ac:dyDescent="0.3">
      <c r="A4">
        <v>1</v>
      </c>
      <c r="B4" t="s">
        <v>316</v>
      </c>
      <c r="C4" t="s">
        <v>306</v>
      </c>
      <c r="D4">
        <v>52900</v>
      </c>
      <c r="E4">
        <v>3300</v>
      </c>
      <c r="F4">
        <f>SUM(D4:E4)</f>
        <v>56200</v>
      </c>
      <c r="G4">
        <f>F4/100*18</f>
        <v>10116</v>
      </c>
      <c r="H4" s="30">
        <f>F4+G4</f>
        <v>66316</v>
      </c>
    </row>
    <row r="5" spans="1:8" x14ac:dyDescent="0.3">
      <c r="A5">
        <v>2</v>
      </c>
      <c r="B5" t="s">
        <v>316</v>
      </c>
      <c r="C5" t="s">
        <v>307</v>
      </c>
      <c r="D5">
        <v>52900</v>
      </c>
      <c r="E5">
        <v>3300</v>
      </c>
      <c r="F5">
        <f t="shared" ref="F5:F29" si="0">SUM(D5:E5)</f>
        <v>56200</v>
      </c>
      <c r="G5">
        <f t="shared" ref="G5:G29" si="1">F5/100*18</f>
        <v>10116</v>
      </c>
      <c r="H5" s="30">
        <f t="shared" ref="H5:H29" si="2">F5+G5</f>
        <v>66316</v>
      </c>
    </row>
    <row r="6" spans="1:8" x14ac:dyDescent="0.3">
      <c r="A6">
        <v>3</v>
      </c>
      <c r="B6" t="s">
        <v>316</v>
      </c>
      <c r="C6" t="s">
        <v>308</v>
      </c>
      <c r="D6">
        <v>53000</v>
      </c>
      <c r="E6">
        <v>3300</v>
      </c>
      <c r="F6">
        <f t="shared" si="0"/>
        <v>56300</v>
      </c>
      <c r="G6">
        <f t="shared" si="1"/>
        <v>10134</v>
      </c>
      <c r="H6" s="30">
        <f t="shared" si="2"/>
        <v>66434</v>
      </c>
    </row>
    <row r="7" spans="1:8" x14ac:dyDescent="0.3">
      <c r="A7">
        <v>4</v>
      </c>
      <c r="B7" t="s">
        <v>316</v>
      </c>
      <c r="C7" t="s">
        <v>309</v>
      </c>
      <c r="D7">
        <v>53000</v>
      </c>
      <c r="E7">
        <v>3300</v>
      </c>
      <c r="F7">
        <f t="shared" si="0"/>
        <v>56300</v>
      </c>
      <c r="G7">
        <f t="shared" si="1"/>
        <v>10134</v>
      </c>
      <c r="H7" s="30">
        <f t="shared" si="2"/>
        <v>66434</v>
      </c>
    </row>
    <row r="8" spans="1:8" x14ac:dyDescent="0.3">
      <c r="A8">
        <v>5</v>
      </c>
      <c r="B8" t="s">
        <v>316</v>
      </c>
      <c r="C8" t="s">
        <v>310</v>
      </c>
      <c r="D8">
        <v>53200</v>
      </c>
      <c r="E8">
        <v>2300</v>
      </c>
      <c r="F8">
        <f t="shared" si="0"/>
        <v>55500</v>
      </c>
      <c r="G8">
        <f t="shared" si="1"/>
        <v>9990</v>
      </c>
      <c r="H8" s="30">
        <f t="shared" si="2"/>
        <v>65490</v>
      </c>
    </row>
    <row r="9" spans="1:8" x14ac:dyDescent="0.3">
      <c r="A9">
        <v>6</v>
      </c>
      <c r="B9" t="s">
        <v>316</v>
      </c>
      <c r="C9" t="s">
        <v>247</v>
      </c>
      <c r="D9">
        <v>53500</v>
      </c>
      <c r="E9">
        <v>2300</v>
      </c>
      <c r="F9">
        <f t="shared" si="0"/>
        <v>55800</v>
      </c>
      <c r="G9">
        <f t="shared" si="1"/>
        <v>10044</v>
      </c>
      <c r="H9" s="30">
        <f t="shared" si="2"/>
        <v>65844</v>
      </c>
    </row>
    <row r="10" spans="1:8" x14ac:dyDescent="0.3">
      <c r="A10">
        <v>7</v>
      </c>
      <c r="B10" t="s">
        <v>316</v>
      </c>
      <c r="C10" t="s">
        <v>248</v>
      </c>
      <c r="D10">
        <v>53500</v>
      </c>
      <c r="E10">
        <v>2300</v>
      </c>
      <c r="F10">
        <f t="shared" si="0"/>
        <v>55800</v>
      </c>
      <c r="G10">
        <f t="shared" si="1"/>
        <v>10044</v>
      </c>
      <c r="H10" s="30">
        <f t="shared" si="2"/>
        <v>65844</v>
      </c>
    </row>
    <row r="11" spans="1:8" x14ac:dyDescent="0.3">
      <c r="A11">
        <v>8</v>
      </c>
      <c r="B11" t="s">
        <v>316</v>
      </c>
      <c r="C11" t="s">
        <v>249</v>
      </c>
      <c r="D11">
        <v>53500</v>
      </c>
      <c r="E11">
        <v>2300</v>
      </c>
      <c r="F11">
        <f t="shared" si="0"/>
        <v>55800</v>
      </c>
      <c r="G11">
        <f t="shared" si="1"/>
        <v>10044</v>
      </c>
      <c r="H11" s="30">
        <f t="shared" si="2"/>
        <v>65844</v>
      </c>
    </row>
    <row r="12" spans="1:8" x14ac:dyDescent="0.3">
      <c r="H12" s="30"/>
    </row>
    <row r="13" spans="1:8" x14ac:dyDescent="0.3">
      <c r="A13">
        <v>9</v>
      </c>
      <c r="B13" t="s">
        <v>317</v>
      </c>
      <c r="C13" t="s">
        <v>309</v>
      </c>
      <c r="D13">
        <v>53000</v>
      </c>
      <c r="E13">
        <v>6000</v>
      </c>
      <c r="F13">
        <f t="shared" si="0"/>
        <v>59000</v>
      </c>
      <c r="G13">
        <f t="shared" si="1"/>
        <v>10620</v>
      </c>
      <c r="H13" s="30">
        <f t="shared" si="2"/>
        <v>69620</v>
      </c>
    </row>
    <row r="14" spans="1:8" x14ac:dyDescent="0.3">
      <c r="A14">
        <v>10</v>
      </c>
      <c r="B14" t="s">
        <v>317</v>
      </c>
      <c r="C14" t="s">
        <v>310</v>
      </c>
      <c r="D14">
        <v>53000</v>
      </c>
      <c r="E14">
        <v>6000</v>
      </c>
      <c r="F14">
        <f t="shared" si="0"/>
        <v>59000</v>
      </c>
      <c r="G14">
        <f t="shared" si="1"/>
        <v>10620</v>
      </c>
      <c r="H14" s="30">
        <f t="shared" si="2"/>
        <v>69620</v>
      </c>
    </row>
    <row r="15" spans="1:8" x14ac:dyDescent="0.3">
      <c r="A15">
        <v>11</v>
      </c>
      <c r="B15" t="s">
        <v>317</v>
      </c>
      <c r="C15" t="s">
        <v>247</v>
      </c>
      <c r="D15">
        <v>53500</v>
      </c>
      <c r="E15">
        <v>6000</v>
      </c>
      <c r="F15">
        <f t="shared" si="0"/>
        <v>59500</v>
      </c>
      <c r="G15">
        <f t="shared" si="1"/>
        <v>10710</v>
      </c>
      <c r="H15" s="30">
        <f t="shared" si="2"/>
        <v>70210</v>
      </c>
    </row>
    <row r="16" spans="1:8" x14ac:dyDescent="0.3">
      <c r="A16">
        <v>12</v>
      </c>
      <c r="B16" t="s">
        <v>317</v>
      </c>
      <c r="C16" t="s">
        <v>248</v>
      </c>
      <c r="D16">
        <v>53500</v>
      </c>
      <c r="E16">
        <v>6000</v>
      </c>
      <c r="F16">
        <f t="shared" si="0"/>
        <v>59500</v>
      </c>
      <c r="G16">
        <f t="shared" si="1"/>
        <v>10710</v>
      </c>
      <c r="H16" s="30">
        <f t="shared" si="2"/>
        <v>70210</v>
      </c>
    </row>
    <row r="17" spans="1:8" x14ac:dyDescent="0.3">
      <c r="A17">
        <v>13</v>
      </c>
      <c r="B17" t="s">
        <v>317</v>
      </c>
      <c r="C17" t="s">
        <v>249</v>
      </c>
      <c r="D17">
        <v>54000</v>
      </c>
      <c r="E17">
        <v>6000</v>
      </c>
      <c r="F17">
        <f t="shared" si="0"/>
        <v>60000</v>
      </c>
      <c r="G17">
        <f t="shared" si="1"/>
        <v>10800</v>
      </c>
      <c r="H17" s="30">
        <f t="shared" si="2"/>
        <v>70800</v>
      </c>
    </row>
    <row r="18" spans="1:8" x14ac:dyDescent="0.3">
      <c r="A18">
        <v>14</v>
      </c>
      <c r="B18" t="s">
        <v>317</v>
      </c>
      <c r="C18" t="s">
        <v>311</v>
      </c>
      <c r="D18">
        <v>54000</v>
      </c>
      <c r="E18">
        <v>6000</v>
      </c>
      <c r="F18">
        <f t="shared" si="0"/>
        <v>60000</v>
      </c>
      <c r="G18">
        <f t="shared" si="1"/>
        <v>10800</v>
      </c>
      <c r="H18" s="30">
        <f t="shared" si="2"/>
        <v>70800</v>
      </c>
    </row>
    <row r="19" spans="1:8" x14ac:dyDescent="0.3">
      <c r="A19">
        <v>15</v>
      </c>
      <c r="B19" t="s">
        <v>317</v>
      </c>
      <c r="C19" t="s">
        <v>250</v>
      </c>
      <c r="D19">
        <v>54200</v>
      </c>
      <c r="E19">
        <v>6000</v>
      </c>
      <c r="F19">
        <f t="shared" si="0"/>
        <v>60200</v>
      </c>
      <c r="G19">
        <f t="shared" si="1"/>
        <v>10836</v>
      </c>
      <c r="H19" s="30">
        <f t="shared" si="2"/>
        <v>71036</v>
      </c>
    </row>
    <row r="20" spans="1:8" x14ac:dyDescent="0.3">
      <c r="A20">
        <v>16</v>
      </c>
      <c r="B20" t="s">
        <v>317</v>
      </c>
      <c r="C20" t="s">
        <v>273</v>
      </c>
      <c r="D20">
        <v>54200</v>
      </c>
      <c r="E20">
        <v>6000</v>
      </c>
      <c r="F20">
        <f t="shared" si="0"/>
        <v>60200</v>
      </c>
      <c r="G20">
        <f t="shared" si="1"/>
        <v>10836</v>
      </c>
      <c r="H20" s="30">
        <f t="shared" si="2"/>
        <v>71036</v>
      </c>
    </row>
    <row r="21" spans="1:8" x14ac:dyDescent="0.3">
      <c r="A21">
        <v>17</v>
      </c>
      <c r="B21" t="s">
        <v>317</v>
      </c>
      <c r="C21" t="s">
        <v>251</v>
      </c>
      <c r="D21">
        <v>55000</v>
      </c>
      <c r="E21">
        <v>6000</v>
      </c>
      <c r="F21">
        <f t="shared" si="0"/>
        <v>61000</v>
      </c>
      <c r="G21">
        <f t="shared" si="1"/>
        <v>10980</v>
      </c>
      <c r="H21" s="30">
        <f t="shared" si="2"/>
        <v>71980</v>
      </c>
    </row>
    <row r="22" spans="1:8" x14ac:dyDescent="0.3">
      <c r="A22">
        <v>18</v>
      </c>
      <c r="B22" t="s">
        <v>317</v>
      </c>
      <c r="C22" t="s">
        <v>275</v>
      </c>
      <c r="D22">
        <v>55000</v>
      </c>
      <c r="E22">
        <v>6000</v>
      </c>
      <c r="F22">
        <f t="shared" si="0"/>
        <v>61000</v>
      </c>
      <c r="G22">
        <f t="shared" si="1"/>
        <v>10980</v>
      </c>
      <c r="H22" s="30">
        <f t="shared" si="2"/>
        <v>71980</v>
      </c>
    </row>
    <row r="23" spans="1:8" x14ac:dyDescent="0.3">
      <c r="A23">
        <v>19</v>
      </c>
      <c r="B23" t="s">
        <v>317</v>
      </c>
      <c r="C23" t="s">
        <v>252</v>
      </c>
      <c r="D23">
        <v>55000</v>
      </c>
      <c r="E23">
        <v>6000</v>
      </c>
      <c r="F23">
        <f t="shared" si="0"/>
        <v>61000</v>
      </c>
      <c r="G23">
        <f t="shared" si="1"/>
        <v>10980</v>
      </c>
      <c r="H23" s="30">
        <f t="shared" si="2"/>
        <v>71980</v>
      </c>
    </row>
    <row r="24" spans="1:8" x14ac:dyDescent="0.3">
      <c r="A24">
        <v>20</v>
      </c>
      <c r="B24" t="s">
        <v>317</v>
      </c>
      <c r="C24" t="s">
        <v>281</v>
      </c>
      <c r="D24">
        <v>55000</v>
      </c>
      <c r="E24">
        <v>6000</v>
      </c>
      <c r="F24">
        <f t="shared" si="0"/>
        <v>61000</v>
      </c>
      <c r="G24">
        <f t="shared" si="1"/>
        <v>10980</v>
      </c>
      <c r="H24" s="30">
        <f t="shared" si="2"/>
        <v>71980</v>
      </c>
    </row>
    <row r="25" spans="1:8" x14ac:dyDescent="0.3">
      <c r="A25">
        <v>21</v>
      </c>
      <c r="B25" t="s">
        <v>317</v>
      </c>
      <c r="C25" t="s">
        <v>312</v>
      </c>
      <c r="D25">
        <v>55000</v>
      </c>
      <c r="E25">
        <v>6000</v>
      </c>
      <c r="F25">
        <f t="shared" si="0"/>
        <v>61000</v>
      </c>
      <c r="G25">
        <f t="shared" si="1"/>
        <v>10980</v>
      </c>
      <c r="H25" s="30">
        <f t="shared" si="2"/>
        <v>71980</v>
      </c>
    </row>
    <row r="26" spans="1:8" x14ac:dyDescent="0.3">
      <c r="A26">
        <v>22</v>
      </c>
      <c r="B26" t="s">
        <v>317</v>
      </c>
      <c r="C26" t="s">
        <v>285</v>
      </c>
      <c r="D26">
        <v>55000</v>
      </c>
      <c r="E26">
        <v>6000</v>
      </c>
      <c r="F26">
        <f t="shared" si="0"/>
        <v>61000</v>
      </c>
      <c r="G26">
        <f t="shared" si="1"/>
        <v>10980</v>
      </c>
      <c r="H26" s="30">
        <f t="shared" si="2"/>
        <v>71980</v>
      </c>
    </row>
    <row r="27" spans="1:8" x14ac:dyDescent="0.3">
      <c r="A27">
        <v>23</v>
      </c>
      <c r="B27" t="s">
        <v>317</v>
      </c>
      <c r="C27" t="s">
        <v>286</v>
      </c>
      <c r="D27">
        <v>55000</v>
      </c>
      <c r="E27">
        <v>6000</v>
      </c>
      <c r="F27">
        <f t="shared" si="0"/>
        <v>61000</v>
      </c>
      <c r="G27">
        <f t="shared" si="1"/>
        <v>10980</v>
      </c>
      <c r="H27" s="30">
        <f t="shared" si="2"/>
        <v>71980</v>
      </c>
    </row>
    <row r="28" spans="1:8" x14ac:dyDescent="0.3">
      <c r="A28">
        <v>24</v>
      </c>
      <c r="B28" t="s">
        <v>317</v>
      </c>
      <c r="C28" t="s">
        <v>288</v>
      </c>
      <c r="D28">
        <v>55000</v>
      </c>
      <c r="E28">
        <v>6000</v>
      </c>
      <c r="F28">
        <f t="shared" si="0"/>
        <v>61000</v>
      </c>
      <c r="G28">
        <f t="shared" si="1"/>
        <v>10980</v>
      </c>
      <c r="H28" s="30">
        <f t="shared" si="2"/>
        <v>71980</v>
      </c>
    </row>
    <row r="29" spans="1:8" x14ac:dyDescent="0.3">
      <c r="A29">
        <v>25</v>
      </c>
      <c r="B29" t="s">
        <v>317</v>
      </c>
      <c r="C29" t="s">
        <v>290</v>
      </c>
      <c r="D29">
        <v>55000</v>
      </c>
      <c r="E29">
        <v>6000</v>
      </c>
      <c r="F29">
        <f t="shared" si="0"/>
        <v>61000</v>
      </c>
      <c r="G29">
        <f t="shared" si="1"/>
        <v>10980</v>
      </c>
      <c r="H29" s="30">
        <f t="shared" si="2"/>
        <v>71980</v>
      </c>
    </row>
  </sheetData>
  <mergeCells count="1">
    <mergeCell ref="B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7C53-7FC9-44A0-82D7-BC1112E5986E}">
  <dimension ref="B3:G47"/>
  <sheetViews>
    <sheetView workbookViewId="0">
      <selection activeCell="K17" sqref="K17"/>
    </sheetView>
  </sheetViews>
  <sheetFormatPr defaultRowHeight="14.4" x14ac:dyDescent="0.3"/>
  <cols>
    <col min="2" max="2" width="21.44140625" customWidth="1"/>
    <col min="4" max="4" width="10.21875" customWidth="1"/>
  </cols>
  <sheetData>
    <row r="3" spans="2:7" ht="15" thickBot="1" x14ac:dyDescent="0.35"/>
    <row r="4" spans="2:7" ht="15" thickBot="1" x14ac:dyDescent="0.35">
      <c r="B4" s="26" t="s">
        <v>262</v>
      </c>
      <c r="C4" s="27" t="s">
        <v>245</v>
      </c>
      <c r="D4" s="28" t="s">
        <v>246</v>
      </c>
      <c r="E4" s="28" t="s">
        <v>263</v>
      </c>
      <c r="F4" s="28" t="s">
        <v>264</v>
      </c>
      <c r="G4" s="29" t="s">
        <v>265</v>
      </c>
    </row>
    <row r="5" spans="2:7" x14ac:dyDescent="0.3">
      <c r="B5" t="s">
        <v>266</v>
      </c>
      <c r="C5" t="s">
        <v>247</v>
      </c>
      <c r="D5" s="5" t="s">
        <v>9</v>
      </c>
      <c r="E5" s="5"/>
      <c r="F5" s="5"/>
      <c r="G5" s="5" t="s">
        <v>265</v>
      </c>
    </row>
    <row r="6" spans="2:7" x14ac:dyDescent="0.3">
      <c r="B6" t="s">
        <v>267</v>
      </c>
      <c r="C6" t="s">
        <v>248</v>
      </c>
      <c r="D6" s="5" t="s">
        <v>195</v>
      </c>
      <c r="E6" s="5"/>
      <c r="F6" s="5"/>
      <c r="G6" s="5" t="s">
        <v>265</v>
      </c>
    </row>
    <row r="7" spans="2:7" x14ac:dyDescent="0.3">
      <c r="B7" t="s">
        <v>268</v>
      </c>
      <c r="C7" t="s">
        <v>249</v>
      </c>
      <c r="D7" s="17" t="s">
        <v>253</v>
      </c>
      <c r="E7" s="5"/>
      <c r="F7" s="5"/>
      <c r="G7" s="5" t="s">
        <v>265</v>
      </c>
    </row>
    <row r="8" spans="2:7" x14ac:dyDescent="0.3">
      <c r="B8" t="s">
        <v>269</v>
      </c>
      <c r="C8" t="s">
        <v>250</v>
      </c>
      <c r="D8" s="17" t="s">
        <v>254</v>
      </c>
      <c r="E8" s="5"/>
      <c r="F8" s="5"/>
      <c r="G8" s="5" t="s">
        <v>265</v>
      </c>
    </row>
    <row r="9" spans="2:7" x14ac:dyDescent="0.3">
      <c r="B9" t="s">
        <v>270</v>
      </c>
      <c r="C9" t="s">
        <v>272</v>
      </c>
      <c r="D9" s="17" t="s">
        <v>255</v>
      </c>
      <c r="E9" s="5"/>
      <c r="F9" s="5"/>
      <c r="G9" s="5" t="s">
        <v>265</v>
      </c>
    </row>
    <row r="10" spans="2:7" x14ac:dyDescent="0.3">
      <c r="B10" t="s">
        <v>271</v>
      </c>
      <c r="C10" t="s">
        <v>273</v>
      </c>
      <c r="D10" s="17" t="s">
        <v>256</v>
      </c>
      <c r="E10" s="5"/>
      <c r="F10" s="5"/>
      <c r="G10" s="5" t="s">
        <v>265</v>
      </c>
    </row>
    <row r="11" spans="2:7" x14ac:dyDescent="0.3">
      <c r="C11" t="s">
        <v>251</v>
      </c>
      <c r="D11" s="17" t="s">
        <v>257</v>
      </c>
      <c r="E11" s="5"/>
      <c r="F11" s="5"/>
      <c r="G11" s="5" t="s">
        <v>265</v>
      </c>
    </row>
    <row r="12" spans="2:7" x14ac:dyDescent="0.3">
      <c r="C12" t="s">
        <v>274</v>
      </c>
      <c r="D12" s="17" t="s">
        <v>258</v>
      </c>
      <c r="E12" s="5"/>
      <c r="F12" s="5"/>
      <c r="G12" s="5" t="s">
        <v>265</v>
      </c>
    </row>
    <row r="13" spans="2:7" x14ac:dyDescent="0.3">
      <c r="C13" t="s">
        <v>275</v>
      </c>
      <c r="D13" s="17" t="s">
        <v>259</v>
      </c>
      <c r="E13" s="5"/>
      <c r="F13" s="5"/>
      <c r="G13" s="5" t="s">
        <v>265</v>
      </c>
    </row>
    <row r="14" spans="2:7" x14ac:dyDescent="0.3">
      <c r="C14" t="s">
        <v>276</v>
      </c>
      <c r="D14" s="5" t="s">
        <v>179</v>
      </c>
      <c r="E14" s="5"/>
      <c r="F14" s="5"/>
      <c r="G14" s="5" t="s">
        <v>265</v>
      </c>
    </row>
    <row r="15" spans="2:7" x14ac:dyDescent="0.3">
      <c r="C15" t="s">
        <v>277</v>
      </c>
      <c r="D15" s="5" t="s">
        <v>194</v>
      </c>
      <c r="E15" s="5"/>
      <c r="F15" s="5"/>
      <c r="G15" s="5" t="s">
        <v>265</v>
      </c>
    </row>
    <row r="16" spans="2:7" x14ac:dyDescent="0.3">
      <c r="C16" t="s">
        <v>252</v>
      </c>
      <c r="D16" s="5" t="s">
        <v>182</v>
      </c>
      <c r="E16" s="5"/>
      <c r="F16" s="5"/>
      <c r="G16" s="5" t="s">
        <v>265</v>
      </c>
    </row>
    <row r="17" spans="3:7" x14ac:dyDescent="0.3">
      <c r="C17" t="s">
        <v>278</v>
      </c>
      <c r="D17" s="5" t="s">
        <v>190</v>
      </c>
      <c r="E17" s="5"/>
      <c r="F17" s="5"/>
      <c r="G17" s="5" t="s">
        <v>265</v>
      </c>
    </row>
    <row r="18" spans="3:7" x14ac:dyDescent="0.3">
      <c r="C18" t="s">
        <v>280</v>
      </c>
      <c r="D18" s="5" t="s">
        <v>203</v>
      </c>
      <c r="E18" s="5"/>
      <c r="F18" s="5"/>
      <c r="G18" s="5" t="s">
        <v>265</v>
      </c>
    </row>
    <row r="19" spans="3:7" x14ac:dyDescent="0.3">
      <c r="C19" t="s">
        <v>279</v>
      </c>
      <c r="D19" s="5" t="s">
        <v>188</v>
      </c>
      <c r="E19" s="5"/>
      <c r="F19" s="5"/>
      <c r="G19" s="5" t="s">
        <v>265</v>
      </c>
    </row>
    <row r="20" spans="3:7" x14ac:dyDescent="0.3">
      <c r="C20" t="s">
        <v>281</v>
      </c>
      <c r="D20" s="5" t="s">
        <v>206</v>
      </c>
      <c r="E20" s="5"/>
      <c r="F20" s="5"/>
      <c r="G20" s="5" t="s">
        <v>265</v>
      </c>
    </row>
    <row r="21" spans="3:7" x14ac:dyDescent="0.3">
      <c r="C21" t="s">
        <v>282</v>
      </c>
      <c r="D21" s="5" t="s">
        <v>208</v>
      </c>
      <c r="E21" s="5"/>
      <c r="F21" s="5"/>
      <c r="G21" s="5" t="s">
        <v>265</v>
      </c>
    </row>
    <row r="22" spans="3:7" x14ac:dyDescent="0.3">
      <c r="C22" t="s">
        <v>283</v>
      </c>
      <c r="D22" s="5" t="s">
        <v>201</v>
      </c>
      <c r="E22" s="5"/>
      <c r="F22" s="5"/>
      <c r="G22" s="5" t="s">
        <v>265</v>
      </c>
    </row>
    <row r="23" spans="3:7" x14ac:dyDescent="0.3">
      <c r="C23" t="s">
        <v>284</v>
      </c>
      <c r="D23" s="5" t="s">
        <v>200</v>
      </c>
      <c r="E23" s="5"/>
      <c r="F23" s="5"/>
      <c r="G23" s="5" t="s">
        <v>265</v>
      </c>
    </row>
    <row r="24" spans="3:7" x14ac:dyDescent="0.3">
      <c r="C24" t="s">
        <v>285</v>
      </c>
      <c r="D24" s="5" t="s">
        <v>204</v>
      </c>
      <c r="E24" s="5"/>
      <c r="F24" s="5"/>
      <c r="G24" s="5" t="s">
        <v>265</v>
      </c>
    </row>
    <row r="25" spans="3:7" x14ac:dyDescent="0.3">
      <c r="C25" t="s">
        <v>286</v>
      </c>
      <c r="D25" s="5" t="s">
        <v>189</v>
      </c>
      <c r="E25" s="5"/>
      <c r="F25" s="5"/>
      <c r="G25" s="5" t="s">
        <v>265</v>
      </c>
    </row>
    <row r="26" spans="3:7" x14ac:dyDescent="0.3">
      <c r="C26" t="s">
        <v>287</v>
      </c>
      <c r="D26" s="5" t="s">
        <v>186</v>
      </c>
      <c r="E26" s="5"/>
      <c r="F26" s="5"/>
      <c r="G26" s="5" t="s">
        <v>265</v>
      </c>
    </row>
    <row r="27" spans="3:7" x14ac:dyDescent="0.3">
      <c r="C27" t="s">
        <v>288</v>
      </c>
      <c r="D27" s="5" t="s">
        <v>193</v>
      </c>
      <c r="E27" s="5"/>
      <c r="F27" s="5"/>
      <c r="G27" s="5" t="s">
        <v>265</v>
      </c>
    </row>
    <row r="28" spans="3:7" x14ac:dyDescent="0.3">
      <c r="C28" t="s">
        <v>289</v>
      </c>
      <c r="D28" s="5" t="s">
        <v>185</v>
      </c>
      <c r="E28" s="5"/>
      <c r="F28" s="5"/>
      <c r="G28" s="5" t="s">
        <v>265</v>
      </c>
    </row>
    <row r="29" spans="3:7" x14ac:dyDescent="0.3">
      <c r="C29" t="s">
        <v>290</v>
      </c>
      <c r="D29" s="5" t="s">
        <v>192</v>
      </c>
      <c r="E29" s="5"/>
      <c r="F29" s="5"/>
      <c r="G29" s="5" t="s">
        <v>265</v>
      </c>
    </row>
    <row r="30" spans="3:7" x14ac:dyDescent="0.3">
      <c r="C30" t="s">
        <v>291</v>
      </c>
      <c r="D30" s="5" t="s">
        <v>197</v>
      </c>
      <c r="E30" s="5"/>
      <c r="F30" s="5"/>
      <c r="G30" s="5" t="s">
        <v>265</v>
      </c>
    </row>
    <row r="31" spans="3:7" x14ac:dyDescent="0.3">
      <c r="C31" t="s">
        <v>292</v>
      </c>
      <c r="D31" s="5" t="s">
        <v>209</v>
      </c>
      <c r="E31" s="5"/>
      <c r="F31" s="5"/>
      <c r="G31" s="5" t="s">
        <v>265</v>
      </c>
    </row>
    <row r="32" spans="3:7" x14ac:dyDescent="0.3">
      <c r="C32" t="s">
        <v>293</v>
      </c>
      <c r="D32" s="5" t="s">
        <v>210</v>
      </c>
      <c r="E32" s="5"/>
      <c r="F32" s="5"/>
      <c r="G32" s="5" t="s">
        <v>265</v>
      </c>
    </row>
    <row r="33" spans="3:7" x14ac:dyDescent="0.3">
      <c r="C33" t="s">
        <v>294</v>
      </c>
      <c r="D33" s="5" t="s">
        <v>184</v>
      </c>
      <c r="E33" s="5"/>
      <c r="F33" s="5"/>
      <c r="G33" s="5" t="s">
        <v>265</v>
      </c>
    </row>
    <row r="34" spans="3:7" x14ac:dyDescent="0.3">
      <c r="C34" t="s">
        <v>295</v>
      </c>
      <c r="D34" s="5" t="s">
        <v>181</v>
      </c>
      <c r="E34" s="5"/>
      <c r="F34" s="5"/>
      <c r="G34" s="5" t="s">
        <v>265</v>
      </c>
    </row>
    <row r="35" spans="3:7" x14ac:dyDescent="0.3">
      <c r="C35" t="s">
        <v>296</v>
      </c>
      <c r="D35" s="5" t="s">
        <v>196</v>
      </c>
      <c r="E35" s="5"/>
      <c r="F35" s="5"/>
      <c r="G35" s="5" t="s">
        <v>265</v>
      </c>
    </row>
    <row r="36" spans="3:7" x14ac:dyDescent="0.3">
      <c r="C36" t="s">
        <v>297</v>
      </c>
      <c r="D36" s="5" t="s">
        <v>202</v>
      </c>
      <c r="E36" s="5"/>
      <c r="F36" s="5"/>
      <c r="G36" s="5" t="s">
        <v>265</v>
      </c>
    </row>
    <row r="37" spans="3:7" x14ac:dyDescent="0.3">
      <c r="C37" t="s">
        <v>298</v>
      </c>
      <c r="D37" s="5" t="s">
        <v>195</v>
      </c>
      <c r="E37" s="5"/>
      <c r="F37" s="5"/>
      <c r="G37" s="5" t="s">
        <v>265</v>
      </c>
    </row>
    <row r="38" spans="3:7" x14ac:dyDescent="0.3">
      <c r="C38" t="s">
        <v>299</v>
      </c>
      <c r="D38" s="5" t="s">
        <v>198</v>
      </c>
      <c r="E38" s="5"/>
      <c r="F38" s="5"/>
      <c r="G38" s="5" t="s">
        <v>265</v>
      </c>
    </row>
    <row r="39" spans="3:7" x14ac:dyDescent="0.3">
      <c r="C39" t="s">
        <v>300</v>
      </c>
      <c r="D39" s="5" t="s">
        <v>199</v>
      </c>
      <c r="E39" s="5"/>
      <c r="F39" s="5"/>
      <c r="G39" s="5" t="s">
        <v>265</v>
      </c>
    </row>
    <row r="40" spans="3:7" x14ac:dyDescent="0.3">
      <c r="C40" t="s">
        <v>301</v>
      </c>
      <c r="D40" s="5" t="s">
        <v>180</v>
      </c>
      <c r="E40" s="5"/>
      <c r="F40" s="5"/>
      <c r="G40" s="5" t="s">
        <v>265</v>
      </c>
    </row>
    <row r="41" spans="3:7" x14ac:dyDescent="0.3">
      <c r="D41" s="5" t="s">
        <v>205</v>
      </c>
      <c r="E41" s="5"/>
      <c r="F41" s="5"/>
      <c r="G41" s="5" t="s">
        <v>265</v>
      </c>
    </row>
    <row r="42" spans="3:7" x14ac:dyDescent="0.3">
      <c r="D42" s="5" t="s">
        <v>183</v>
      </c>
      <c r="E42" s="5"/>
      <c r="F42" s="5"/>
      <c r="G42" s="5" t="s">
        <v>265</v>
      </c>
    </row>
    <row r="43" spans="3:7" x14ac:dyDescent="0.3">
      <c r="D43" s="5" t="s">
        <v>191</v>
      </c>
      <c r="E43" s="5"/>
      <c r="F43" s="5"/>
      <c r="G43" s="5" t="s">
        <v>265</v>
      </c>
    </row>
    <row r="44" spans="3:7" x14ac:dyDescent="0.3">
      <c r="D44" s="5" t="s">
        <v>187</v>
      </c>
      <c r="E44" s="5"/>
      <c r="F44" s="5"/>
      <c r="G44" s="5" t="s">
        <v>265</v>
      </c>
    </row>
    <row r="45" spans="3:7" x14ac:dyDescent="0.3">
      <c r="D45" s="5" t="s">
        <v>212</v>
      </c>
      <c r="E45" s="5"/>
      <c r="F45" s="5"/>
      <c r="G45" s="5" t="s">
        <v>265</v>
      </c>
    </row>
    <row r="46" spans="3:7" x14ac:dyDescent="0.3">
      <c r="D46" s="5" t="s">
        <v>211</v>
      </c>
      <c r="E46" s="5"/>
      <c r="F46" s="5"/>
      <c r="G46" s="5" t="s">
        <v>265</v>
      </c>
    </row>
    <row r="47" spans="3:7" x14ac:dyDescent="0.3">
      <c r="D47" s="5" t="s">
        <v>207</v>
      </c>
      <c r="E47" s="5"/>
      <c r="F47" s="5"/>
      <c r="G47" s="5" t="s">
        <v>265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FEB7-925A-47B0-9C9A-772848B6547F}">
  <dimension ref="A3:H21"/>
  <sheetViews>
    <sheetView workbookViewId="0">
      <selection activeCell="B22" sqref="B22"/>
    </sheetView>
  </sheetViews>
  <sheetFormatPr defaultRowHeight="14.4" x14ac:dyDescent="0.3"/>
  <cols>
    <col min="2" max="2" width="20.21875" customWidth="1"/>
    <col min="7" max="7" width="10" customWidth="1"/>
  </cols>
  <sheetData>
    <row r="3" spans="1:8" x14ac:dyDescent="0.3">
      <c r="A3" t="s">
        <v>214</v>
      </c>
      <c r="B3" t="s">
        <v>319</v>
      </c>
      <c r="C3" t="s">
        <v>320</v>
      </c>
      <c r="D3" t="s">
        <v>245</v>
      </c>
      <c r="E3" t="s">
        <v>264</v>
      </c>
      <c r="F3" t="s">
        <v>303</v>
      </c>
      <c r="G3" t="s">
        <v>304</v>
      </c>
      <c r="H3" t="s">
        <v>321</v>
      </c>
    </row>
    <row r="4" spans="1:8" x14ac:dyDescent="0.3">
      <c r="B4" t="s">
        <v>322</v>
      </c>
    </row>
    <row r="5" spans="1:8" x14ac:dyDescent="0.3">
      <c r="B5" t="s">
        <v>323</v>
      </c>
    </row>
    <row r="6" spans="1:8" x14ac:dyDescent="0.3">
      <c r="B6" t="s">
        <v>324</v>
      </c>
    </row>
    <row r="7" spans="1:8" x14ac:dyDescent="0.3">
      <c r="B7" t="s">
        <v>325</v>
      </c>
    </row>
    <row r="8" spans="1:8" x14ac:dyDescent="0.3">
      <c r="B8" t="s">
        <v>326</v>
      </c>
    </row>
    <row r="9" spans="1:8" x14ac:dyDescent="0.3">
      <c r="B9" t="s">
        <v>327</v>
      </c>
    </row>
    <row r="10" spans="1:8" x14ac:dyDescent="0.3">
      <c r="B10" t="s">
        <v>328</v>
      </c>
    </row>
    <row r="11" spans="1:8" x14ac:dyDescent="0.3">
      <c r="B11" t="s">
        <v>329</v>
      </c>
    </row>
    <row r="12" spans="1:8" x14ac:dyDescent="0.3">
      <c r="B12" t="s">
        <v>330</v>
      </c>
    </row>
    <row r="13" spans="1:8" x14ac:dyDescent="0.3">
      <c r="B13" t="s">
        <v>331</v>
      </c>
    </row>
    <row r="14" spans="1:8" x14ac:dyDescent="0.3">
      <c r="B14" t="s">
        <v>332</v>
      </c>
    </row>
    <row r="15" spans="1:8" x14ac:dyDescent="0.3">
      <c r="B15" t="s">
        <v>333</v>
      </c>
    </row>
    <row r="16" spans="1:8" x14ac:dyDescent="0.3">
      <c r="B16" t="s">
        <v>334</v>
      </c>
    </row>
    <row r="17" spans="2:2" x14ac:dyDescent="0.3">
      <c r="B17" t="s">
        <v>335</v>
      </c>
    </row>
    <row r="18" spans="2:2" x14ac:dyDescent="0.3">
      <c r="B18" t="s">
        <v>336</v>
      </c>
    </row>
    <row r="19" spans="2:2" x14ac:dyDescent="0.3">
      <c r="B19" t="s">
        <v>337</v>
      </c>
    </row>
    <row r="20" spans="2:2" x14ac:dyDescent="0.3">
      <c r="B20" t="s">
        <v>338</v>
      </c>
    </row>
    <row r="21" spans="2:2" x14ac:dyDescent="0.3">
      <c r="B21" t="s">
        <v>339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A659-1294-4759-BF8B-C0122DC1EEDE}">
  <dimension ref="A2:O65"/>
  <sheetViews>
    <sheetView workbookViewId="0">
      <selection activeCell="I5" sqref="I5:O10"/>
    </sheetView>
  </sheetViews>
  <sheetFormatPr defaultRowHeight="14.4" x14ac:dyDescent="0.3"/>
  <cols>
    <col min="1" max="1" width="15.109375" customWidth="1"/>
    <col min="2" max="2" width="29.21875" customWidth="1"/>
    <col min="3" max="3" width="1.88671875" customWidth="1"/>
    <col min="4" max="4" width="1.6640625" customWidth="1"/>
    <col min="5" max="5" width="1.6640625" style="51" customWidth="1"/>
    <col min="6" max="6" width="13.5546875" customWidth="1"/>
    <col min="7" max="7" width="31" customWidth="1"/>
    <col min="10" max="10" width="11.21875" customWidth="1"/>
    <col min="13" max="13" width="12.6640625" customWidth="1"/>
    <col min="14" max="14" width="13.77734375" customWidth="1"/>
  </cols>
  <sheetData>
    <row r="2" spans="1:15" x14ac:dyDescent="0.3">
      <c r="D2" s="50"/>
    </row>
    <row r="3" spans="1:15" x14ac:dyDescent="0.3">
      <c r="B3" s="49" t="s">
        <v>348</v>
      </c>
      <c r="D3" s="50"/>
      <c r="G3" s="49" t="s">
        <v>349</v>
      </c>
    </row>
    <row r="4" spans="1:15" ht="15" thickBot="1" x14ac:dyDescent="0.35">
      <c r="D4" s="50"/>
    </row>
    <row r="5" spans="1:15" ht="27.6" customHeight="1" thickBot="1" x14ac:dyDescent="0.4">
      <c r="A5" s="39" t="s">
        <v>340</v>
      </c>
      <c r="B5" s="48" t="s">
        <v>262</v>
      </c>
      <c r="D5" s="50"/>
      <c r="F5" s="39" t="s">
        <v>340</v>
      </c>
      <c r="G5" s="48" t="s">
        <v>262</v>
      </c>
      <c r="I5" s="56" t="s">
        <v>363</v>
      </c>
      <c r="J5" s="56"/>
      <c r="K5" s="55" t="s">
        <v>358</v>
      </c>
      <c r="L5" s="53" t="s">
        <v>246</v>
      </c>
      <c r="M5" s="54" t="s">
        <v>245</v>
      </c>
      <c r="N5" s="58" t="s">
        <v>359</v>
      </c>
      <c r="O5" s="29" t="s">
        <v>265</v>
      </c>
    </row>
    <row r="6" spans="1:15" ht="15.6" x14ac:dyDescent="0.3">
      <c r="B6" s="42" t="s">
        <v>266</v>
      </c>
      <c r="D6" s="50"/>
      <c r="G6" s="42" t="s">
        <v>266</v>
      </c>
      <c r="I6" s="57" t="s">
        <v>362</v>
      </c>
      <c r="J6" s="57"/>
      <c r="K6" s="17" t="s">
        <v>355</v>
      </c>
      <c r="L6" s="17" t="s">
        <v>9</v>
      </c>
      <c r="M6" s="5" t="s">
        <v>250</v>
      </c>
      <c r="N6" s="59">
        <v>60500</v>
      </c>
      <c r="O6" s="5" t="s">
        <v>265</v>
      </c>
    </row>
    <row r="7" spans="1:15" ht="15.6" x14ac:dyDescent="0.3">
      <c r="B7" s="40" t="s">
        <v>342</v>
      </c>
      <c r="D7" s="50"/>
      <c r="G7" s="40" t="s">
        <v>342</v>
      </c>
      <c r="I7" s="57" t="s">
        <v>362</v>
      </c>
      <c r="J7" s="57"/>
      <c r="K7" s="17" t="s">
        <v>356</v>
      </c>
      <c r="L7" s="17" t="s">
        <v>195</v>
      </c>
      <c r="M7" s="5" t="s">
        <v>357</v>
      </c>
      <c r="N7" s="59">
        <v>70500</v>
      </c>
      <c r="O7" s="5" t="s">
        <v>265</v>
      </c>
    </row>
    <row r="8" spans="1:15" ht="15.6" x14ac:dyDescent="0.3">
      <c r="B8" s="43" t="s">
        <v>341</v>
      </c>
      <c r="D8" s="50"/>
      <c r="G8" s="43" t="s">
        <v>341</v>
      </c>
      <c r="I8" s="57" t="s">
        <v>362</v>
      </c>
      <c r="J8" s="57"/>
      <c r="K8" s="17" t="s">
        <v>269</v>
      </c>
      <c r="L8" s="17" t="s">
        <v>9</v>
      </c>
      <c r="M8" s="5" t="s">
        <v>360</v>
      </c>
      <c r="N8" s="59">
        <v>80000</v>
      </c>
      <c r="O8" s="5" t="s">
        <v>265</v>
      </c>
    </row>
    <row r="9" spans="1:15" ht="15.6" x14ac:dyDescent="0.3">
      <c r="B9" s="40" t="s">
        <v>343</v>
      </c>
      <c r="D9" s="50"/>
      <c r="G9" s="40" t="s">
        <v>343</v>
      </c>
      <c r="I9" s="57" t="s">
        <v>362</v>
      </c>
      <c r="J9" s="57"/>
      <c r="K9" s="17" t="s">
        <v>268</v>
      </c>
      <c r="L9" s="17" t="s">
        <v>9</v>
      </c>
      <c r="M9" s="5" t="s">
        <v>361</v>
      </c>
      <c r="N9" s="59">
        <v>72000</v>
      </c>
      <c r="O9" s="5" t="s">
        <v>265</v>
      </c>
    </row>
    <row r="10" spans="1:15" ht="15.6" x14ac:dyDescent="0.3">
      <c r="B10" s="43" t="s">
        <v>344</v>
      </c>
      <c r="D10" s="50"/>
      <c r="G10" s="43" t="s">
        <v>344</v>
      </c>
      <c r="I10" s="57" t="s">
        <v>362</v>
      </c>
      <c r="J10" s="57"/>
      <c r="K10" s="17" t="s">
        <v>344</v>
      </c>
      <c r="L10" s="17" t="s">
        <v>254</v>
      </c>
      <c r="M10" s="5" t="s">
        <v>249</v>
      </c>
      <c r="N10" s="59">
        <v>64000</v>
      </c>
      <c r="O10" s="5" t="s">
        <v>265</v>
      </c>
    </row>
    <row r="11" spans="1:15" x14ac:dyDescent="0.3">
      <c r="B11" s="40" t="s">
        <v>269</v>
      </c>
      <c r="D11" s="50"/>
      <c r="G11" s="40" t="s">
        <v>269</v>
      </c>
    </row>
    <row r="12" spans="1:15" x14ac:dyDescent="0.3">
      <c r="B12" s="43" t="s">
        <v>268</v>
      </c>
      <c r="D12" s="50"/>
      <c r="G12" s="43" t="s">
        <v>268</v>
      </c>
    </row>
    <row r="13" spans="1:15" ht="15" thickBot="1" x14ac:dyDescent="0.35">
      <c r="B13" s="41" t="s">
        <v>345</v>
      </c>
      <c r="D13" s="50"/>
      <c r="G13" s="41" t="s">
        <v>345</v>
      </c>
    </row>
    <row r="14" spans="1:15" x14ac:dyDescent="0.3">
      <c r="D14" s="50"/>
    </row>
    <row r="15" spans="1:15" x14ac:dyDescent="0.3">
      <c r="B15" s="16" t="s">
        <v>346</v>
      </c>
      <c r="D15" s="50"/>
      <c r="G15" s="16" t="s">
        <v>350</v>
      </c>
    </row>
    <row r="16" spans="1:15" ht="15" thickBot="1" x14ac:dyDescent="0.35">
      <c r="D16" s="50"/>
    </row>
    <row r="17" spans="1:7" ht="26.4" thickBot="1" x14ac:dyDescent="0.55000000000000004">
      <c r="A17" s="45" t="s">
        <v>245</v>
      </c>
      <c r="B17" s="46" t="s">
        <v>347</v>
      </c>
      <c r="D17" s="50"/>
      <c r="F17" s="45" t="s">
        <v>245</v>
      </c>
      <c r="G17" s="46" t="s">
        <v>347</v>
      </c>
    </row>
    <row r="18" spans="1:7" x14ac:dyDescent="0.3">
      <c r="B18" s="42" t="s">
        <v>250</v>
      </c>
      <c r="D18" s="50"/>
      <c r="G18" s="42" t="s">
        <v>250</v>
      </c>
    </row>
    <row r="19" spans="1:7" x14ac:dyDescent="0.3">
      <c r="B19" s="40" t="s">
        <v>272</v>
      </c>
      <c r="D19" s="50"/>
      <c r="G19" s="40" t="s">
        <v>272</v>
      </c>
    </row>
    <row r="20" spans="1:7" x14ac:dyDescent="0.3">
      <c r="B20" s="43" t="s">
        <v>273</v>
      </c>
      <c r="D20" s="50"/>
      <c r="G20" s="43" t="s">
        <v>273</v>
      </c>
    </row>
    <row r="21" spans="1:7" x14ac:dyDescent="0.3">
      <c r="B21" s="40" t="s">
        <v>251</v>
      </c>
      <c r="D21" s="50"/>
      <c r="G21" s="40" t="s">
        <v>251</v>
      </c>
    </row>
    <row r="22" spans="1:7" x14ac:dyDescent="0.3">
      <c r="B22" s="43" t="s">
        <v>275</v>
      </c>
      <c r="D22" s="50"/>
      <c r="G22" s="43" t="s">
        <v>275</v>
      </c>
    </row>
    <row r="23" spans="1:7" x14ac:dyDescent="0.3">
      <c r="B23" s="40" t="s">
        <v>276</v>
      </c>
      <c r="D23" s="50"/>
      <c r="G23" s="40" t="s">
        <v>276</v>
      </c>
    </row>
    <row r="24" spans="1:7" ht="15" thickBot="1" x14ac:dyDescent="0.35">
      <c r="B24" s="47" t="s">
        <v>277</v>
      </c>
      <c r="D24" s="50"/>
      <c r="G24" s="47" t="s">
        <v>277</v>
      </c>
    </row>
    <row r="25" spans="1:7" x14ac:dyDescent="0.3">
      <c r="D25" s="50"/>
    </row>
    <row r="26" spans="1:7" ht="15" thickBot="1" x14ac:dyDescent="0.35">
      <c r="D26" s="50"/>
    </row>
    <row r="27" spans="1:7" ht="26.4" thickBot="1" x14ac:dyDescent="0.55000000000000004">
      <c r="A27" s="45" t="s">
        <v>246</v>
      </c>
      <c r="B27" s="46" t="s">
        <v>347</v>
      </c>
      <c r="D27" s="50"/>
      <c r="F27" s="45" t="s">
        <v>246</v>
      </c>
      <c r="G27" s="46" t="s">
        <v>347</v>
      </c>
    </row>
    <row r="28" spans="1:7" x14ac:dyDescent="0.3">
      <c r="B28" s="52" t="s">
        <v>9</v>
      </c>
      <c r="D28" s="50"/>
      <c r="G28" s="52" t="s">
        <v>9</v>
      </c>
    </row>
    <row r="29" spans="1:7" x14ac:dyDescent="0.3">
      <c r="B29" t="s">
        <v>195</v>
      </c>
      <c r="D29" s="50"/>
      <c r="G29" t="s">
        <v>195</v>
      </c>
    </row>
    <row r="30" spans="1:7" x14ac:dyDescent="0.3">
      <c r="B30" s="52" t="s">
        <v>351</v>
      </c>
      <c r="D30" s="50"/>
      <c r="G30" s="52" t="s">
        <v>351</v>
      </c>
    </row>
    <row r="31" spans="1:7" x14ac:dyDescent="0.3">
      <c r="B31" t="s">
        <v>184</v>
      </c>
      <c r="D31" s="50"/>
      <c r="G31" t="s">
        <v>184</v>
      </c>
    </row>
    <row r="32" spans="1:7" x14ac:dyDescent="0.3">
      <c r="B32" s="52" t="s">
        <v>181</v>
      </c>
      <c r="D32" s="50"/>
      <c r="G32" s="52" t="s">
        <v>181</v>
      </c>
    </row>
    <row r="33" spans="1:7" x14ac:dyDescent="0.3">
      <c r="B33" t="s">
        <v>202</v>
      </c>
      <c r="D33" s="50"/>
      <c r="G33" t="s">
        <v>202</v>
      </c>
    </row>
    <row r="34" spans="1:7" x14ac:dyDescent="0.3">
      <c r="B34" s="52" t="s">
        <v>204</v>
      </c>
      <c r="D34" s="50"/>
      <c r="G34" s="52" t="s">
        <v>204</v>
      </c>
    </row>
    <row r="35" spans="1:7" x14ac:dyDescent="0.3">
      <c r="B35" t="s">
        <v>193</v>
      </c>
      <c r="D35" s="50"/>
      <c r="G35" t="s">
        <v>193</v>
      </c>
    </row>
    <row r="36" spans="1:7" x14ac:dyDescent="0.3">
      <c r="D36" s="50"/>
    </row>
    <row r="37" spans="1:7" ht="15" thickBot="1" x14ac:dyDescent="0.35">
      <c r="D37" s="50"/>
    </row>
    <row r="38" spans="1:7" ht="18.600000000000001" thickBot="1" x14ac:dyDescent="0.4">
      <c r="A38" s="44" t="s">
        <v>352</v>
      </c>
      <c r="B38" s="46" t="s">
        <v>347</v>
      </c>
      <c r="D38" s="50"/>
      <c r="F38" s="44" t="s">
        <v>352</v>
      </c>
      <c r="G38" s="46" t="s">
        <v>347</v>
      </c>
    </row>
    <row r="39" spans="1:7" x14ac:dyDescent="0.3">
      <c r="B39" t="s">
        <v>353</v>
      </c>
      <c r="D39" s="50"/>
      <c r="G39" t="s">
        <v>353</v>
      </c>
    </row>
    <row r="40" spans="1:7" ht="15" thickBot="1" x14ac:dyDescent="0.35">
      <c r="D40" s="50"/>
    </row>
    <row r="41" spans="1:7" ht="21.6" thickBot="1" x14ac:dyDescent="0.35">
      <c r="A41" s="39" t="s">
        <v>340</v>
      </c>
      <c r="B41" s="48" t="s">
        <v>262</v>
      </c>
      <c r="D41" s="50"/>
      <c r="F41" s="39" t="s">
        <v>340</v>
      </c>
      <c r="G41" s="48" t="s">
        <v>262</v>
      </c>
    </row>
    <row r="42" spans="1:7" x14ac:dyDescent="0.3">
      <c r="B42" t="s">
        <v>271</v>
      </c>
      <c r="G42" t="s">
        <v>269</v>
      </c>
    </row>
    <row r="43" spans="1:7" ht="15" thickBot="1" x14ac:dyDescent="0.35"/>
    <row r="44" spans="1:7" ht="26.4" thickBot="1" x14ac:dyDescent="0.55000000000000004">
      <c r="A44" s="45" t="s">
        <v>245</v>
      </c>
      <c r="B44" s="46" t="s">
        <v>347</v>
      </c>
      <c r="D44" s="50"/>
      <c r="F44" s="45" t="s">
        <v>245</v>
      </c>
      <c r="G44" s="46" t="s">
        <v>347</v>
      </c>
    </row>
    <row r="45" spans="1:7" x14ac:dyDescent="0.3">
      <c r="B45" s="52" t="s">
        <v>247</v>
      </c>
      <c r="G45" s="52" t="s">
        <v>306</v>
      </c>
    </row>
    <row r="46" spans="1:7" x14ac:dyDescent="0.3">
      <c r="B46" t="s">
        <v>248</v>
      </c>
      <c r="G46" t="s">
        <v>307</v>
      </c>
    </row>
    <row r="47" spans="1:7" x14ac:dyDescent="0.3">
      <c r="B47" s="52" t="s">
        <v>249</v>
      </c>
      <c r="G47" s="52" t="s">
        <v>308</v>
      </c>
    </row>
    <row r="48" spans="1:7" x14ac:dyDescent="0.3">
      <c r="B48" t="s">
        <v>250</v>
      </c>
      <c r="G48" t="s">
        <v>309</v>
      </c>
    </row>
    <row r="49" spans="1:7" x14ac:dyDescent="0.3">
      <c r="B49" s="52" t="s">
        <v>251</v>
      </c>
      <c r="G49" s="52" t="s">
        <v>310</v>
      </c>
    </row>
    <row r="50" spans="1:7" x14ac:dyDescent="0.3">
      <c r="B50" t="s">
        <v>252</v>
      </c>
      <c r="G50" t="s">
        <v>247</v>
      </c>
    </row>
    <row r="51" spans="1:7" x14ac:dyDescent="0.3">
      <c r="G51" s="52" t="s">
        <v>248</v>
      </c>
    </row>
    <row r="52" spans="1:7" x14ac:dyDescent="0.3">
      <c r="G52" t="s">
        <v>249</v>
      </c>
    </row>
    <row r="53" spans="1:7" x14ac:dyDescent="0.3">
      <c r="G53" s="52" t="s">
        <v>354</v>
      </c>
    </row>
    <row r="54" spans="1:7" x14ac:dyDescent="0.3">
      <c r="G54" t="s">
        <v>311</v>
      </c>
    </row>
    <row r="55" spans="1:7" x14ac:dyDescent="0.3">
      <c r="G55" s="52" t="s">
        <v>273</v>
      </c>
    </row>
    <row r="56" spans="1:7" x14ac:dyDescent="0.3">
      <c r="G56" t="s">
        <v>251</v>
      </c>
    </row>
    <row r="57" spans="1:7" x14ac:dyDescent="0.3">
      <c r="G57" s="52" t="s">
        <v>252</v>
      </c>
    </row>
    <row r="58" spans="1:7" ht="15" thickBot="1" x14ac:dyDescent="0.35"/>
    <row r="59" spans="1:7" ht="26.4" thickBot="1" x14ac:dyDescent="0.55000000000000004">
      <c r="A59" s="45" t="s">
        <v>246</v>
      </c>
      <c r="B59" s="46" t="s">
        <v>347</v>
      </c>
      <c r="D59" s="50"/>
      <c r="F59" s="45" t="s">
        <v>246</v>
      </c>
      <c r="G59" s="46" t="s">
        <v>347</v>
      </c>
    </row>
    <row r="60" spans="1:7" x14ac:dyDescent="0.3">
      <c r="B60" s="52" t="s">
        <v>253</v>
      </c>
      <c r="G60" s="52" t="s">
        <v>9</v>
      </c>
    </row>
    <row r="61" spans="1:7" x14ac:dyDescent="0.3">
      <c r="B61" t="s">
        <v>254</v>
      </c>
      <c r="G61" t="s">
        <v>351</v>
      </c>
    </row>
    <row r="62" spans="1:7" x14ac:dyDescent="0.3">
      <c r="B62" s="52" t="s">
        <v>257</v>
      </c>
    </row>
    <row r="63" spans="1:7" x14ac:dyDescent="0.3">
      <c r="B63" t="s">
        <v>255</v>
      </c>
    </row>
    <row r="64" spans="1:7" x14ac:dyDescent="0.3">
      <c r="B64" s="52" t="s">
        <v>258</v>
      </c>
    </row>
    <row r="65" spans="2:2" x14ac:dyDescent="0.3">
      <c r="B65" t="s">
        <v>259</v>
      </c>
    </row>
  </sheetData>
  <mergeCells count="6">
    <mergeCell ref="I6:J6"/>
    <mergeCell ref="I7:J7"/>
    <mergeCell ref="I8:J8"/>
    <mergeCell ref="I9:J9"/>
    <mergeCell ref="I10:J10"/>
    <mergeCell ref="I5:J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F2EB-8262-4C7F-907A-E4F614E103F4}">
  <dimension ref="A2:B235"/>
  <sheetViews>
    <sheetView workbookViewId="0">
      <selection activeCell="C3" sqref="C3"/>
    </sheetView>
  </sheetViews>
  <sheetFormatPr defaultRowHeight="14.4" x14ac:dyDescent="0.3"/>
  <cols>
    <col min="2" max="2" width="21.109375" customWidth="1"/>
  </cols>
  <sheetData>
    <row r="2" spans="1:2" x14ac:dyDescent="0.3">
      <c r="A2" t="s">
        <v>214</v>
      </c>
      <c r="B2" t="s">
        <v>319</v>
      </c>
    </row>
    <row r="3" spans="1:2" x14ac:dyDescent="0.3">
      <c r="A3">
        <v>1</v>
      </c>
      <c r="B3" t="s">
        <v>364</v>
      </c>
    </row>
    <row r="4" spans="1:2" x14ac:dyDescent="0.3">
      <c r="A4">
        <v>2</v>
      </c>
      <c r="B4" t="s">
        <v>365</v>
      </c>
    </row>
    <row r="5" spans="1:2" x14ac:dyDescent="0.3">
      <c r="A5">
        <v>3</v>
      </c>
      <c r="B5" t="s">
        <v>366</v>
      </c>
    </row>
    <row r="6" spans="1:2" x14ac:dyDescent="0.3">
      <c r="A6">
        <v>4</v>
      </c>
      <c r="B6" t="s">
        <v>367</v>
      </c>
    </row>
    <row r="7" spans="1:2" x14ac:dyDescent="0.3">
      <c r="A7">
        <v>5</v>
      </c>
      <c r="B7" t="s">
        <v>368</v>
      </c>
    </row>
    <row r="8" spans="1:2" x14ac:dyDescent="0.3">
      <c r="A8">
        <v>6</v>
      </c>
      <c r="B8" t="s">
        <v>369</v>
      </c>
    </row>
    <row r="9" spans="1:2" x14ac:dyDescent="0.3">
      <c r="A9">
        <v>7</v>
      </c>
      <c r="B9" t="s">
        <v>370</v>
      </c>
    </row>
    <row r="10" spans="1:2" x14ac:dyDescent="0.3">
      <c r="A10">
        <v>8</v>
      </c>
      <c r="B10" t="s">
        <v>371</v>
      </c>
    </row>
    <row r="11" spans="1:2" x14ac:dyDescent="0.3">
      <c r="A11">
        <v>9</v>
      </c>
      <c r="B11" t="s">
        <v>372</v>
      </c>
    </row>
    <row r="12" spans="1:2" x14ac:dyDescent="0.3">
      <c r="A12">
        <v>10</v>
      </c>
      <c r="B12" t="s">
        <v>373</v>
      </c>
    </row>
    <row r="13" spans="1:2" x14ac:dyDescent="0.3">
      <c r="A13">
        <v>11</v>
      </c>
      <c r="B13" t="s">
        <v>374</v>
      </c>
    </row>
    <row r="14" spans="1:2" x14ac:dyDescent="0.3">
      <c r="A14">
        <v>12</v>
      </c>
      <c r="B14" t="s">
        <v>375</v>
      </c>
    </row>
    <row r="15" spans="1:2" x14ac:dyDescent="0.3">
      <c r="A15">
        <v>13</v>
      </c>
      <c r="B15" t="s">
        <v>376</v>
      </c>
    </row>
    <row r="16" spans="1:2" x14ac:dyDescent="0.3">
      <c r="A16">
        <v>14</v>
      </c>
      <c r="B16" t="s">
        <v>377</v>
      </c>
    </row>
    <row r="17" spans="1:2" x14ac:dyDescent="0.3">
      <c r="A17">
        <v>15</v>
      </c>
      <c r="B17" t="s">
        <v>378</v>
      </c>
    </row>
    <row r="18" spans="1:2" x14ac:dyDescent="0.3">
      <c r="A18">
        <v>16</v>
      </c>
      <c r="B18" t="s">
        <v>379</v>
      </c>
    </row>
    <row r="19" spans="1:2" x14ac:dyDescent="0.3">
      <c r="A19">
        <v>17</v>
      </c>
      <c r="B19" t="s">
        <v>380</v>
      </c>
    </row>
    <row r="20" spans="1:2" x14ac:dyDescent="0.3">
      <c r="A20">
        <v>18</v>
      </c>
      <c r="B20" t="s">
        <v>381</v>
      </c>
    </row>
    <row r="21" spans="1:2" x14ac:dyDescent="0.3">
      <c r="A21">
        <v>19</v>
      </c>
      <c r="B21" t="s">
        <v>382</v>
      </c>
    </row>
    <row r="22" spans="1:2" x14ac:dyDescent="0.3">
      <c r="A22">
        <v>20</v>
      </c>
      <c r="B22" t="s">
        <v>383</v>
      </c>
    </row>
    <row r="23" spans="1:2" x14ac:dyDescent="0.3">
      <c r="A23">
        <v>21</v>
      </c>
      <c r="B23" t="s">
        <v>384</v>
      </c>
    </row>
    <row r="24" spans="1:2" x14ac:dyDescent="0.3">
      <c r="A24">
        <v>22</v>
      </c>
      <c r="B24" t="s">
        <v>385</v>
      </c>
    </row>
    <row r="25" spans="1:2" x14ac:dyDescent="0.3">
      <c r="A25">
        <v>23</v>
      </c>
      <c r="B25" t="s">
        <v>386</v>
      </c>
    </row>
    <row r="26" spans="1:2" x14ac:dyDescent="0.3">
      <c r="A26">
        <v>24</v>
      </c>
      <c r="B26" t="s">
        <v>387</v>
      </c>
    </row>
    <row r="27" spans="1:2" x14ac:dyDescent="0.3">
      <c r="A27">
        <v>25</v>
      </c>
      <c r="B27" t="s">
        <v>388</v>
      </c>
    </row>
    <row r="28" spans="1:2" x14ac:dyDescent="0.3">
      <c r="A28">
        <v>26</v>
      </c>
      <c r="B28" t="s">
        <v>389</v>
      </c>
    </row>
    <row r="29" spans="1:2" x14ac:dyDescent="0.3">
      <c r="A29">
        <v>27</v>
      </c>
      <c r="B29" t="s">
        <v>390</v>
      </c>
    </row>
    <row r="30" spans="1:2" x14ac:dyDescent="0.3">
      <c r="A30">
        <v>28</v>
      </c>
      <c r="B30" t="s">
        <v>391</v>
      </c>
    </row>
    <row r="31" spans="1:2" x14ac:dyDescent="0.3">
      <c r="A31">
        <v>29</v>
      </c>
      <c r="B31" t="s">
        <v>392</v>
      </c>
    </row>
    <row r="32" spans="1:2" x14ac:dyDescent="0.3">
      <c r="A32">
        <v>30</v>
      </c>
      <c r="B32" t="s">
        <v>393</v>
      </c>
    </row>
    <row r="33" spans="1:2" x14ac:dyDescent="0.3">
      <c r="A33">
        <v>31</v>
      </c>
      <c r="B33" t="s">
        <v>394</v>
      </c>
    </row>
    <row r="34" spans="1:2" x14ac:dyDescent="0.3">
      <c r="A34">
        <v>32</v>
      </c>
      <c r="B34" t="s">
        <v>395</v>
      </c>
    </row>
    <row r="35" spans="1:2" x14ac:dyDescent="0.3">
      <c r="A35">
        <v>33</v>
      </c>
      <c r="B35" t="s">
        <v>396</v>
      </c>
    </row>
    <row r="36" spans="1:2" x14ac:dyDescent="0.3">
      <c r="A36">
        <v>34</v>
      </c>
      <c r="B36" t="s">
        <v>397</v>
      </c>
    </row>
    <row r="37" spans="1:2" x14ac:dyDescent="0.3">
      <c r="A37">
        <v>35</v>
      </c>
      <c r="B37" t="s">
        <v>398</v>
      </c>
    </row>
    <row r="38" spans="1:2" x14ac:dyDescent="0.3">
      <c r="A38">
        <v>36</v>
      </c>
      <c r="B38" t="s">
        <v>399</v>
      </c>
    </row>
    <row r="39" spans="1:2" ht="23.4" x14ac:dyDescent="0.3">
      <c r="A39">
        <v>37</v>
      </c>
      <c r="B39" s="60" t="s">
        <v>400</v>
      </c>
    </row>
    <row r="40" spans="1:2" x14ac:dyDescent="0.3">
      <c r="A40">
        <v>38</v>
      </c>
      <c r="B40" t="s">
        <v>401</v>
      </c>
    </row>
    <row r="41" spans="1:2" x14ac:dyDescent="0.3">
      <c r="A41">
        <v>39</v>
      </c>
      <c r="B41" t="s">
        <v>402</v>
      </c>
    </row>
    <row r="42" spans="1:2" x14ac:dyDescent="0.3">
      <c r="A42">
        <v>40</v>
      </c>
      <c r="B42" t="s">
        <v>403</v>
      </c>
    </row>
    <row r="43" spans="1:2" x14ac:dyDescent="0.3">
      <c r="A43">
        <v>41</v>
      </c>
      <c r="B43" t="s">
        <v>404</v>
      </c>
    </row>
    <row r="44" spans="1:2" x14ac:dyDescent="0.3">
      <c r="A44">
        <v>42</v>
      </c>
      <c r="B44" t="s">
        <v>405</v>
      </c>
    </row>
    <row r="45" spans="1:2" x14ac:dyDescent="0.3">
      <c r="A45">
        <v>43</v>
      </c>
      <c r="B45" t="s">
        <v>406</v>
      </c>
    </row>
    <row r="46" spans="1:2" x14ac:dyDescent="0.3">
      <c r="A46">
        <v>44</v>
      </c>
      <c r="B46" t="s">
        <v>407</v>
      </c>
    </row>
    <row r="47" spans="1:2" x14ac:dyDescent="0.3">
      <c r="A47">
        <v>45</v>
      </c>
      <c r="B47" t="s">
        <v>408</v>
      </c>
    </row>
    <row r="48" spans="1:2" x14ac:dyDescent="0.3">
      <c r="A48">
        <v>46</v>
      </c>
      <c r="B48" t="s">
        <v>409</v>
      </c>
    </row>
    <row r="49" spans="1:2" x14ac:dyDescent="0.3">
      <c r="A49">
        <v>47</v>
      </c>
      <c r="B49" t="s">
        <v>410</v>
      </c>
    </row>
    <row r="50" spans="1:2" x14ac:dyDescent="0.3">
      <c r="A50">
        <v>48</v>
      </c>
      <c r="B50" t="s">
        <v>411</v>
      </c>
    </row>
    <row r="51" spans="1:2" x14ac:dyDescent="0.3">
      <c r="A51">
        <v>49</v>
      </c>
      <c r="B51" t="s">
        <v>412</v>
      </c>
    </row>
    <row r="52" spans="1:2" x14ac:dyDescent="0.3">
      <c r="A52">
        <v>50</v>
      </c>
      <c r="B52" t="s">
        <v>413</v>
      </c>
    </row>
    <row r="53" spans="1:2" x14ac:dyDescent="0.3">
      <c r="A53">
        <v>51</v>
      </c>
      <c r="B53" t="s">
        <v>414</v>
      </c>
    </row>
    <row r="54" spans="1:2" x14ac:dyDescent="0.3">
      <c r="A54">
        <v>52</v>
      </c>
      <c r="B54" t="s">
        <v>415</v>
      </c>
    </row>
    <row r="55" spans="1:2" x14ac:dyDescent="0.3">
      <c r="A55">
        <v>53</v>
      </c>
      <c r="B55" t="s">
        <v>416</v>
      </c>
    </row>
    <row r="56" spans="1:2" x14ac:dyDescent="0.3">
      <c r="A56">
        <v>54</v>
      </c>
      <c r="B56" t="s">
        <v>417</v>
      </c>
    </row>
    <row r="57" spans="1:2" x14ac:dyDescent="0.3">
      <c r="A57">
        <v>55</v>
      </c>
      <c r="B57" t="s">
        <v>418</v>
      </c>
    </row>
    <row r="58" spans="1:2" x14ac:dyDescent="0.3">
      <c r="A58">
        <v>56</v>
      </c>
      <c r="B58" t="s">
        <v>419</v>
      </c>
    </row>
    <row r="59" spans="1:2" x14ac:dyDescent="0.3">
      <c r="A59">
        <v>57</v>
      </c>
      <c r="B59" t="s">
        <v>420</v>
      </c>
    </row>
    <row r="60" spans="1:2" x14ac:dyDescent="0.3">
      <c r="A60">
        <v>58</v>
      </c>
      <c r="B60" t="s">
        <v>421</v>
      </c>
    </row>
    <row r="61" spans="1:2" x14ac:dyDescent="0.3">
      <c r="A61">
        <v>59</v>
      </c>
      <c r="B61" t="s">
        <v>422</v>
      </c>
    </row>
    <row r="62" spans="1:2" x14ac:dyDescent="0.3">
      <c r="A62">
        <v>60</v>
      </c>
      <c r="B62" t="s">
        <v>423</v>
      </c>
    </row>
    <row r="63" spans="1:2" x14ac:dyDescent="0.3">
      <c r="A63">
        <v>61</v>
      </c>
      <c r="B63" t="s">
        <v>424</v>
      </c>
    </row>
    <row r="64" spans="1:2" x14ac:dyDescent="0.3">
      <c r="A64">
        <v>62</v>
      </c>
      <c r="B64" t="s">
        <v>425</v>
      </c>
    </row>
    <row r="65" spans="1:2" x14ac:dyDescent="0.3">
      <c r="A65">
        <v>63</v>
      </c>
      <c r="B65" t="s">
        <v>426</v>
      </c>
    </row>
    <row r="66" spans="1:2" x14ac:dyDescent="0.3">
      <c r="A66">
        <v>64</v>
      </c>
      <c r="B66" t="s">
        <v>427</v>
      </c>
    </row>
    <row r="67" spans="1:2" x14ac:dyDescent="0.3">
      <c r="A67">
        <v>65</v>
      </c>
      <c r="B67" t="s">
        <v>428</v>
      </c>
    </row>
    <row r="68" spans="1:2" x14ac:dyDescent="0.3">
      <c r="A68">
        <v>66</v>
      </c>
      <c r="B68" t="s">
        <v>429</v>
      </c>
    </row>
    <row r="69" spans="1:2" x14ac:dyDescent="0.3">
      <c r="A69">
        <v>67</v>
      </c>
      <c r="B69" t="s">
        <v>430</v>
      </c>
    </row>
    <row r="70" spans="1:2" ht="23.4" x14ac:dyDescent="0.3">
      <c r="A70">
        <v>68</v>
      </c>
      <c r="B70" s="60" t="s">
        <v>431</v>
      </c>
    </row>
    <row r="71" spans="1:2" x14ac:dyDescent="0.3">
      <c r="A71">
        <v>69</v>
      </c>
      <c r="B71" t="s">
        <v>432</v>
      </c>
    </row>
    <row r="72" spans="1:2" x14ac:dyDescent="0.3">
      <c r="A72">
        <v>70</v>
      </c>
      <c r="B72" t="s">
        <v>433</v>
      </c>
    </row>
    <row r="73" spans="1:2" x14ac:dyDescent="0.3">
      <c r="A73">
        <v>71</v>
      </c>
      <c r="B73" t="s">
        <v>434</v>
      </c>
    </row>
    <row r="74" spans="1:2" x14ac:dyDescent="0.3">
      <c r="A74">
        <v>72</v>
      </c>
      <c r="B74" t="s">
        <v>435</v>
      </c>
    </row>
    <row r="75" spans="1:2" x14ac:dyDescent="0.3">
      <c r="A75">
        <v>73</v>
      </c>
      <c r="B75" t="s">
        <v>436</v>
      </c>
    </row>
    <row r="76" spans="1:2" x14ac:dyDescent="0.3">
      <c r="A76">
        <v>74</v>
      </c>
      <c r="B76" t="s">
        <v>437</v>
      </c>
    </row>
    <row r="77" spans="1:2" x14ac:dyDescent="0.3">
      <c r="A77">
        <v>75</v>
      </c>
      <c r="B77" t="s">
        <v>438</v>
      </c>
    </row>
    <row r="78" spans="1:2" x14ac:dyDescent="0.3">
      <c r="A78">
        <v>76</v>
      </c>
      <c r="B78" t="s">
        <v>439</v>
      </c>
    </row>
    <row r="79" spans="1:2" x14ac:dyDescent="0.3">
      <c r="A79">
        <v>77</v>
      </c>
      <c r="B79" t="s">
        <v>440</v>
      </c>
    </row>
    <row r="80" spans="1:2" x14ac:dyDescent="0.3">
      <c r="A80">
        <v>78</v>
      </c>
      <c r="B80" t="s">
        <v>441</v>
      </c>
    </row>
    <row r="81" spans="1:2" x14ac:dyDescent="0.3">
      <c r="A81">
        <v>79</v>
      </c>
      <c r="B81" t="s">
        <v>442</v>
      </c>
    </row>
    <row r="82" spans="1:2" x14ac:dyDescent="0.3">
      <c r="A82">
        <v>80</v>
      </c>
      <c r="B82" t="s">
        <v>443</v>
      </c>
    </row>
    <row r="83" spans="1:2" x14ac:dyDescent="0.3">
      <c r="A83">
        <v>81</v>
      </c>
      <c r="B83" t="s">
        <v>444</v>
      </c>
    </row>
    <row r="84" spans="1:2" x14ac:dyDescent="0.3">
      <c r="A84">
        <v>82</v>
      </c>
      <c r="B84" t="s">
        <v>445</v>
      </c>
    </row>
    <row r="85" spans="1:2" x14ac:dyDescent="0.3">
      <c r="A85">
        <v>83</v>
      </c>
      <c r="B85" t="s">
        <v>446</v>
      </c>
    </row>
    <row r="86" spans="1:2" x14ac:dyDescent="0.3">
      <c r="A86">
        <v>84</v>
      </c>
      <c r="B86" t="s">
        <v>447</v>
      </c>
    </row>
    <row r="87" spans="1:2" x14ac:dyDescent="0.3">
      <c r="A87">
        <v>85</v>
      </c>
      <c r="B87" t="s">
        <v>448</v>
      </c>
    </row>
    <row r="88" spans="1:2" x14ac:dyDescent="0.3">
      <c r="A88">
        <v>86</v>
      </c>
      <c r="B88" t="s">
        <v>449</v>
      </c>
    </row>
    <row r="89" spans="1:2" x14ac:dyDescent="0.3">
      <c r="A89">
        <v>87</v>
      </c>
      <c r="B89" t="s">
        <v>450</v>
      </c>
    </row>
    <row r="90" spans="1:2" x14ac:dyDescent="0.3">
      <c r="A90">
        <v>88</v>
      </c>
      <c r="B90" t="s">
        <v>451</v>
      </c>
    </row>
    <row r="91" spans="1:2" x14ac:dyDescent="0.3">
      <c r="A91">
        <v>89</v>
      </c>
      <c r="B91" t="s">
        <v>452</v>
      </c>
    </row>
    <row r="92" spans="1:2" x14ac:dyDescent="0.3">
      <c r="A92">
        <v>90</v>
      </c>
      <c r="B92" t="s">
        <v>453</v>
      </c>
    </row>
    <row r="93" spans="1:2" x14ac:dyDescent="0.3">
      <c r="A93">
        <v>91</v>
      </c>
      <c r="B93" t="s">
        <v>454</v>
      </c>
    </row>
    <row r="94" spans="1:2" x14ac:dyDescent="0.3">
      <c r="A94">
        <v>92</v>
      </c>
      <c r="B94" t="s">
        <v>455</v>
      </c>
    </row>
    <row r="95" spans="1:2" x14ac:dyDescent="0.3">
      <c r="A95">
        <v>93</v>
      </c>
      <c r="B95" t="s">
        <v>456</v>
      </c>
    </row>
    <row r="96" spans="1:2" x14ac:dyDescent="0.3">
      <c r="A96">
        <v>94</v>
      </c>
      <c r="B96" t="s">
        <v>457</v>
      </c>
    </row>
    <row r="97" spans="1:2" x14ac:dyDescent="0.3">
      <c r="A97">
        <v>95</v>
      </c>
      <c r="B97" t="s">
        <v>458</v>
      </c>
    </row>
    <row r="98" spans="1:2" ht="23.4" x14ac:dyDescent="0.3">
      <c r="A98">
        <v>96</v>
      </c>
      <c r="B98" s="60" t="s">
        <v>459</v>
      </c>
    </row>
    <row r="99" spans="1:2" x14ac:dyDescent="0.3">
      <c r="A99">
        <v>97</v>
      </c>
      <c r="B99" t="s">
        <v>460</v>
      </c>
    </row>
    <row r="100" spans="1:2" x14ac:dyDescent="0.3">
      <c r="A100">
        <v>98</v>
      </c>
      <c r="B100" t="s">
        <v>461</v>
      </c>
    </row>
    <row r="101" spans="1:2" x14ac:dyDescent="0.3">
      <c r="A101">
        <v>99</v>
      </c>
      <c r="B101" t="s">
        <v>462</v>
      </c>
    </row>
    <row r="102" spans="1:2" x14ac:dyDescent="0.3">
      <c r="A102">
        <v>100</v>
      </c>
      <c r="B102" t="s">
        <v>463</v>
      </c>
    </row>
    <row r="103" spans="1:2" x14ac:dyDescent="0.3">
      <c r="A103">
        <v>101</v>
      </c>
      <c r="B103" t="s">
        <v>464</v>
      </c>
    </row>
    <row r="104" spans="1:2" x14ac:dyDescent="0.3">
      <c r="A104">
        <v>102</v>
      </c>
      <c r="B104" t="s">
        <v>465</v>
      </c>
    </row>
    <row r="105" spans="1:2" x14ac:dyDescent="0.3">
      <c r="A105">
        <v>103</v>
      </c>
      <c r="B105" t="s">
        <v>466</v>
      </c>
    </row>
    <row r="106" spans="1:2" x14ac:dyDescent="0.3">
      <c r="A106">
        <v>104</v>
      </c>
      <c r="B106" t="s">
        <v>467</v>
      </c>
    </row>
    <row r="107" spans="1:2" x14ac:dyDescent="0.3">
      <c r="A107">
        <v>105</v>
      </c>
      <c r="B107" t="s">
        <v>468</v>
      </c>
    </row>
    <row r="108" spans="1:2" x14ac:dyDescent="0.3">
      <c r="A108">
        <v>106</v>
      </c>
      <c r="B108" t="s">
        <v>469</v>
      </c>
    </row>
    <row r="109" spans="1:2" x14ac:dyDescent="0.3">
      <c r="A109">
        <v>107</v>
      </c>
      <c r="B109" t="s">
        <v>470</v>
      </c>
    </row>
    <row r="110" spans="1:2" x14ac:dyDescent="0.3">
      <c r="A110">
        <v>108</v>
      </c>
      <c r="B110" t="s">
        <v>471</v>
      </c>
    </row>
    <row r="111" spans="1:2" x14ac:dyDescent="0.3">
      <c r="A111">
        <v>109</v>
      </c>
      <c r="B111" t="s">
        <v>472</v>
      </c>
    </row>
    <row r="112" spans="1:2" x14ac:dyDescent="0.3">
      <c r="A112">
        <v>110</v>
      </c>
      <c r="B112" t="s">
        <v>473</v>
      </c>
    </row>
    <row r="113" spans="1:2" x14ac:dyDescent="0.3">
      <c r="A113">
        <v>111</v>
      </c>
      <c r="B113" t="s">
        <v>474</v>
      </c>
    </row>
    <row r="114" spans="1:2" x14ac:dyDescent="0.3">
      <c r="A114">
        <v>112</v>
      </c>
      <c r="B114" t="s">
        <v>475</v>
      </c>
    </row>
    <row r="115" spans="1:2" x14ac:dyDescent="0.3">
      <c r="A115">
        <v>113</v>
      </c>
      <c r="B115" t="s">
        <v>476</v>
      </c>
    </row>
    <row r="116" spans="1:2" x14ac:dyDescent="0.3">
      <c r="A116">
        <v>114</v>
      </c>
      <c r="B116" t="s">
        <v>477</v>
      </c>
    </row>
    <row r="117" spans="1:2" x14ac:dyDescent="0.3">
      <c r="A117">
        <v>115</v>
      </c>
      <c r="B117" t="s">
        <v>478</v>
      </c>
    </row>
    <row r="118" spans="1:2" x14ac:dyDescent="0.3">
      <c r="A118">
        <v>116</v>
      </c>
      <c r="B118" t="s">
        <v>479</v>
      </c>
    </row>
    <row r="119" spans="1:2" x14ac:dyDescent="0.3">
      <c r="A119">
        <v>117</v>
      </c>
      <c r="B119" t="s">
        <v>480</v>
      </c>
    </row>
    <row r="120" spans="1:2" x14ac:dyDescent="0.3">
      <c r="A120">
        <v>118</v>
      </c>
      <c r="B120" t="s">
        <v>481</v>
      </c>
    </row>
    <row r="121" spans="1:2" x14ac:dyDescent="0.3">
      <c r="A121">
        <v>119</v>
      </c>
      <c r="B121" t="s">
        <v>482</v>
      </c>
    </row>
    <row r="122" spans="1:2" x14ac:dyDescent="0.3">
      <c r="A122">
        <v>120</v>
      </c>
      <c r="B122" t="s">
        <v>483</v>
      </c>
    </row>
    <row r="123" spans="1:2" x14ac:dyDescent="0.3">
      <c r="A123">
        <v>121</v>
      </c>
      <c r="B123" t="s">
        <v>484</v>
      </c>
    </row>
    <row r="124" spans="1:2" x14ac:dyDescent="0.3">
      <c r="A124">
        <v>122</v>
      </c>
      <c r="B124" t="s">
        <v>485</v>
      </c>
    </row>
    <row r="125" spans="1:2" x14ac:dyDescent="0.3">
      <c r="A125">
        <v>123</v>
      </c>
      <c r="B125" t="s">
        <v>486</v>
      </c>
    </row>
    <row r="126" spans="1:2" x14ac:dyDescent="0.3">
      <c r="A126">
        <v>124</v>
      </c>
      <c r="B126" t="s">
        <v>487</v>
      </c>
    </row>
    <row r="127" spans="1:2" x14ac:dyDescent="0.3">
      <c r="A127">
        <v>125</v>
      </c>
      <c r="B127" t="s">
        <v>488</v>
      </c>
    </row>
    <row r="128" spans="1:2" x14ac:dyDescent="0.3">
      <c r="A128">
        <v>126</v>
      </c>
      <c r="B128" t="s">
        <v>489</v>
      </c>
    </row>
    <row r="129" spans="1:2" ht="23.4" x14ac:dyDescent="0.3">
      <c r="A129">
        <v>127</v>
      </c>
      <c r="B129" s="60" t="s">
        <v>490</v>
      </c>
    </row>
    <row r="130" spans="1:2" x14ac:dyDescent="0.3">
      <c r="A130">
        <v>128</v>
      </c>
      <c r="B130" t="s">
        <v>491</v>
      </c>
    </row>
    <row r="131" spans="1:2" x14ac:dyDescent="0.3">
      <c r="A131">
        <v>129</v>
      </c>
      <c r="B131" t="s">
        <v>492</v>
      </c>
    </row>
    <row r="132" spans="1:2" x14ac:dyDescent="0.3">
      <c r="A132">
        <v>130</v>
      </c>
      <c r="B132" t="s">
        <v>493</v>
      </c>
    </row>
    <row r="133" spans="1:2" x14ac:dyDescent="0.3">
      <c r="A133">
        <v>131</v>
      </c>
      <c r="B133" t="s">
        <v>494</v>
      </c>
    </row>
    <row r="134" spans="1:2" x14ac:dyDescent="0.3">
      <c r="A134">
        <v>132</v>
      </c>
      <c r="B134" t="s">
        <v>495</v>
      </c>
    </row>
    <row r="135" spans="1:2" x14ac:dyDescent="0.3">
      <c r="A135">
        <v>133</v>
      </c>
      <c r="B135" t="s">
        <v>496</v>
      </c>
    </row>
    <row r="136" spans="1:2" x14ac:dyDescent="0.3">
      <c r="A136">
        <v>134</v>
      </c>
      <c r="B136" t="s">
        <v>497</v>
      </c>
    </row>
    <row r="137" spans="1:2" x14ac:dyDescent="0.3">
      <c r="A137">
        <v>135</v>
      </c>
      <c r="B137" t="s">
        <v>498</v>
      </c>
    </row>
    <row r="138" spans="1:2" x14ac:dyDescent="0.3">
      <c r="A138">
        <v>136</v>
      </c>
      <c r="B138" t="s">
        <v>499</v>
      </c>
    </row>
    <row r="139" spans="1:2" x14ac:dyDescent="0.3">
      <c r="A139">
        <v>137</v>
      </c>
      <c r="B139" t="s">
        <v>500</v>
      </c>
    </row>
    <row r="140" spans="1:2" x14ac:dyDescent="0.3">
      <c r="A140">
        <v>138</v>
      </c>
      <c r="B140" t="s">
        <v>501</v>
      </c>
    </row>
    <row r="141" spans="1:2" x14ac:dyDescent="0.3">
      <c r="A141">
        <v>139</v>
      </c>
      <c r="B141" t="s">
        <v>502</v>
      </c>
    </row>
    <row r="142" spans="1:2" x14ac:dyDescent="0.3">
      <c r="A142">
        <v>140</v>
      </c>
      <c r="B142" t="s">
        <v>503</v>
      </c>
    </row>
    <row r="143" spans="1:2" x14ac:dyDescent="0.3">
      <c r="A143">
        <v>141</v>
      </c>
      <c r="B143" t="s">
        <v>504</v>
      </c>
    </row>
    <row r="144" spans="1:2" x14ac:dyDescent="0.3">
      <c r="A144">
        <v>142</v>
      </c>
      <c r="B144" t="s">
        <v>505</v>
      </c>
    </row>
    <row r="145" spans="1:2" x14ac:dyDescent="0.3">
      <c r="A145">
        <v>143</v>
      </c>
      <c r="B145" t="s">
        <v>506</v>
      </c>
    </row>
    <row r="146" spans="1:2" x14ac:dyDescent="0.3">
      <c r="A146">
        <v>144</v>
      </c>
      <c r="B146" t="s">
        <v>507</v>
      </c>
    </row>
    <row r="147" spans="1:2" x14ac:dyDescent="0.3">
      <c r="A147">
        <v>145</v>
      </c>
      <c r="B147" t="s">
        <v>508</v>
      </c>
    </row>
    <row r="148" spans="1:2" ht="23.4" x14ac:dyDescent="0.3">
      <c r="A148">
        <v>146</v>
      </c>
      <c r="B148" s="60" t="s">
        <v>509</v>
      </c>
    </row>
    <row r="149" spans="1:2" x14ac:dyDescent="0.3">
      <c r="A149">
        <v>147</v>
      </c>
      <c r="B149" t="s">
        <v>510</v>
      </c>
    </row>
    <row r="150" spans="1:2" x14ac:dyDescent="0.3">
      <c r="A150">
        <v>148</v>
      </c>
      <c r="B150" t="s">
        <v>511</v>
      </c>
    </row>
    <row r="151" spans="1:2" x14ac:dyDescent="0.3">
      <c r="A151">
        <v>149</v>
      </c>
      <c r="B151" t="s">
        <v>512</v>
      </c>
    </row>
    <row r="152" spans="1:2" x14ac:dyDescent="0.3">
      <c r="A152">
        <v>150</v>
      </c>
      <c r="B152" t="s">
        <v>513</v>
      </c>
    </row>
    <row r="153" spans="1:2" x14ac:dyDescent="0.3">
      <c r="A153">
        <v>151</v>
      </c>
      <c r="B153" t="s">
        <v>514</v>
      </c>
    </row>
    <row r="154" spans="1:2" x14ac:dyDescent="0.3">
      <c r="A154">
        <v>152</v>
      </c>
      <c r="B154" t="s">
        <v>515</v>
      </c>
    </row>
    <row r="155" spans="1:2" x14ac:dyDescent="0.3">
      <c r="A155">
        <v>153</v>
      </c>
      <c r="B155" t="s">
        <v>516</v>
      </c>
    </row>
    <row r="156" spans="1:2" x14ac:dyDescent="0.3">
      <c r="A156">
        <v>154</v>
      </c>
      <c r="B156" t="s">
        <v>517</v>
      </c>
    </row>
    <row r="157" spans="1:2" x14ac:dyDescent="0.3">
      <c r="A157">
        <v>155</v>
      </c>
      <c r="B157" t="s">
        <v>518</v>
      </c>
    </row>
    <row r="158" spans="1:2" x14ac:dyDescent="0.3">
      <c r="A158">
        <v>156</v>
      </c>
      <c r="B158" t="s">
        <v>519</v>
      </c>
    </row>
    <row r="159" spans="1:2" ht="23.4" x14ac:dyDescent="0.3">
      <c r="A159">
        <v>157</v>
      </c>
      <c r="B159" s="60" t="s">
        <v>520</v>
      </c>
    </row>
    <row r="160" spans="1:2" x14ac:dyDescent="0.3">
      <c r="A160">
        <v>158</v>
      </c>
      <c r="B160" t="s">
        <v>521</v>
      </c>
    </row>
    <row r="161" spans="1:2" x14ac:dyDescent="0.3">
      <c r="A161">
        <v>159</v>
      </c>
      <c r="B161" t="s">
        <v>522</v>
      </c>
    </row>
    <row r="162" spans="1:2" x14ac:dyDescent="0.3">
      <c r="A162">
        <v>160</v>
      </c>
      <c r="B162" t="s">
        <v>523</v>
      </c>
    </row>
    <row r="163" spans="1:2" x14ac:dyDescent="0.3">
      <c r="A163">
        <v>161</v>
      </c>
      <c r="B163" t="s">
        <v>524</v>
      </c>
    </row>
    <row r="164" spans="1:2" x14ac:dyDescent="0.3">
      <c r="A164">
        <v>162</v>
      </c>
      <c r="B164" t="s">
        <v>525</v>
      </c>
    </row>
    <row r="165" spans="1:2" x14ac:dyDescent="0.3">
      <c r="A165">
        <v>163</v>
      </c>
      <c r="B165" t="s">
        <v>526</v>
      </c>
    </row>
    <row r="166" spans="1:2" x14ac:dyDescent="0.3">
      <c r="A166">
        <v>164</v>
      </c>
      <c r="B166" t="s">
        <v>527</v>
      </c>
    </row>
    <row r="167" spans="1:2" x14ac:dyDescent="0.3">
      <c r="A167">
        <v>165</v>
      </c>
      <c r="B167" t="s">
        <v>528</v>
      </c>
    </row>
    <row r="168" spans="1:2" x14ac:dyDescent="0.3">
      <c r="A168">
        <v>166</v>
      </c>
      <c r="B168" t="s">
        <v>529</v>
      </c>
    </row>
    <row r="169" spans="1:2" x14ac:dyDescent="0.3">
      <c r="A169">
        <v>167</v>
      </c>
      <c r="B169" t="s">
        <v>530</v>
      </c>
    </row>
    <row r="170" spans="1:2" x14ac:dyDescent="0.3">
      <c r="A170">
        <v>168</v>
      </c>
      <c r="B170" t="s">
        <v>531</v>
      </c>
    </row>
    <row r="171" spans="1:2" x14ac:dyDescent="0.3">
      <c r="A171">
        <v>169</v>
      </c>
      <c r="B171" t="s">
        <v>532</v>
      </c>
    </row>
    <row r="172" spans="1:2" x14ac:dyDescent="0.3">
      <c r="A172">
        <v>170</v>
      </c>
      <c r="B172" t="s">
        <v>533</v>
      </c>
    </row>
    <row r="173" spans="1:2" x14ac:dyDescent="0.3">
      <c r="A173">
        <v>171</v>
      </c>
      <c r="B173" t="s">
        <v>534</v>
      </c>
    </row>
    <row r="174" spans="1:2" x14ac:dyDescent="0.3">
      <c r="A174">
        <v>172</v>
      </c>
      <c r="B174" t="s">
        <v>535</v>
      </c>
    </row>
    <row r="175" spans="1:2" x14ac:dyDescent="0.3">
      <c r="A175">
        <v>173</v>
      </c>
      <c r="B175" t="s">
        <v>536</v>
      </c>
    </row>
    <row r="176" spans="1:2" x14ac:dyDescent="0.3">
      <c r="A176">
        <v>174</v>
      </c>
      <c r="B176" t="s">
        <v>537</v>
      </c>
    </row>
    <row r="177" spans="1:2" x14ac:dyDescent="0.3">
      <c r="A177">
        <v>175</v>
      </c>
      <c r="B177" t="s">
        <v>538</v>
      </c>
    </row>
    <row r="178" spans="1:2" x14ac:dyDescent="0.3">
      <c r="A178">
        <v>176</v>
      </c>
      <c r="B178" t="s">
        <v>539</v>
      </c>
    </row>
    <row r="179" spans="1:2" x14ac:dyDescent="0.3">
      <c r="A179">
        <v>177</v>
      </c>
      <c r="B179" t="s">
        <v>540</v>
      </c>
    </row>
    <row r="180" spans="1:2" x14ac:dyDescent="0.3">
      <c r="A180">
        <v>178</v>
      </c>
      <c r="B180" t="s">
        <v>541</v>
      </c>
    </row>
    <row r="181" spans="1:2" x14ac:dyDescent="0.3">
      <c r="A181">
        <v>179</v>
      </c>
      <c r="B181" t="s">
        <v>542</v>
      </c>
    </row>
    <row r="182" spans="1:2" ht="23.4" x14ac:dyDescent="0.3">
      <c r="A182">
        <v>180</v>
      </c>
      <c r="B182" s="60" t="s">
        <v>543</v>
      </c>
    </row>
    <row r="183" spans="1:2" x14ac:dyDescent="0.3">
      <c r="A183">
        <v>181</v>
      </c>
      <c r="B183" t="s">
        <v>395</v>
      </c>
    </row>
    <row r="184" spans="1:2" x14ac:dyDescent="0.3">
      <c r="A184">
        <v>182</v>
      </c>
      <c r="B184" t="s">
        <v>423</v>
      </c>
    </row>
    <row r="185" spans="1:2" x14ac:dyDescent="0.3">
      <c r="A185">
        <v>183</v>
      </c>
      <c r="B185" t="s">
        <v>544</v>
      </c>
    </row>
    <row r="186" spans="1:2" x14ac:dyDescent="0.3">
      <c r="A186">
        <v>184</v>
      </c>
      <c r="B186" t="s">
        <v>545</v>
      </c>
    </row>
    <row r="187" spans="1:2" x14ac:dyDescent="0.3">
      <c r="A187">
        <v>185</v>
      </c>
      <c r="B187" t="s">
        <v>546</v>
      </c>
    </row>
    <row r="188" spans="1:2" x14ac:dyDescent="0.3">
      <c r="A188">
        <v>186</v>
      </c>
      <c r="B188" t="s">
        <v>547</v>
      </c>
    </row>
    <row r="189" spans="1:2" x14ac:dyDescent="0.3">
      <c r="A189">
        <v>187</v>
      </c>
      <c r="B189" t="s">
        <v>548</v>
      </c>
    </row>
    <row r="190" spans="1:2" x14ac:dyDescent="0.3">
      <c r="A190">
        <v>188</v>
      </c>
      <c r="B190" t="s">
        <v>549</v>
      </c>
    </row>
    <row r="191" spans="1:2" x14ac:dyDescent="0.3">
      <c r="A191">
        <v>189</v>
      </c>
      <c r="B191" t="s">
        <v>550</v>
      </c>
    </row>
    <row r="192" spans="1:2" x14ac:dyDescent="0.3">
      <c r="A192">
        <v>190</v>
      </c>
      <c r="B192" t="s">
        <v>551</v>
      </c>
    </row>
    <row r="193" spans="1:2" x14ac:dyDescent="0.3">
      <c r="A193">
        <v>191</v>
      </c>
      <c r="B193" t="s">
        <v>552</v>
      </c>
    </row>
    <row r="194" spans="1:2" x14ac:dyDescent="0.3">
      <c r="A194">
        <v>192</v>
      </c>
      <c r="B194" t="s">
        <v>553</v>
      </c>
    </row>
    <row r="195" spans="1:2" x14ac:dyDescent="0.3">
      <c r="A195">
        <v>193</v>
      </c>
      <c r="B195" t="s">
        <v>554</v>
      </c>
    </row>
    <row r="196" spans="1:2" x14ac:dyDescent="0.3">
      <c r="A196">
        <v>194</v>
      </c>
      <c r="B196" t="s">
        <v>427</v>
      </c>
    </row>
    <row r="197" spans="1:2" x14ac:dyDescent="0.3">
      <c r="A197">
        <v>195</v>
      </c>
      <c r="B197" t="s">
        <v>555</v>
      </c>
    </row>
    <row r="198" spans="1:2" x14ac:dyDescent="0.3">
      <c r="A198">
        <v>196</v>
      </c>
      <c r="B198" t="s">
        <v>556</v>
      </c>
    </row>
    <row r="199" spans="1:2" x14ac:dyDescent="0.3">
      <c r="A199">
        <v>197</v>
      </c>
      <c r="B199" t="s">
        <v>557</v>
      </c>
    </row>
    <row r="200" spans="1:2" x14ac:dyDescent="0.3">
      <c r="A200">
        <v>198</v>
      </c>
      <c r="B200" t="s">
        <v>558</v>
      </c>
    </row>
    <row r="201" spans="1:2" ht="23.4" x14ac:dyDescent="0.3">
      <c r="A201">
        <v>199</v>
      </c>
      <c r="B201" s="60" t="s">
        <v>559</v>
      </c>
    </row>
    <row r="202" spans="1:2" x14ac:dyDescent="0.3">
      <c r="A202">
        <v>200</v>
      </c>
      <c r="B202" t="s">
        <v>380</v>
      </c>
    </row>
    <row r="203" spans="1:2" x14ac:dyDescent="0.3">
      <c r="A203">
        <v>201</v>
      </c>
      <c r="B203" t="s">
        <v>381</v>
      </c>
    </row>
    <row r="204" spans="1:2" x14ac:dyDescent="0.3">
      <c r="A204">
        <v>202</v>
      </c>
      <c r="B204" t="s">
        <v>560</v>
      </c>
    </row>
    <row r="205" spans="1:2" x14ac:dyDescent="0.3">
      <c r="A205">
        <v>203</v>
      </c>
      <c r="B205" t="s">
        <v>561</v>
      </c>
    </row>
    <row r="206" spans="1:2" x14ac:dyDescent="0.3">
      <c r="A206">
        <v>204</v>
      </c>
      <c r="B206" t="s">
        <v>562</v>
      </c>
    </row>
    <row r="207" spans="1:2" x14ac:dyDescent="0.3">
      <c r="A207">
        <v>205</v>
      </c>
      <c r="B207" t="s">
        <v>563</v>
      </c>
    </row>
    <row r="208" spans="1:2" x14ac:dyDescent="0.3">
      <c r="A208">
        <v>206</v>
      </c>
      <c r="B208" t="s">
        <v>564</v>
      </c>
    </row>
    <row r="209" spans="1:2" x14ac:dyDescent="0.3">
      <c r="A209">
        <v>207</v>
      </c>
      <c r="B209" t="s">
        <v>565</v>
      </c>
    </row>
    <row r="210" spans="1:2" x14ac:dyDescent="0.3">
      <c r="A210">
        <v>208</v>
      </c>
      <c r="B210" t="s">
        <v>566</v>
      </c>
    </row>
    <row r="211" spans="1:2" x14ac:dyDescent="0.3">
      <c r="A211">
        <v>209</v>
      </c>
      <c r="B211" t="s">
        <v>567</v>
      </c>
    </row>
    <row r="212" spans="1:2" x14ac:dyDescent="0.3">
      <c r="A212">
        <v>210</v>
      </c>
      <c r="B212" t="s">
        <v>568</v>
      </c>
    </row>
    <row r="213" spans="1:2" x14ac:dyDescent="0.3">
      <c r="A213">
        <v>211</v>
      </c>
      <c r="B213" t="s">
        <v>569</v>
      </c>
    </row>
    <row r="214" spans="1:2" x14ac:dyDescent="0.3">
      <c r="A214">
        <v>212</v>
      </c>
      <c r="B214" t="s">
        <v>570</v>
      </c>
    </row>
    <row r="215" spans="1:2" x14ac:dyDescent="0.3">
      <c r="A215">
        <v>213</v>
      </c>
      <c r="B215" t="s">
        <v>571</v>
      </c>
    </row>
    <row r="216" spans="1:2" x14ac:dyDescent="0.3">
      <c r="A216">
        <v>214</v>
      </c>
      <c r="B216" t="s">
        <v>572</v>
      </c>
    </row>
    <row r="217" spans="1:2" x14ac:dyDescent="0.3">
      <c r="A217">
        <v>215</v>
      </c>
      <c r="B217" t="s">
        <v>573</v>
      </c>
    </row>
    <row r="218" spans="1:2" x14ac:dyDescent="0.3">
      <c r="A218">
        <v>216</v>
      </c>
      <c r="B218" t="s">
        <v>574</v>
      </c>
    </row>
    <row r="219" spans="1:2" x14ac:dyDescent="0.3">
      <c r="A219">
        <v>217</v>
      </c>
      <c r="B219" t="s">
        <v>575</v>
      </c>
    </row>
    <row r="220" spans="1:2" ht="23.4" x14ac:dyDescent="0.3">
      <c r="A220">
        <v>218</v>
      </c>
      <c r="B220" s="60" t="s">
        <v>576</v>
      </c>
    </row>
    <row r="221" spans="1:2" x14ac:dyDescent="0.3">
      <c r="A221">
        <v>219</v>
      </c>
      <c r="B221" t="s">
        <v>577</v>
      </c>
    </row>
    <row r="222" spans="1:2" x14ac:dyDescent="0.3">
      <c r="A222">
        <v>220</v>
      </c>
      <c r="B222" t="s">
        <v>578</v>
      </c>
    </row>
    <row r="223" spans="1:2" x14ac:dyDescent="0.3">
      <c r="A223">
        <v>221</v>
      </c>
      <c r="B223" t="s">
        <v>579</v>
      </c>
    </row>
    <row r="224" spans="1:2" x14ac:dyDescent="0.3">
      <c r="A224">
        <v>222</v>
      </c>
      <c r="B224" t="s">
        <v>435</v>
      </c>
    </row>
    <row r="225" spans="1:2" x14ac:dyDescent="0.3">
      <c r="A225">
        <v>223</v>
      </c>
      <c r="B225" t="s">
        <v>549</v>
      </c>
    </row>
    <row r="226" spans="1:2" x14ac:dyDescent="0.3">
      <c r="A226">
        <v>224</v>
      </c>
      <c r="B226" t="s">
        <v>399</v>
      </c>
    </row>
    <row r="227" spans="1:2" x14ac:dyDescent="0.3">
      <c r="A227">
        <v>225</v>
      </c>
      <c r="B227" t="s">
        <v>380</v>
      </c>
    </row>
    <row r="228" spans="1:2" x14ac:dyDescent="0.3">
      <c r="A228">
        <v>226</v>
      </c>
      <c r="B228" t="s">
        <v>377</v>
      </c>
    </row>
    <row r="229" spans="1:2" x14ac:dyDescent="0.3">
      <c r="A229">
        <v>227</v>
      </c>
      <c r="B229" t="s">
        <v>580</v>
      </c>
    </row>
    <row r="230" spans="1:2" x14ac:dyDescent="0.3">
      <c r="A230">
        <v>228</v>
      </c>
      <c r="B230" t="s">
        <v>581</v>
      </c>
    </row>
    <row r="231" spans="1:2" x14ac:dyDescent="0.3">
      <c r="A231">
        <v>229</v>
      </c>
      <c r="B231" t="s">
        <v>582</v>
      </c>
    </row>
    <row r="232" spans="1:2" x14ac:dyDescent="0.3">
      <c r="A232">
        <v>230</v>
      </c>
      <c r="B232" t="s">
        <v>583</v>
      </c>
    </row>
    <row r="233" spans="1:2" x14ac:dyDescent="0.3">
      <c r="A233">
        <v>231</v>
      </c>
      <c r="B233" t="s">
        <v>584</v>
      </c>
    </row>
    <row r="234" spans="1:2" x14ac:dyDescent="0.3">
      <c r="A234">
        <v>232</v>
      </c>
      <c r="B234" t="s">
        <v>585</v>
      </c>
    </row>
    <row r="235" spans="1:2" x14ac:dyDescent="0.3">
      <c r="A235">
        <v>233</v>
      </c>
      <c r="B235" t="s">
        <v>586</v>
      </c>
    </row>
  </sheetData>
  <autoFilter ref="A2:B235" xr:uid="{233AF2EB-8262-4C7F-907A-E4F614E103F4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0CE2-9439-4CAE-A139-5916B7E353E8}">
  <dimension ref="A3:F45"/>
  <sheetViews>
    <sheetView workbookViewId="0">
      <selection activeCell="J36" sqref="J36"/>
    </sheetView>
  </sheetViews>
  <sheetFormatPr defaultRowHeight="14.4" x14ac:dyDescent="0.3"/>
  <cols>
    <col min="2" max="2" width="10.77734375" customWidth="1"/>
    <col min="3" max="3" width="11" customWidth="1"/>
    <col min="4" max="4" width="11.21875" customWidth="1"/>
  </cols>
  <sheetData>
    <row r="3" spans="1:6" ht="23.4" x14ac:dyDescent="0.3">
      <c r="A3" s="60" t="s">
        <v>587</v>
      </c>
    </row>
    <row r="5" spans="1:6" ht="43.2" x14ac:dyDescent="0.3">
      <c r="A5" s="23" t="s">
        <v>588</v>
      </c>
      <c r="B5" s="23" t="s">
        <v>589</v>
      </c>
      <c r="C5" s="23" t="s">
        <v>590</v>
      </c>
      <c r="D5" s="23" t="s">
        <v>591</v>
      </c>
      <c r="E5" s="64" t="s">
        <v>632</v>
      </c>
      <c r="F5" s="64" t="s">
        <v>633</v>
      </c>
    </row>
    <row r="6" spans="1:6" x14ac:dyDescent="0.3">
      <c r="A6" s="61">
        <v>1</v>
      </c>
      <c r="B6" s="62" t="s">
        <v>592</v>
      </c>
      <c r="C6" s="62">
        <v>100</v>
      </c>
      <c r="D6" s="62">
        <v>0.78500000000000003</v>
      </c>
      <c r="E6" s="5"/>
      <c r="F6" s="5"/>
    </row>
    <row r="7" spans="1:6" x14ac:dyDescent="0.3">
      <c r="A7" s="61">
        <v>2</v>
      </c>
      <c r="B7" s="62" t="s">
        <v>593</v>
      </c>
      <c r="C7" s="62">
        <v>144</v>
      </c>
      <c r="D7" s="62">
        <v>1.1299999999999999</v>
      </c>
      <c r="E7" s="5"/>
      <c r="F7" s="5"/>
    </row>
    <row r="8" spans="1:6" x14ac:dyDescent="0.3">
      <c r="A8" s="61">
        <v>3</v>
      </c>
      <c r="B8" s="62" t="s">
        <v>594</v>
      </c>
      <c r="C8" s="62">
        <v>196</v>
      </c>
      <c r="D8" s="62">
        <v>1.538</v>
      </c>
      <c r="E8" s="5"/>
      <c r="F8" s="5"/>
    </row>
    <row r="9" spans="1:6" x14ac:dyDescent="0.3">
      <c r="A9" s="61">
        <v>4</v>
      </c>
      <c r="B9" s="62" t="s">
        <v>595</v>
      </c>
      <c r="C9" s="62">
        <v>225</v>
      </c>
      <c r="D9" s="62">
        <v>1.766</v>
      </c>
      <c r="E9" s="5"/>
      <c r="F9" s="5"/>
    </row>
    <row r="10" spans="1:6" x14ac:dyDescent="0.3">
      <c r="A10" s="61">
        <v>5</v>
      </c>
      <c r="B10" s="62" t="s">
        <v>596</v>
      </c>
      <c r="C10" s="62">
        <v>256</v>
      </c>
      <c r="D10" s="62">
        <v>2.0099999999999998</v>
      </c>
      <c r="E10" s="5"/>
      <c r="F10" s="5"/>
    </row>
    <row r="11" spans="1:6" x14ac:dyDescent="0.3">
      <c r="A11" s="61">
        <v>6</v>
      </c>
      <c r="B11" s="62" t="s">
        <v>597</v>
      </c>
      <c r="C11" s="62">
        <v>324</v>
      </c>
      <c r="D11" s="62">
        <v>2.5430000000000001</v>
      </c>
      <c r="E11" s="5"/>
      <c r="F11" s="5"/>
    </row>
    <row r="12" spans="1:6" x14ac:dyDescent="0.3">
      <c r="A12" s="61">
        <v>7</v>
      </c>
      <c r="B12" s="62" t="s">
        <v>598</v>
      </c>
      <c r="C12" s="62">
        <v>400</v>
      </c>
      <c r="D12" s="62">
        <v>3.14</v>
      </c>
      <c r="E12" s="5"/>
      <c r="F12" s="5"/>
    </row>
    <row r="13" spans="1:6" x14ac:dyDescent="0.3">
      <c r="A13" s="61">
        <v>8</v>
      </c>
      <c r="B13" s="62" t="s">
        <v>599</v>
      </c>
      <c r="C13" s="62">
        <v>484</v>
      </c>
      <c r="D13" s="62">
        <v>3.7989999999999999</v>
      </c>
      <c r="E13" s="5"/>
      <c r="F13" s="5"/>
    </row>
    <row r="14" spans="1:6" x14ac:dyDescent="0.3">
      <c r="A14" s="61">
        <v>9</v>
      </c>
      <c r="B14" s="62" t="s">
        <v>600</v>
      </c>
      <c r="C14" s="62">
        <v>625</v>
      </c>
      <c r="D14" s="62">
        <v>4.9059999999999997</v>
      </c>
      <c r="E14" s="5"/>
      <c r="F14" s="5"/>
    </row>
    <row r="15" spans="1:6" x14ac:dyDescent="0.3">
      <c r="A15" s="61">
        <v>10</v>
      </c>
      <c r="B15" s="62" t="s">
        <v>601</v>
      </c>
      <c r="C15" s="62">
        <v>784</v>
      </c>
      <c r="D15" s="62">
        <v>6.1539999999999999</v>
      </c>
      <c r="E15" s="5"/>
      <c r="F15" s="5"/>
    </row>
    <row r="16" spans="1:6" x14ac:dyDescent="0.3">
      <c r="A16" s="61">
        <v>11</v>
      </c>
      <c r="B16" s="62" t="s">
        <v>602</v>
      </c>
      <c r="C16" s="62">
        <v>900</v>
      </c>
      <c r="D16" s="62">
        <v>7.0650000000000004</v>
      </c>
      <c r="E16" s="5"/>
      <c r="F16" s="5"/>
    </row>
    <row r="17" spans="1:6" x14ac:dyDescent="0.3">
      <c r="A17" s="61">
        <v>12</v>
      </c>
      <c r="B17" s="62" t="s">
        <v>603</v>
      </c>
      <c r="C17" s="63">
        <v>1024</v>
      </c>
      <c r="D17" s="62">
        <v>8.0380000000000003</v>
      </c>
      <c r="E17" s="5"/>
      <c r="F17" s="5"/>
    </row>
    <row r="18" spans="1:6" x14ac:dyDescent="0.3">
      <c r="A18" s="61">
        <v>13</v>
      </c>
      <c r="B18" s="62" t="s">
        <v>604</v>
      </c>
      <c r="C18" s="63">
        <v>1225</v>
      </c>
      <c r="D18" s="62">
        <v>9.6159999999999997</v>
      </c>
      <c r="E18" s="5"/>
      <c r="F18" s="5"/>
    </row>
    <row r="19" spans="1:6" x14ac:dyDescent="0.3">
      <c r="A19" s="61">
        <v>14</v>
      </c>
      <c r="B19" s="62" t="s">
        <v>605</v>
      </c>
      <c r="C19" s="63">
        <v>1296</v>
      </c>
      <c r="D19" s="62">
        <v>10.173</v>
      </c>
      <c r="E19" s="5"/>
      <c r="F19" s="5"/>
    </row>
    <row r="20" spans="1:6" x14ac:dyDescent="0.3">
      <c r="A20" s="61">
        <v>15</v>
      </c>
      <c r="B20" s="62" t="s">
        <v>606</v>
      </c>
      <c r="C20" s="63">
        <v>1444</v>
      </c>
      <c r="D20" s="62">
        <v>11.336</v>
      </c>
      <c r="E20" s="5"/>
      <c r="F20" s="5"/>
    </row>
    <row r="21" spans="1:6" x14ac:dyDescent="0.3">
      <c r="A21" s="61">
        <v>16</v>
      </c>
      <c r="B21" s="62" t="s">
        <v>607</v>
      </c>
      <c r="C21" s="63">
        <v>1600</v>
      </c>
      <c r="D21" s="62">
        <v>12.56</v>
      </c>
      <c r="E21" s="5"/>
      <c r="F21" s="5"/>
    </row>
    <row r="22" spans="1:6" x14ac:dyDescent="0.3">
      <c r="A22" s="61">
        <v>17</v>
      </c>
      <c r="B22" s="62" t="s">
        <v>608</v>
      </c>
      <c r="C22" s="63">
        <v>1764</v>
      </c>
      <c r="D22" s="62">
        <v>13.847</v>
      </c>
      <c r="E22" s="5"/>
      <c r="F22" s="5"/>
    </row>
    <row r="23" spans="1:6" x14ac:dyDescent="0.3">
      <c r="A23" s="61">
        <v>18</v>
      </c>
      <c r="B23" s="62" t="s">
        <v>609</v>
      </c>
      <c r="C23" s="63">
        <v>2025</v>
      </c>
      <c r="D23" s="62">
        <v>15.896000000000001</v>
      </c>
      <c r="E23" s="5"/>
      <c r="F23" s="5"/>
    </row>
    <row r="24" spans="1:6" x14ac:dyDescent="0.3">
      <c r="A24" s="61">
        <v>19</v>
      </c>
      <c r="B24" s="62" t="s">
        <v>610</v>
      </c>
      <c r="C24" s="63">
        <v>2304</v>
      </c>
      <c r="D24" s="62">
        <v>18.096</v>
      </c>
      <c r="E24" s="5"/>
      <c r="F24" s="5"/>
    </row>
    <row r="25" spans="1:6" x14ac:dyDescent="0.3">
      <c r="A25" s="61">
        <v>20</v>
      </c>
      <c r="B25" s="62" t="s">
        <v>611</v>
      </c>
      <c r="C25" s="63">
        <v>2500</v>
      </c>
      <c r="D25" s="62">
        <v>19.625</v>
      </c>
      <c r="E25" s="5"/>
      <c r="F25" s="5"/>
    </row>
    <row r="26" spans="1:6" x14ac:dyDescent="0.3">
      <c r="A26" s="61">
        <v>21</v>
      </c>
      <c r="B26" s="62" t="s">
        <v>612</v>
      </c>
      <c r="C26" s="63">
        <v>3025</v>
      </c>
      <c r="D26" s="62">
        <v>23.745999999999999</v>
      </c>
      <c r="E26" s="5"/>
      <c r="F26" s="5"/>
    </row>
    <row r="27" spans="1:6" x14ac:dyDescent="0.3">
      <c r="A27" s="61">
        <v>22</v>
      </c>
      <c r="B27" s="62" t="s">
        <v>613</v>
      </c>
      <c r="C27" s="63">
        <v>3600</v>
      </c>
      <c r="D27" s="62">
        <v>28.26</v>
      </c>
      <c r="E27" s="5"/>
      <c r="F27" s="5"/>
    </row>
    <row r="28" spans="1:6" x14ac:dyDescent="0.3">
      <c r="A28" s="61">
        <v>23</v>
      </c>
      <c r="B28" s="62" t="s">
        <v>614</v>
      </c>
      <c r="C28" s="63">
        <v>4225</v>
      </c>
      <c r="D28" s="62">
        <v>33.165999999999997</v>
      </c>
      <c r="E28" s="5"/>
      <c r="F28" s="5"/>
    </row>
    <row r="29" spans="1:6" x14ac:dyDescent="0.3">
      <c r="A29" s="61">
        <v>24</v>
      </c>
      <c r="B29" s="62" t="s">
        <v>615</v>
      </c>
      <c r="C29" s="63">
        <v>4900</v>
      </c>
      <c r="D29" s="62">
        <v>38.465000000000003</v>
      </c>
      <c r="E29" s="5"/>
      <c r="F29" s="5"/>
    </row>
    <row r="30" spans="1:6" x14ac:dyDescent="0.3">
      <c r="A30" s="61">
        <v>25</v>
      </c>
      <c r="B30" s="62" t="s">
        <v>616</v>
      </c>
      <c r="C30" s="63">
        <v>5625</v>
      </c>
      <c r="D30" s="62">
        <v>44.155999999999999</v>
      </c>
      <c r="E30" s="5"/>
      <c r="F30" s="5"/>
    </row>
    <row r="31" spans="1:6" x14ac:dyDescent="0.3">
      <c r="A31" s="61">
        <v>26</v>
      </c>
      <c r="B31" s="62" t="s">
        <v>617</v>
      </c>
      <c r="C31" s="63">
        <v>6400</v>
      </c>
      <c r="D31" s="62">
        <v>50.24</v>
      </c>
      <c r="E31" s="5"/>
      <c r="F31" s="5"/>
    </row>
    <row r="32" spans="1:6" x14ac:dyDescent="0.3">
      <c r="A32" s="61">
        <v>27</v>
      </c>
      <c r="B32" s="62" t="s">
        <v>618</v>
      </c>
      <c r="C32" s="63">
        <v>7225</v>
      </c>
      <c r="D32" s="62">
        <v>56.716000000000001</v>
      </c>
      <c r="E32" s="5"/>
      <c r="F32" s="5"/>
    </row>
    <row r="33" spans="1:6" x14ac:dyDescent="0.3">
      <c r="A33" s="61">
        <v>28</v>
      </c>
      <c r="B33" s="62" t="s">
        <v>619</v>
      </c>
      <c r="C33" s="63">
        <v>8100</v>
      </c>
      <c r="D33" s="62">
        <v>63.585000000000001</v>
      </c>
      <c r="E33" s="5"/>
      <c r="F33" s="5"/>
    </row>
    <row r="34" spans="1:6" x14ac:dyDescent="0.3">
      <c r="A34" s="61">
        <v>29</v>
      </c>
      <c r="B34" s="62" t="s">
        <v>620</v>
      </c>
      <c r="C34" s="63">
        <v>9025</v>
      </c>
      <c r="D34" s="62">
        <v>70.846000000000004</v>
      </c>
      <c r="E34" s="5"/>
      <c r="F34" s="5"/>
    </row>
    <row r="35" spans="1:6" x14ac:dyDescent="0.3">
      <c r="A35" s="61">
        <v>30</v>
      </c>
      <c r="B35" s="62" t="s">
        <v>621</v>
      </c>
      <c r="C35" s="63">
        <v>10000</v>
      </c>
      <c r="D35" s="62">
        <v>78.5</v>
      </c>
      <c r="E35" s="5"/>
      <c r="F35" s="5"/>
    </row>
    <row r="36" spans="1:6" x14ac:dyDescent="0.3">
      <c r="A36" s="61">
        <v>31</v>
      </c>
      <c r="B36" s="62" t="s">
        <v>622</v>
      </c>
      <c r="C36" s="63">
        <v>11025</v>
      </c>
      <c r="D36" s="62">
        <v>86.546000000000006</v>
      </c>
      <c r="E36" s="5"/>
      <c r="F36" s="5"/>
    </row>
    <row r="37" spans="1:6" x14ac:dyDescent="0.3">
      <c r="A37" s="61">
        <v>32</v>
      </c>
      <c r="B37" s="62" t="s">
        <v>623</v>
      </c>
      <c r="C37" s="63">
        <v>12100</v>
      </c>
      <c r="D37" s="62">
        <v>94.984999999999999</v>
      </c>
      <c r="E37" s="5"/>
      <c r="F37" s="5"/>
    </row>
    <row r="38" spans="1:6" x14ac:dyDescent="0.3">
      <c r="A38" s="61">
        <v>33</v>
      </c>
      <c r="B38" s="62" t="s">
        <v>624</v>
      </c>
      <c r="C38" s="63">
        <v>13225</v>
      </c>
      <c r="D38" s="62">
        <v>103.816</v>
      </c>
      <c r="E38" s="5"/>
      <c r="F38" s="5"/>
    </row>
    <row r="39" spans="1:6" x14ac:dyDescent="0.3">
      <c r="A39" s="61">
        <v>34</v>
      </c>
      <c r="B39" s="62" t="s">
        <v>625</v>
      </c>
      <c r="C39" s="63">
        <v>14400</v>
      </c>
      <c r="D39" s="62">
        <v>113.04</v>
      </c>
      <c r="E39" s="5"/>
      <c r="F39" s="5"/>
    </row>
    <row r="40" spans="1:6" x14ac:dyDescent="0.3">
      <c r="A40" s="61">
        <v>35</v>
      </c>
      <c r="B40" s="62" t="s">
        <v>626</v>
      </c>
      <c r="C40" s="63">
        <v>15625</v>
      </c>
      <c r="D40" s="62">
        <v>122.65600000000001</v>
      </c>
      <c r="E40" s="5"/>
      <c r="F40" s="5"/>
    </row>
    <row r="41" spans="1:6" x14ac:dyDescent="0.3">
      <c r="A41" s="61">
        <v>36</v>
      </c>
      <c r="B41" s="62" t="s">
        <v>627</v>
      </c>
      <c r="C41" s="63">
        <v>16900</v>
      </c>
      <c r="D41" s="62">
        <v>132.66499999999999</v>
      </c>
      <c r="E41" s="5"/>
      <c r="F41" s="5"/>
    </row>
    <row r="42" spans="1:6" x14ac:dyDescent="0.3">
      <c r="A42" s="61">
        <v>37</v>
      </c>
      <c r="B42" s="62" t="s">
        <v>628</v>
      </c>
      <c r="C42" s="63">
        <v>18225</v>
      </c>
      <c r="D42" s="62">
        <v>143.066</v>
      </c>
      <c r="E42" s="5"/>
      <c r="F42" s="5"/>
    </row>
    <row r="43" spans="1:6" x14ac:dyDescent="0.3">
      <c r="A43" s="61">
        <v>38</v>
      </c>
      <c r="B43" s="62" t="s">
        <v>629</v>
      </c>
      <c r="C43" s="63">
        <v>19600</v>
      </c>
      <c r="D43" s="62">
        <v>153.86000000000001</v>
      </c>
      <c r="E43" s="5"/>
      <c r="F43" s="5"/>
    </row>
    <row r="44" spans="1:6" x14ac:dyDescent="0.3">
      <c r="A44" s="61">
        <v>39</v>
      </c>
      <c r="B44" s="62" t="s">
        <v>630</v>
      </c>
      <c r="C44" s="63">
        <v>21025</v>
      </c>
      <c r="D44" s="62">
        <v>165.04599999999999</v>
      </c>
      <c r="E44" s="5"/>
      <c r="F44" s="5"/>
    </row>
    <row r="45" spans="1:6" x14ac:dyDescent="0.3">
      <c r="A45" s="61">
        <v>40</v>
      </c>
      <c r="B45" s="62" t="s">
        <v>631</v>
      </c>
      <c r="C45" s="63">
        <v>22500</v>
      </c>
      <c r="D45" s="62">
        <v>176.625</v>
      </c>
      <c r="E45" s="5"/>
      <c r="F4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SPL MS</vt:lpstr>
      <vt:lpstr>SPL 8.8</vt:lpstr>
      <vt:lpstr>SPL 10.9</vt:lpstr>
      <vt:lpstr>SPL 12.9</vt:lpstr>
      <vt:lpstr>LIST OF GRADES</vt:lpstr>
      <vt:lpstr>TMT BAR PRICE</vt:lpstr>
      <vt:lpstr>FLAT</vt:lpstr>
      <vt:lpstr>SHEET</vt:lpstr>
      <vt:lpstr>AGRICULTURE PARTS</vt:lpstr>
      <vt:lpstr>SEARCHING BAR</vt:lpstr>
      <vt:lpstr>Sheet2</vt:lpstr>
      <vt:lpstr>square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Ludhiana Green Land Developers</cp:lastModifiedBy>
  <dcterms:modified xsi:type="dcterms:W3CDTF">2026-10-25T17:27:48Z</dcterms:modified>
</cp:coreProperties>
</file>